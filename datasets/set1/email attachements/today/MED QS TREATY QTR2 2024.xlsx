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ainsuranceltd-my.sharepoint.com/personal/austine_ochola_gakenya_com/Documents/Documents/STATEMENTS TREATY/STATEMENT 2024/Quarter 2/"/>
    </mc:Choice>
  </mc:AlternateContent>
  <xr:revisionPtr revIDLastSave="10" documentId="8_{89DACC64-D20D-48C4-9B30-03B0353B3F22}" xr6:coauthVersionLast="47" xr6:coauthVersionMax="47" xr10:uidLastSave="{565A2A0E-66EB-45A7-82AE-5613D3A7E088}"/>
  <bookViews>
    <workbookView xWindow="-120" yWindow="-120" windowWidth="20730" windowHeight="11040" xr2:uid="{E83AC61D-EAD7-422F-821D-4B1A665149E3}"/>
  </bookViews>
  <sheets>
    <sheet name="STATEMENT QTR 2 2024" sheetId="1" r:id="rId1"/>
    <sheet name="APRIL PRM " sheetId="19" r:id="rId2"/>
    <sheet name="MAY PRM " sheetId="20" r:id="rId3"/>
    <sheet name="JUNE PRM " sheetId="21" r:id="rId4"/>
  </sheets>
  <definedNames>
    <definedName name="_xlnm._FilterDatabase" localSheetId="1" hidden="1">'APRIL PRM '!$A$1:$R$693</definedName>
    <definedName name="_xlnm._FilterDatabase" localSheetId="3" hidden="1">'JUNE PRM '!$A$1:$R$849</definedName>
    <definedName name="_xlnm._FilterDatabase" localSheetId="2" hidden="1">'MAY PRM '!$A$1:$X$1079</definedName>
    <definedName name="_xlnm.Print_Area" localSheetId="3">'JUNE PRM '!$A$6:$R$871</definedName>
    <definedName name="_xlnm.Print_Area" localSheetId="0">'STATEMENT QTR 2 2024'!$A$1:$J$57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68" i="21" l="1"/>
  <c r="P868" i="21"/>
  <c r="O868" i="21"/>
  <c r="M868" i="21"/>
  <c r="L868" i="21"/>
  <c r="Q867" i="21"/>
  <c r="P867" i="21"/>
  <c r="O867" i="21"/>
  <c r="M867" i="21"/>
  <c r="L867" i="21"/>
  <c r="Q866" i="21"/>
  <c r="P866" i="21"/>
  <c r="O866" i="21"/>
  <c r="M866" i="21"/>
  <c r="L866" i="21"/>
  <c r="Q865" i="21"/>
  <c r="Q869" i="21" s="1"/>
  <c r="P865" i="21"/>
  <c r="P869" i="21" s="1"/>
  <c r="O865" i="21"/>
  <c r="O869" i="21" s="1"/>
  <c r="M865" i="21"/>
  <c r="M869" i="21" s="1"/>
  <c r="L865" i="21"/>
  <c r="L869" i="21" s="1"/>
  <c r="Q861" i="21"/>
  <c r="L861" i="21"/>
  <c r="M860" i="21"/>
  <c r="M859" i="21"/>
  <c r="O859" i="21" s="1"/>
  <c r="M858" i="21"/>
  <c r="G851" i="21"/>
  <c r="F851" i="21"/>
  <c r="E851" i="21"/>
  <c r="H849" i="21"/>
  <c r="H848" i="21"/>
  <c r="H847" i="21"/>
  <c r="H846" i="21"/>
  <c r="H845" i="21"/>
  <c r="H844" i="21"/>
  <c r="H843" i="21"/>
  <c r="H842" i="21"/>
  <c r="H841" i="21"/>
  <c r="H840" i="21"/>
  <c r="H839" i="21"/>
  <c r="H838" i="21"/>
  <c r="H837" i="21"/>
  <c r="H836" i="21"/>
  <c r="H835" i="21"/>
  <c r="H834" i="21"/>
  <c r="H833" i="21"/>
  <c r="H832" i="21"/>
  <c r="H831" i="21"/>
  <c r="H830" i="21"/>
  <c r="H829" i="21"/>
  <c r="H828" i="21"/>
  <c r="H827" i="21"/>
  <c r="H826" i="21"/>
  <c r="H825" i="21"/>
  <c r="H824" i="21"/>
  <c r="H823" i="21"/>
  <c r="H822" i="21"/>
  <c r="H821" i="21"/>
  <c r="H820" i="21"/>
  <c r="H819" i="21"/>
  <c r="H818" i="21"/>
  <c r="H817" i="21"/>
  <c r="H816" i="21"/>
  <c r="H815" i="21"/>
  <c r="H814" i="21"/>
  <c r="H813" i="21"/>
  <c r="H812" i="21"/>
  <c r="H811" i="21"/>
  <c r="H810" i="21"/>
  <c r="H809" i="21"/>
  <c r="H808" i="21"/>
  <c r="H807" i="21"/>
  <c r="H806" i="21"/>
  <c r="H805" i="21"/>
  <c r="H804" i="21"/>
  <c r="H803" i="21"/>
  <c r="H802" i="21"/>
  <c r="H801" i="21"/>
  <c r="H800" i="21"/>
  <c r="H799" i="21"/>
  <c r="H798" i="21"/>
  <c r="H797" i="21"/>
  <c r="H796" i="21"/>
  <c r="H795" i="21"/>
  <c r="H794" i="21"/>
  <c r="H793" i="21"/>
  <c r="H792" i="21"/>
  <c r="H791" i="21"/>
  <c r="H790" i="21"/>
  <c r="H789" i="21"/>
  <c r="H788" i="21"/>
  <c r="H787" i="21"/>
  <c r="H786" i="21"/>
  <c r="H785" i="21"/>
  <c r="H784" i="21"/>
  <c r="H783" i="21"/>
  <c r="H782" i="21"/>
  <c r="H781" i="21"/>
  <c r="H780" i="21"/>
  <c r="H779" i="21"/>
  <c r="H778" i="21"/>
  <c r="H777" i="21"/>
  <c r="H776" i="21"/>
  <c r="H775" i="21"/>
  <c r="H774" i="21"/>
  <c r="H773" i="21"/>
  <c r="H772" i="21"/>
  <c r="H771" i="21"/>
  <c r="H770" i="21"/>
  <c r="H769" i="21"/>
  <c r="H768" i="21"/>
  <c r="H767" i="21"/>
  <c r="H766" i="21"/>
  <c r="H765" i="21"/>
  <c r="H764" i="21"/>
  <c r="H763" i="21"/>
  <c r="H762" i="21"/>
  <c r="H761" i="21"/>
  <c r="H760" i="21"/>
  <c r="H759" i="21"/>
  <c r="H758" i="21"/>
  <c r="H757" i="21"/>
  <c r="H756" i="21"/>
  <c r="H755" i="21"/>
  <c r="H754" i="21"/>
  <c r="H753" i="21"/>
  <c r="H752" i="21"/>
  <c r="H751" i="21"/>
  <c r="H750" i="21"/>
  <c r="H749" i="21"/>
  <c r="H748" i="21"/>
  <c r="H747" i="21"/>
  <c r="H746" i="21"/>
  <c r="H745" i="21"/>
  <c r="H744" i="21"/>
  <c r="H743" i="21"/>
  <c r="H742" i="21"/>
  <c r="H741" i="21"/>
  <c r="H740" i="21"/>
  <c r="H739" i="21"/>
  <c r="H738" i="21"/>
  <c r="H737" i="21"/>
  <c r="H736" i="21"/>
  <c r="H735" i="21"/>
  <c r="H734" i="21"/>
  <c r="H733" i="21"/>
  <c r="H732" i="21"/>
  <c r="H731" i="21"/>
  <c r="H730" i="21"/>
  <c r="H729" i="21"/>
  <c r="H728" i="21"/>
  <c r="H727" i="21"/>
  <c r="H726" i="21"/>
  <c r="H725" i="21"/>
  <c r="H724" i="21"/>
  <c r="H723" i="21"/>
  <c r="H722" i="21"/>
  <c r="H721" i="21"/>
  <c r="H720" i="21"/>
  <c r="H719" i="21"/>
  <c r="H718" i="21"/>
  <c r="H717" i="21"/>
  <c r="H716" i="21"/>
  <c r="H715" i="21"/>
  <c r="H714" i="21"/>
  <c r="H713" i="21"/>
  <c r="H712" i="21"/>
  <c r="H711" i="21"/>
  <c r="H710" i="21"/>
  <c r="H709" i="21"/>
  <c r="H708" i="21"/>
  <c r="H707" i="21"/>
  <c r="H706" i="21"/>
  <c r="H705" i="21"/>
  <c r="H704" i="21"/>
  <c r="H703" i="21"/>
  <c r="H702" i="21"/>
  <c r="H701" i="21"/>
  <c r="H700" i="21"/>
  <c r="H699" i="21"/>
  <c r="H698" i="21"/>
  <c r="H697" i="21"/>
  <c r="H696" i="21"/>
  <c r="H695" i="21"/>
  <c r="H694" i="21"/>
  <c r="H693" i="21"/>
  <c r="H692" i="21"/>
  <c r="H691" i="21"/>
  <c r="H690" i="21"/>
  <c r="H689" i="21"/>
  <c r="H688" i="21"/>
  <c r="H687" i="21"/>
  <c r="H686" i="21"/>
  <c r="H685" i="21"/>
  <c r="H684" i="21"/>
  <c r="H683" i="21"/>
  <c r="H682" i="21"/>
  <c r="H681" i="21"/>
  <c r="H680" i="21"/>
  <c r="H679" i="21"/>
  <c r="H678" i="21"/>
  <c r="H677" i="21"/>
  <c r="H676" i="21"/>
  <c r="H675" i="21"/>
  <c r="H674" i="21"/>
  <c r="H673" i="21"/>
  <c r="H672" i="21"/>
  <c r="H671" i="21"/>
  <c r="H670" i="21"/>
  <c r="H669" i="21"/>
  <c r="H668" i="21"/>
  <c r="H667" i="21"/>
  <c r="H666" i="21"/>
  <c r="H665" i="21"/>
  <c r="H664" i="21"/>
  <c r="H663" i="21"/>
  <c r="H662" i="21"/>
  <c r="H661" i="21"/>
  <c r="H660" i="21"/>
  <c r="H659" i="21"/>
  <c r="H658" i="21"/>
  <c r="H657" i="21"/>
  <c r="H656" i="21"/>
  <c r="H655" i="21"/>
  <c r="H654" i="21"/>
  <c r="H653" i="21"/>
  <c r="H652" i="21"/>
  <c r="H651" i="21"/>
  <c r="H650" i="21"/>
  <c r="H649" i="21"/>
  <c r="H648" i="21"/>
  <c r="H647" i="21"/>
  <c r="H646" i="21"/>
  <c r="H645" i="21"/>
  <c r="H644" i="21"/>
  <c r="H643" i="21"/>
  <c r="H642" i="21"/>
  <c r="H641" i="21"/>
  <c r="H640" i="21"/>
  <c r="H639" i="21"/>
  <c r="H638" i="21"/>
  <c r="H637" i="21"/>
  <c r="H636" i="21"/>
  <c r="H635" i="21"/>
  <c r="H634" i="21"/>
  <c r="H633" i="21"/>
  <c r="H632" i="21"/>
  <c r="H631" i="21"/>
  <c r="H630" i="21"/>
  <c r="H629" i="21"/>
  <c r="H628" i="21"/>
  <c r="H627" i="21"/>
  <c r="H626" i="21"/>
  <c r="H625" i="21"/>
  <c r="H624" i="21"/>
  <c r="H623" i="21"/>
  <c r="H622" i="21"/>
  <c r="H621" i="21"/>
  <c r="H620" i="21"/>
  <c r="H619" i="21"/>
  <c r="H618" i="21"/>
  <c r="H617" i="21"/>
  <c r="H616" i="21"/>
  <c r="H615" i="21"/>
  <c r="H614" i="21"/>
  <c r="H613" i="21"/>
  <c r="H612" i="21"/>
  <c r="H611" i="21"/>
  <c r="H610" i="21"/>
  <c r="H609" i="21"/>
  <c r="H608" i="21"/>
  <c r="H607" i="21"/>
  <c r="H606" i="21"/>
  <c r="H605" i="21"/>
  <c r="H604" i="21"/>
  <c r="H603" i="21"/>
  <c r="H602" i="21"/>
  <c r="H601" i="21"/>
  <c r="H600" i="21"/>
  <c r="H599" i="21"/>
  <c r="H598" i="21"/>
  <c r="H597" i="21"/>
  <c r="H596" i="21"/>
  <c r="H595" i="21"/>
  <c r="H594" i="21"/>
  <c r="H593" i="21"/>
  <c r="H592" i="21"/>
  <c r="H591" i="21"/>
  <c r="H590" i="21"/>
  <c r="H589" i="21"/>
  <c r="H588" i="21"/>
  <c r="H587" i="21"/>
  <c r="H586" i="21"/>
  <c r="H585" i="21"/>
  <c r="H584" i="21"/>
  <c r="H583" i="21"/>
  <c r="H582" i="21"/>
  <c r="H581" i="21"/>
  <c r="H580" i="21"/>
  <c r="H579" i="21"/>
  <c r="H578" i="21"/>
  <c r="H577" i="21"/>
  <c r="H576" i="21"/>
  <c r="H575" i="21"/>
  <c r="H574" i="21"/>
  <c r="H573" i="21"/>
  <c r="H572" i="21"/>
  <c r="H571" i="21"/>
  <c r="H570" i="21"/>
  <c r="H569" i="21"/>
  <c r="H568" i="21"/>
  <c r="H567" i="21"/>
  <c r="H566" i="21"/>
  <c r="H565" i="21"/>
  <c r="H564" i="21"/>
  <c r="H563" i="21"/>
  <c r="H562" i="21"/>
  <c r="H561" i="21"/>
  <c r="H560" i="21"/>
  <c r="H559" i="21"/>
  <c r="H558" i="21"/>
  <c r="H557" i="21"/>
  <c r="H556" i="21"/>
  <c r="H555" i="21"/>
  <c r="H554" i="21"/>
  <c r="H553" i="21"/>
  <c r="H552" i="21"/>
  <c r="H551" i="21"/>
  <c r="H550" i="21"/>
  <c r="H549" i="21"/>
  <c r="H548" i="21"/>
  <c r="H547" i="21"/>
  <c r="H546" i="21"/>
  <c r="H545" i="21"/>
  <c r="H544" i="21"/>
  <c r="H543" i="21"/>
  <c r="H542" i="21"/>
  <c r="H541" i="21"/>
  <c r="H540" i="21"/>
  <c r="H539" i="21"/>
  <c r="H538" i="21"/>
  <c r="H537" i="21"/>
  <c r="H536" i="21"/>
  <c r="H535" i="21"/>
  <c r="H534" i="21"/>
  <c r="H533" i="21"/>
  <c r="H532" i="21"/>
  <c r="H531" i="21"/>
  <c r="H530" i="21"/>
  <c r="H529" i="21"/>
  <c r="H528" i="21"/>
  <c r="H527" i="21"/>
  <c r="H526" i="21"/>
  <c r="H525" i="21"/>
  <c r="H524" i="21"/>
  <c r="H523" i="21"/>
  <c r="H522" i="21"/>
  <c r="H521" i="21"/>
  <c r="H520" i="21"/>
  <c r="H519" i="21"/>
  <c r="H518" i="21"/>
  <c r="H517" i="21"/>
  <c r="H516" i="21"/>
  <c r="H515" i="21"/>
  <c r="H514" i="21"/>
  <c r="H513" i="21"/>
  <c r="H512" i="21"/>
  <c r="H511" i="21"/>
  <c r="H510" i="21"/>
  <c r="H509" i="21"/>
  <c r="H508" i="21"/>
  <c r="H507" i="21"/>
  <c r="H506" i="21"/>
  <c r="H505" i="21"/>
  <c r="H504" i="21"/>
  <c r="H503" i="21"/>
  <c r="H502" i="21"/>
  <c r="H501" i="21"/>
  <c r="H500" i="21"/>
  <c r="H499" i="21"/>
  <c r="H498" i="21"/>
  <c r="H497" i="21"/>
  <c r="H496" i="21"/>
  <c r="H495" i="21"/>
  <c r="H494" i="21"/>
  <c r="H493" i="21"/>
  <c r="H492" i="21"/>
  <c r="H491" i="21"/>
  <c r="H490" i="21"/>
  <c r="H489" i="21"/>
  <c r="H488" i="21"/>
  <c r="H487" i="21"/>
  <c r="H486" i="21"/>
  <c r="H485" i="21"/>
  <c r="H484" i="21"/>
  <c r="H483" i="21"/>
  <c r="H482" i="21"/>
  <c r="H481" i="21"/>
  <c r="H480" i="21"/>
  <c r="H479" i="21"/>
  <c r="H478" i="21"/>
  <c r="H477" i="21"/>
  <c r="H476" i="21"/>
  <c r="H475" i="21"/>
  <c r="H474" i="21"/>
  <c r="H473" i="21"/>
  <c r="H472" i="21"/>
  <c r="H471" i="21"/>
  <c r="H470" i="21"/>
  <c r="H469" i="21"/>
  <c r="H468" i="21"/>
  <c r="H467" i="21"/>
  <c r="H466" i="21"/>
  <c r="H465" i="21"/>
  <c r="H464" i="21"/>
  <c r="H463" i="21"/>
  <c r="H462" i="21"/>
  <c r="H461" i="21"/>
  <c r="H460" i="21"/>
  <c r="H459" i="21"/>
  <c r="H458" i="21"/>
  <c r="H457" i="21"/>
  <c r="H456" i="21"/>
  <c r="H455" i="21"/>
  <c r="H454" i="21"/>
  <c r="H453" i="21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851" i="21" s="1"/>
  <c r="H4" i="21"/>
  <c r="H3" i="21"/>
  <c r="H2" i="21"/>
  <c r="E1094" i="20"/>
  <c r="D1094" i="20"/>
  <c r="G1093" i="20"/>
  <c r="F1093" i="20"/>
  <c r="E1093" i="20"/>
  <c r="H1093" i="20" s="1"/>
  <c r="F1092" i="20"/>
  <c r="E1092" i="20"/>
  <c r="G1091" i="20"/>
  <c r="F1091" i="20"/>
  <c r="E1091" i="20"/>
  <c r="H1091" i="20" s="1"/>
  <c r="F1090" i="20"/>
  <c r="F1094" i="20" s="1"/>
  <c r="E1090" i="20"/>
  <c r="H1081" i="20"/>
  <c r="G1081" i="20"/>
  <c r="F1081" i="20"/>
  <c r="I1079" i="20"/>
  <c r="I1078" i="20"/>
  <c r="I1077" i="20"/>
  <c r="I1076" i="20"/>
  <c r="I1075" i="20"/>
  <c r="I1074" i="20"/>
  <c r="I1073" i="20"/>
  <c r="I1072" i="20"/>
  <c r="I1071" i="20"/>
  <c r="I1070" i="20"/>
  <c r="I1069" i="20"/>
  <c r="I1068" i="20"/>
  <c r="I1067" i="20"/>
  <c r="I1066" i="20"/>
  <c r="I1065" i="20"/>
  <c r="I1064" i="20"/>
  <c r="I1063" i="20"/>
  <c r="I1062" i="20"/>
  <c r="I1061" i="20"/>
  <c r="I1060" i="20"/>
  <c r="I1059" i="20"/>
  <c r="I1058" i="20"/>
  <c r="I1057" i="20"/>
  <c r="I1056" i="20"/>
  <c r="I1055" i="20"/>
  <c r="I1054" i="20"/>
  <c r="I1053" i="20"/>
  <c r="I1052" i="20"/>
  <c r="I1051" i="20"/>
  <c r="I1050" i="20"/>
  <c r="I1049" i="20"/>
  <c r="I1048" i="20"/>
  <c r="I1047" i="20"/>
  <c r="I1046" i="20"/>
  <c r="I1045" i="20"/>
  <c r="I1044" i="20"/>
  <c r="I1043" i="20"/>
  <c r="I1042" i="20"/>
  <c r="I1041" i="20"/>
  <c r="I1040" i="20"/>
  <c r="I1039" i="20"/>
  <c r="I1038" i="20"/>
  <c r="I1037" i="20"/>
  <c r="I1036" i="20"/>
  <c r="I1035" i="20"/>
  <c r="I1034" i="20"/>
  <c r="I1033" i="20"/>
  <c r="I1032" i="20"/>
  <c r="I1031" i="20"/>
  <c r="I1030" i="20"/>
  <c r="I1029" i="20"/>
  <c r="I1028" i="20"/>
  <c r="I1027" i="20"/>
  <c r="I1026" i="20"/>
  <c r="I1025" i="20"/>
  <c r="I1024" i="20"/>
  <c r="I1023" i="20"/>
  <c r="I1022" i="20"/>
  <c r="I1021" i="20"/>
  <c r="I1020" i="20"/>
  <c r="I1019" i="20"/>
  <c r="I1018" i="20"/>
  <c r="I1017" i="20"/>
  <c r="I1016" i="20"/>
  <c r="I1015" i="20"/>
  <c r="I1014" i="20"/>
  <c r="I1013" i="20"/>
  <c r="I1012" i="20"/>
  <c r="I1011" i="20"/>
  <c r="I1010" i="20"/>
  <c r="I1009" i="20"/>
  <c r="I1008" i="20"/>
  <c r="I1007" i="20"/>
  <c r="I1006" i="20"/>
  <c r="I1005" i="20"/>
  <c r="I1004" i="20"/>
  <c r="I1003" i="20"/>
  <c r="I1002" i="20"/>
  <c r="I1001" i="20"/>
  <c r="I1000" i="20"/>
  <c r="I999" i="20"/>
  <c r="I998" i="20"/>
  <c r="I997" i="20"/>
  <c r="I996" i="20"/>
  <c r="I995" i="20"/>
  <c r="I994" i="20"/>
  <c r="I993" i="20"/>
  <c r="I992" i="20"/>
  <c r="I991" i="20"/>
  <c r="I990" i="20"/>
  <c r="I989" i="20"/>
  <c r="I988" i="20"/>
  <c r="I987" i="20"/>
  <c r="I986" i="20"/>
  <c r="I985" i="20"/>
  <c r="I984" i="20"/>
  <c r="I983" i="20"/>
  <c r="I982" i="20"/>
  <c r="I981" i="20"/>
  <c r="I980" i="20"/>
  <c r="I979" i="20"/>
  <c r="I978" i="20"/>
  <c r="I977" i="20"/>
  <c r="I976" i="20"/>
  <c r="I975" i="20"/>
  <c r="I974" i="20"/>
  <c r="I973" i="20"/>
  <c r="I972" i="20"/>
  <c r="I971" i="20"/>
  <c r="I970" i="20"/>
  <c r="I969" i="20"/>
  <c r="I968" i="20"/>
  <c r="I967" i="20"/>
  <c r="I966" i="20"/>
  <c r="I965" i="20"/>
  <c r="I964" i="20"/>
  <c r="I963" i="20"/>
  <c r="I962" i="20"/>
  <c r="I961" i="20"/>
  <c r="I960" i="20"/>
  <c r="I959" i="20"/>
  <c r="I958" i="20"/>
  <c r="I957" i="20"/>
  <c r="I956" i="20"/>
  <c r="I955" i="20"/>
  <c r="I954" i="20"/>
  <c r="I953" i="20"/>
  <c r="I952" i="20"/>
  <c r="I951" i="20"/>
  <c r="I950" i="20"/>
  <c r="I949" i="20"/>
  <c r="I948" i="20"/>
  <c r="I947" i="20"/>
  <c r="I946" i="20"/>
  <c r="I945" i="20"/>
  <c r="I944" i="20"/>
  <c r="I943" i="20"/>
  <c r="I942" i="20"/>
  <c r="I941" i="20"/>
  <c r="I940" i="20"/>
  <c r="I939" i="20"/>
  <c r="I938" i="20"/>
  <c r="I937" i="20"/>
  <c r="I936" i="20"/>
  <c r="I935" i="20"/>
  <c r="I934" i="20"/>
  <c r="I933" i="20"/>
  <c r="I932" i="20"/>
  <c r="I931" i="20"/>
  <c r="I930" i="20"/>
  <c r="I929" i="20"/>
  <c r="I928" i="20"/>
  <c r="I927" i="20"/>
  <c r="I926" i="20"/>
  <c r="I925" i="20"/>
  <c r="I924" i="20"/>
  <c r="I923" i="20"/>
  <c r="I922" i="20"/>
  <c r="I921" i="20"/>
  <c r="I920" i="20"/>
  <c r="I919" i="20"/>
  <c r="I918" i="20"/>
  <c r="I917" i="20"/>
  <c r="I916" i="20"/>
  <c r="I915" i="20"/>
  <c r="I914" i="20"/>
  <c r="I913" i="20"/>
  <c r="I912" i="20"/>
  <c r="I911" i="20"/>
  <c r="I910" i="20"/>
  <c r="I909" i="20"/>
  <c r="I908" i="20"/>
  <c r="I907" i="20"/>
  <c r="I906" i="20"/>
  <c r="I905" i="20"/>
  <c r="I904" i="20"/>
  <c r="I903" i="20"/>
  <c r="I902" i="20"/>
  <c r="I901" i="20"/>
  <c r="I900" i="20"/>
  <c r="I899" i="20"/>
  <c r="I898" i="20"/>
  <c r="I897" i="20"/>
  <c r="I896" i="20"/>
  <c r="I895" i="20"/>
  <c r="I894" i="20"/>
  <c r="I893" i="20"/>
  <c r="I892" i="20"/>
  <c r="I891" i="20"/>
  <c r="I890" i="20"/>
  <c r="I889" i="20"/>
  <c r="I888" i="20"/>
  <c r="I887" i="20"/>
  <c r="I886" i="20"/>
  <c r="I885" i="20"/>
  <c r="I884" i="20"/>
  <c r="I883" i="20"/>
  <c r="I882" i="20"/>
  <c r="I881" i="20"/>
  <c r="I880" i="20"/>
  <c r="I879" i="20"/>
  <c r="I878" i="20"/>
  <c r="I877" i="20"/>
  <c r="I876" i="20"/>
  <c r="I875" i="20"/>
  <c r="I874" i="20"/>
  <c r="I873" i="20"/>
  <c r="I872" i="20"/>
  <c r="I871" i="20"/>
  <c r="I870" i="20"/>
  <c r="I869" i="20"/>
  <c r="I868" i="20"/>
  <c r="I867" i="20"/>
  <c r="I866" i="20"/>
  <c r="I865" i="20"/>
  <c r="I864" i="20"/>
  <c r="I863" i="20"/>
  <c r="I862" i="20"/>
  <c r="I861" i="20"/>
  <c r="I860" i="20"/>
  <c r="I859" i="20"/>
  <c r="I858" i="20"/>
  <c r="I857" i="20"/>
  <c r="I856" i="20"/>
  <c r="I855" i="20"/>
  <c r="I854" i="20"/>
  <c r="I853" i="20"/>
  <c r="I852" i="20"/>
  <c r="I851" i="20"/>
  <c r="I850" i="20"/>
  <c r="I849" i="20"/>
  <c r="I848" i="20"/>
  <c r="I847" i="20"/>
  <c r="I846" i="20"/>
  <c r="I845" i="20"/>
  <c r="I844" i="20"/>
  <c r="I843" i="20"/>
  <c r="I842" i="20"/>
  <c r="I841" i="20"/>
  <c r="I840" i="20"/>
  <c r="I839" i="20"/>
  <c r="I838" i="20"/>
  <c r="I837" i="20"/>
  <c r="I836" i="20"/>
  <c r="I835" i="20"/>
  <c r="I834" i="20"/>
  <c r="I833" i="20"/>
  <c r="I832" i="20"/>
  <c r="I831" i="20"/>
  <c r="I830" i="20"/>
  <c r="I829" i="20"/>
  <c r="I828" i="20"/>
  <c r="I827" i="20"/>
  <c r="I826" i="20"/>
  <c r="I825" i="20"/>
  <c r="I824" i="20"/>
  <c r="I823" i="20"/>
  <c r="I822" i="20"/>
  <c r="I821" i="20"/>
  <c r="I820" i="20"/>
  <c r="I819" i="20"/>
  <c r="I818" i="20"/>
  <c r="I817" i="20"/>
  <c r="I816" i="20"/>
  <c r="I815" i="20"/>
  <c r="I814" i="20"/>
  <c r="I813" i="20"/>
  <c r="I812" i="20"/>
  <c r="I811" i="20"/>
  <c r="I810" i="20"/>
  <c r="I809" i="20"/>
  <c r="I808" i="20"/>
  <c r="I807" i="20"/>
  <c r="I806" i="20"/>
  <c r="I805" i="20"/>
  <c r="I804" i="20"/>
  <c r="I803" i="20"/>
  <c r="I802" i="20"/>
  <c r="I801" i="20"/>
  <c r="I800" i="20"/>
  <c r="I799" i="20"/>
  <c r="I798" i="20"/>
  <c r="I797" i="20"/>
  <c r="I796" i="20"/>
  <c r="I795" i="20"/>
  <c r="I794" i="20"/>
  <c r="I793" i="20"/>
  <c r="I792" i="20"/>
  <c r="I791" i="20"/>
  <c r="I790" i="20"/>
  <c r="I789" i="20"/>
  <c r="I788" i="20"/>
  <c r="I787" i="20"/>
  <c r="I786" i="20"/>
  <c r="I785" i="20"/>
  <c r="I784" i="20"/>
  <c r="I783" i="20"/>
  <c r="I782" i="20"/>
  <c r="I781" i="20"/>
  <c r="I780" i="20"/>
  <c r="I779" i="20"/>
  <c r="I778" i="20"/>
  <c r="I777" i="20"/>
  <c r="I776" i="20"/>
  <c r="I775" i="20"/>
  <c r="I774" i="20"/>
  <c r="I773" i="20"/>
  <c r="I772" i="20"/>
  <c r="I771" i="20"/>
  <c r="I770" i="20"/>
  <c r="I769" i="20"/>
  <c r="I768" i="20"/>
  <c r="I767" i="20"/>
  <c r="I766" i="20"/>
  <c r="I765" i="20"/>
  <c r="I764" i="20"/>
  <c r="I763" i="20"/>
  <c r="I762" i="20"/>
  <c r="I761" i="20"/>
  <c r="I760" i="20"/>
  <c r="I759" i="20"/>
  <c r="I758" i="20"/>
  <c r="I757" i="20"/>
  <c r="I756" i="20"/>
  <c r="I755" i="20"/>
  <c r="I754" i="20"/>
  <c r="I753" i="20"/>
  <c r="I752" i="20"/>
  <c r="I751" i="20"/>
  <c r="I750" i="20"/>
  <c r="I749" i="20"/>
  <c r="I748" i="20"/>
  <c r="I747" i="20"/>
  <c r="I746" i="20"/>
  <c r="I745" i="20"/>
  <c r="I744" i="20"/>
  <c r="I743" i="20"/>
  <c r="I742" i="20"/>
  <c r="I741" i="20"/>
  <c r="I740" i="20"/>
  <c r="I739" i="20"/>
  <c r="I738" i="20"/>
  <c r="I737" i="20"/>
  <c r="I736" i="20"/>
  <c r="I735" i="20"/>
  <c r="I734" i="20"/>
  <c r="I733" i="20"/>
  <c r="I732" i="20"/>
  <c r="I731" i="20"/>
  <c r="I730" i="20"/>
  <c r="I729" i="20"/>
  <c r="I728" i="20"/>
  <c r="I727" i="20"/>
  <c r="I726" i="20"/>
  <c r="I725" i="20"/>
  <c r="I724" i="20"/>
  <c r="I723" i="20"/>
  <c r="I722" i="20"/>
  <c r="I721" i="20"/>
  <c r="I720" i="20"/>
  <c r="I719" i="20"/>
  <c r="I718" i="20"/>
  <c r="I717" i="20"/>
  <c r="I716" i="20"/>
  <c r="I715" i="20"/>
  <c r="I714" i="20"/>
  <c r="I713" i="20"/>
  <c r="I712" i="20"/>
  <c r="I711" i="20"/>
  <c r="I710" i="20"/>
  <c r="I709" i="20"/>
  <c r="I708" i="20"/>
  <c r="I707" i="20"/>
  <c r="I706" i="20"/>
  <c r="I705" i="20"/>
  <c r="I704" i="20"/>
  <c r="I703" i="20"/>
  <c r="I702" i="20"/>
  <c r="I701" i="20"/>
  <c r="I700" i="20"/>
  <c r="I699" i="20"/>
  <c r="I698" i="20"/>
  <c r="I697" i="20"/>
  <c r="I696" i="20"/>
  <c r="I695" i="20"/>
  <c r="I694" i="20"/>
  <c r="I693" i="20"/>
  <c r="I692" i="20"/>
  <c r="I691" i="20"/>
  <c r="I690" i="20"/>
  <c r="I689" i="20"/>
  <c r="I688" i="20"/>
  <c r="I687" i="20"/>
  <c r="I686" i="20"/>
  <c r="I685" i="20"/>
  <c r="I684" i="20"/>
  <c r="I683" i="20"/>
  <c r="I682" i="20"/>
  <c r="I681" i="20"/>
  <c r="I680" i="20"/>
  <c r="I679" i="20"/>
  <c r="I678" i="20"/>
  <c r="I677" i="20"/>
  <c r="I676" i="20"/>
  <c r="I675" i="20"/>
  <c r="I674" i="20"/>
  <c r="I673" i="20"/>
  <c r="I672" i="20"/>
  <c r="I671" i="20"/>
  <c r="I670" i="20"/>
  <c r="I669" i="20"/>
  <c r="I668" i="20"/>
  <c r="I667" i="20"/>
  <c r="I666" i="20"/>
  <c r="I665" i="20"/>
  <c r="I664" i="20"/>
  <c r="I663" i="20"/>
  <c r="I662" i="20"/>
  <c r="I661" i="20"/>
  <c r="I660" i="20"/>
  <c r="I659" i="20"/>
  <c r="I658" i="20"/>
  <c r="I657" i="20"/>
  <c r="I656" i="20"/>
  <c r="I655" i="20"/>
  <c r="I654" i="20"/>
  <c r="I653" i="20"/>
  <c r="I652" i="20"/>
  <c r="I651" i="20"/>
  <c r="I650" i="20"/>
  <c r="I649" i="20"/>
  <c r="I648" i="20"/>
  <c r="I647" i="20"/>
  <c r="I646" i="20"/>
  <c r="I645" i="20"/>
  <c r="I644" i="20"/>
  <c r="I643" i="20"/>
  <c r="I642" i="20"/>
  <c r="I641" i="20"/>
  <c r="I640" i="20"/>
  <c r="I639" i="20"/>
  <c r="I638" i="20"/>
  <c r="I637" i="20"/>
  <c r="I636" i="20"/>
  <c r="I635" i="20"/>
  <c r="I634" i="20"/>
  <c r="I633" i="20"/>
  <c r="I632" i="20"/>
  <c r="I631" i="20"/>
  <c r="I630" i="20"/>
  <c r="I629" i="20"/>
  <c r="I628" i="20"/>
  <c r="I627" i="20"/>
  <c r="I626" i="20"/>
  <c r="I625" i="20"/>
  <c r="I624" i="20"/>
  <c r="I623" i="20"/>
  <c r="I622" i="20"/>
  <c r="I621" i="20"/>
  <c r="I620" i="20"/>
  <c r="I619" i="20"/>
  <c r="I618" i="20"/>
  <c r="I617" i="20"/>
  <c r="I616" i="20"/>
  <c r="I615" i="20"/>
  <c r="I614" i="20"/>
  <c r="I613" i="20"/>
  <c r="I612" i="20"/>
  <c r="I611" i="20"/>
  <c r="I610" i="20"/>
  <c r="I609" i="20"/>
  <c r="I608" i="20"/>
  <c r="I607" i="20"/>
  <c r="I606" i="20"/>
  <c r="I605" i="20"/>
  <c r="I604" i="20"/>
  <c r="I603" i="20"/>
  <c r="I602" i="20"/>
  <c r="I601" i="20"/>
  <c r="I600" i="20"/>
  <c r="I599" i="20"/>
  <c r="I598" i="20"/>
  <c r="I597" i="20"/>
  <c r="I596" i="20"/>
  <c r="I595" i="20"/>
  <c r="I594" i="20"/>
  <c r="I593" i="20"/>
  <c r="I592" i="20"/>
  <c r="I591" i="20"/>
  <c r="I590" i="20"/>
  <c r="I589" i="20"/>
  <c r="I588" i="20"/>
  <c r="I587" i="20"/>
  <c r="I586" i="20"/>
  <c r="I585" i="20"/>
  <c r="I584" i="20"/>
  <c r="I583" i="20"/>
  <c r="I582" i="20"/>
  <c r="I581" i="20"/>
  <c r="I580" i="20"/>
  <c r="I579" i="20"/>
  <c r="I578" i="20"/>
  <c r="I577" i="20"/>
  <c r="I576" i="20"/>
  <c r="I575" i="20"/>
  <c r="I574" i="20"/>
  <c r="I573" i="20"/>
  <c r="I572" i="20"/>
  <c r="I571" i="20"/>
  <c r="I570" i="20"/>
  <c r="I569" i="20"/>
  <c r="I568" i="20"/>
  <c r="I567" i="20"/>
  <c r="I566" i="20"/>
  <c r="I565" i="20"/>
  <c r="I564" i="20"/>
  <c r="I563" i="20"/>
  <c r="I562" i="20"/>
  <c r="I561" i="20"/>
  <c r="I560" i="20"/>
  <c r="I559" i="20"/>
  <c r="I558" i="20"/>
  <c r="I557" i="20"/>
  <c r="I556" i="20"/>
  <c r="I555" i="20"/>
  <c r="I554" i="20"/>
  <c r="I553" i="20"/>
  <c r="I552" i="20"/>
  <c r="I551" i="20"/>
  <c r="I550" i="20"/>
  <c r="I549" i="20"/>
  <c r="I548" i="20"/>
  <c r="I547" i="20"/>
  <c r="I546" i="20"/>
  <c r="I545" i="20"/>
  <c r="I544" i="20"/>
  <c r="I543" i="20"/>
  <c r="I542" i="20"/>
  <c r="I541" i="20"/>
  <c r="I540" i="20"/>
  <c r="I539" i="20"/>
  <c r="I538" i="20"/>
  <c r="I537" i="20"/>
  <c r="I536" i="20"/>
  <c r="I535" i="20"/>
  <c r="I534" i="20"/>
  <c r="I533" i="20"/>
  <c r="I532" i="20"/>
  <c r="I531" i="20"/>
  <c r="I530" i="20"/>
  <c r="I529" i="20"/>
  <c r="I528" i="20"/>
  <c r="I527" i="20"/>
  <c r="I526" i="20"/>
  <c r="I525" i="20"/>
  <c r="I524" i="20"/>
  <c r="I523" i="20"/>
  <c r="I522" i="20"/>
  <c r="I521" i="20"/>
  <c r="I520" i="20"/>
  <c r="I519" i="20"/>
  <c r="I518" i="20"/>
  <c r="I517" i="20"/>
  <c r="I516" i="20"/>
  <c r="I515" i="20"/>
  <c r="I514" i="20"/>
  <c r="I513" i="20"/>
  <c r="I512" i="20"/>
  <c r="I511" i="20"/>
  <c r="I510" i="20"/>
  <c r="I509" i="20"/>
  <c r="I508" i="20"/>
  <c r="I507" i="20"/>
  <c r="I506" i="20"/>
  <c r="I505" i="20"/>
  <c r="I504" i="20"/>
  <c r="I503" i="20"/>
  <c r="I502" i="20"/>
  <c r="I501" i="20"/>
  <c r="I500" i="20"/>
  <c r="I499" i="20"/>
  <c r="I498" i="20"/>
  <c r="I497" i="20"/>
  <c r="I496" i="20"/>
  <c r="I495" i="20"/>
  <c r="I494" i="20"/>
  <c r="I493" i="20"/>
  <c r="I492" i="20"/>
  <c r="I491" i="20"/>
  <c r="I490" i="20"/>
  <c r="I489" i="20"/>
  <c r="I488" i="20"/>
  <c r="I487" i="20"/>
  <c r="I486" i="20"/>
  <c r="I485" i="20"/>
  <c r="I484" i="20"/>
  <c r="I483" i="20"/>
  <c r="I482" i="20"/>
  <c r="I481" i="20"/>
  <c r="I480" i="20"/>
  <c r="I479" i="20"/>
  <c r="I478" i="20"/>
  <c r="I477" i="20"/>
  <c r="I476" i="20"/>
  <c r="I475" i="20"/>
  <c r="I474" i="20"/>
  <c r="I473" i="20"/>
  <c r="I472" i="20"/>
  <c r="I471" i="20"/>
  <c r="I470" i="20"/>
  <c r="I469" i="20"/>
  <c r="I468" i="20"/>
  <c r="I467" i="20"/>
  <c r="I466" i="20"/>
  <c r="I465" i="20"/>
  <c r="I464" i="20"/>
  <c r="I463" i="20"/>
  <c r="I462" i="20"/>
  <c r="I461" i="20"/>
  <c r="I460" i="20"/>
  <c r="I459" i="20"/>
  <c r="I458" i="20"/>
  <c r="I457" i="20"/>
  <c r="I456" i="20"/>
  <c r="I455" i="20"/>
  <c r="I454" i="20"/>
  <c r="I453" i="20"/>
  <c r="I452" i="20"/>
  <c r="I451" i="20"/>
  <c r="I450" i="20"/>
  <c r="I449" i="20"/>
  <c r="I448" i="20"/>
  <c r="I447" i="20"/>
  <c r="I446" i="20"/>
  <c r="I445" i="20"/>
  <c r="I444" i="20"/>
  <c r="I443" i="20"/>
  <c r="I442" i="20"/>
  <c r="I441" i="20"/>
  <c r="I440" i="20"/>
  <c r="I439" i="20"/>
  <c r="I438" i="20"/>
  <c r="I437" i="20"/>
  <c r="I436" i="20"/>
  <c r="I435" i="20"/>
  <c r="I434" i="20"/>
  <c r="I433" i="20"/>
  <c r="I432" i="20"/>
  <c r="I431" i="20"/>
  <c r="I430" i="20"/>
  <c r="I429" i="20"/>
  <c r="I428" i="20"/>
  <c r="I427" i="20"/>
  <c r="I426" i="20"/>
  <c r="I425" i="20"/>
  <c r="I424" i="20"/>
  <c r="I423" i="20"/>
  <c r="I422" i="20"/>
  <c r="I421" i="20"/>
  <c r="I420" i="20"/>
  <c r="I419" i="20"/>
  <c r="I418" i="20"/>
  <c r="I417" i="20"/>
  <c r="I416" i="20"/>
  <c r="I415" i="20"/>
  <c r="I414" i="20"/>
  <c r="I413" i="20"/>
  <c r="I412" i="20"/>
  <c r="I411" i="20"/>
  <c r="I410" i="20"/>
  <c r="I409" i="20"/>
  <c r="I408" i="20"/>
  <c r="I407" i="20"/>
  <c r="I406" i="20"/>
  <c r="I405" i="20"/>
  <c r="I404" i="20"/>
  <c r="I403" i="20"/>
  <c r="I402" i="20"/>
  <c r="I401" i="20"/>
  <c r="I400" i="20"/>
  <c r="I399" i="20"/>
  <c r="I398" i="20"/>
  <c r="I397" i="20"/>
  <c r="I396" i="20"/>
  <c r="I395" i="20"/>
  <c r="I394" i="20"/>
  <c r="I393" i="20"/>
  <c r="I392" i="20"/>
  <c r="I391" i="20"/>
  <c r="I390" i="20"/>
  <c r="I389" i="20"/>
  <c r="I388" i="20"/>
  <c r="I387" i="20"/>
  <c r="I386" i="20"/>
  <c r="I385" i="20"/>
  <c r="I384" i="20"/>
  <c r="I383" i="20"/>
  <c r="I382" i="20"/>
  <c r="I381" i="20"/>
  <c r="I380" i="20"/>
  <c r="I379" i="20"/>
  <c r="I378" i="20"/>
  <c r="I377" i="20"/>
  <c r="I376" i="20"/>
  <c r="I375" i="20"/>
  <c r="I374" i="20"/>
  <c r="I373" i="20"/>
  <c r="I372" i="20"/>
  <c r="I371" i="20"/>
  <c r="I370" i="20"/>
  <c r="I369" i="20"/>
  <c r="I368" i="20"/>
  <c r="I367" i="20"/>
  <c r="I366" i="20"/>
  <c r="I365" i="20"/>
  <c r="I364" i="20"/>
  <c r="I363" i="20"/>
  <c r="I362" i="20"/>
  <c r="I361" i="20"/>
  <c r="I360" i="20"/>
  <c r="I359" i="20"/>
  <c r="I358" i="20"/>
  <c r="I357" i="20"/>
  <c r="I356" i="20"/>
  <c r="I355" i="20"/>
  <c r="I354" i="20"/>
  <c r="I353" i="20"/>
  <c r="I352" i="20"/>
  <c r="I351" i="20"/>
  <c r="I350" i="20"/>
  <c r="I349" i="20"/>
  <c r="I348" i="20"/>
  <c r="I347" i="20"/>
  <c r="I346" i="20"/>
  <c r="I345" i="20"/>
  <c r="I344" i="20"/>
  <c r="I343" i="20"/>
  <c r="I342" i="20"/>
  <c r="I341" i="20"/>
  <c r="I340" i="20"/>
  <c r="I339" i="20"/>
  <c r="I338" i="20"/>
  <c r="I337" i="20"/>
  <c r="I336" i="20"/>
  <c r="I335" i="20"/>
  <c r="I334" i="20"/>
  <c r="I333" i="20"/>
  <c r="I332" i="20"/>
  <c r="I331" i="20"/>
  <c r="I330" i="20"/>
  <c r="I329" i="20"/>
  <c r="I328" i="20"/>
  <c r="I327" i="20"/>
  <c r="I326" i="20"/>
  <c r="I325" i="20"/>
  <c r="I324" i="20"/>
  <c r="I323" i="20"/>
  <c r="I322" i="20"/>
  <c r="I321" i="20"/>
  <c r="I320" i="20"/>
  <c r="I319" i="20"/>
  <c r="I318" i="20"/>
  <c r="I317" i="20"/>
  <c r="I316" i="20"/>
  <c r="I315" i="20"/>
  <c r="I314" i="20"/>
  <c r="I313" i="20"/>
  <c r="I312" i="20"/>
  <c r="I311" i="20"/>
  <c r="I310" i="20"/>
  <c r="I309" i="20"/>
  <c r="I308" i="20"/>
  <c r="I307" i="20"/>
  <c r="I306" i="20"/>
  <c r="I305" i="20"/>
  <c r="I304" i="20"/>
  <c r="I303" i="20"/>
  <c r="I302" i="20"/>
  <c r="I301" i="20"/>
  <c r="I300" i="20"/>
  <c r="I299" i="20"/>
  <c r="I298" i="20"/>
  <c r="I297" i="20"/>
  <c r="I296" i="20"/>
  <c r="I295" i="20"/>
  <c r="I294" i="20"/>
  <c r="I293" i="20"/>
  <c r="I292" i="20"/>
  <c r="I291" i="20"/>
  <c r="I290" i="20"/>
  <c r="I289" i="20"/>
  <c r="I288" i="20"/>
  <c r="I287" i="20"/>
  <c r="I286" i="20"/>
  <c r="I285" i="20"/>
  <c r="I284" i="20"/>
  <c r="I283" i="20"/>
  <c r="I282" i="20"/>
  <c r="I281" i="20"/>
  <c r="I280" i="20"/>
  <c r="I279" i="20"/>
  <c r="I278" i="20"/>
  <c r="I277" i="20"/>
  <c r="I276" i="20"/>
  <c r="I275" i="20"/>
  <c r="I274" i="20"/>
  <c r="I273" i="20"/>
  <c r="I272" i="20"/>
  <c r="I271" i="20"/>
  <c r="I270" i="20"/>
  <c r="I269" i="20"/>
  <c r="I268" i="20"/>
  <c r="I267" i="20"/>
  <c r="I266" i="20"/>
  <c r="I265" i="20"/>
  <c r="I264" i="20"/>
  <c r="I263" i="20"/>
  <c r="I262" i="20"/>
  <c r="I261" i="20"/>
  <c r="I260" i="20"/>
  <c r="I259" i="20"/>
  <c r="I258" i="20"/>
  <c r="I257" i="20"/>
  <c r="I256" i="20"/>
  <c r="I255" i="20"/>
  <c r="I254" i="20"/>
  <c r="I253" i="20"/>
  <c r="I252" i="20"/>
  <c r="I251" i="20"/>
  <c r="I250" i="20"/>
  <c r="I249" i="20"/>
  <c r="I248" i="20"/>
  <c r="I247" i="20"/>
  <c r="I246" i="20"/>
  <c r="I245" i="20"/>
  <c r="I244" i="20"/>
  <c r="I243" i="20"/>
  <c r="I242" i="20"/>
  <c r="I241" i="20"/>
  <c r="I240" i="20"/>
  <c r="I239" i="20"/>
  <c r="I238" i="20"/>
  <c r="I237" i="20"/>
  <c r="I236" i="20"/>
  <c r="I235" i="20"/>
  <c r="I234" i="20"/>
  <c r="I233" i="20"/>
  <c r="I232" i="20"/>
  <c r="I231" i="20"/>
  <c r="I230" i="20"/>
  <c r="I229" i="20"/>
  <c r="I228" i="20"/>
  <c r="I227" i="20"/>
  <c r="I226" i="20"/>
  <c r="I225" i="20"/>
  <c r="I224" i="20"/>
  <c r="I223" i="20"/>
  <c r="I222" i="20"/>
  <c r="I221" i="20"/>
  <c r="I220" i="20"/>
  <c r="I219" i="20"/>
  <c r="I218" i="20"/>
  <c r="I217" i="20"/>
  <c r="I216" i="20"/>
  <c r="I215" i="20"/>
  <c r="I214" i="20"/>
  <c r="I213" i="20"/>
  <c r="I212" i="20"/>
  <c r="I211" i="20"/>
  <c r="I210" i="20"/>
  <c r="I209" i="20"/>
  <c r="I208" i="20"/>
  <c r="I207" i="20"/>
  <c r="I206" i="20"/>
  <c r="I205" i="20"/>
  <c r="I204" i="20"/>
  <c r="I203" i="20"/>
  <c r="I202" i="20"/>
  <c r="I201" i="20"/>
  <c r="I200" i="20"/>
  <c r="I199" i="20"/>
  <c r="I198" i="20"/>
  <c r="I197" i="20"/>
  <c r="I196" i="20"/>
  <c r="I195" i="20"/>
  <c r="I194" i="20"/>
  <c r="I193" i="20"/>
  <c r="I192" i="20"/>
  <c r="I191" i="20"/>
  <c r="I190" i="20"/>
  <c r="I189" i="20"/>
  <c r="I188" i="20"/>
  <c r="I187" i="20"/>
  <c r="I186" i="20"/>
  <c r="I185" i="20"/>
  <c r="I184" i="20"/>
  <c r="I183" i="20"/>
  <c r="I182" i="20"/>
  <c r="I181" i="20"/>
  <c r="I180" i="20"/>
  <c r="I179" i="20"/>
  <c r="I178" i="20"/>
  <c r="I177" i="20"/>
  <c r="I176" i="20"/>
  <c r="I175" i="20"/>
  <c r="I174" i="20"/>
  <c r="I173" i="20"/>
  <c r="I172" i="20"/>
  <c r="I171" i="20"/>
  <c r="I170" i="20"/>
  <c r="I169" i="20"/>
  <c r="I168" i="20"/>
  <c r="I167" i="20"/>
  <c r="I166" i="20"/>
  <c r="I165" i="20"/>
  <c r="I164" i="20"/>
  <c r="I163" i="20"/>
  <c r="I162" i="20"/>
  <c r="I161" i="20"/>
  <c r="I160" i="20"/>
  <c r="I159" i="20"/>
  <c r="I158" i="20"/>
  <c r="I157" i="20"/>
  <c r="I156" i="20"/>
  <c r="I155" i="20"/>
  <c r="I154" i="20"/>
  <c r="I153" i="20"/>
  <c r="I152" i="20"/>
  <c r="I151" i="20"/>
  <c r="I150" i="20"/>
  <c r="I149" i="20"/>
  <c r="I148" i="20"/>
  <c r="I147" i="20"/>
  <c r="I146" i="20"/>
  <c r="I145" i="20"/>
  <c r="I144" i="20"/>
  <c r="I143" i="20"/>
  <c r="I142" i="20"/>
  <c r="I141" i="20"/>
  <c r="I140" i="20"/>
  <c r="I139" i="20"/>
  <c r="I138" i="20"/>
  <c r="I137" i="20"/>
  <c r="I136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I1081" i="20" s="1"/>
  <c r="T702" i="19"/>
  <c r="T704" i="19" s="1"/>
  <c r="U701" i="19"/>
  <c r="W701" i="19" s="1"/>
  <c r="U700" i="19"/>
  <c r="W700" i="19" s="1"/>
  <c r="U699" i="19"/>
  <c r="W699" i="19" s="1"/>
  <c r="U698" i="19"/>
  <c r="W698" i="19" s="1"/>
  <c r="W702" i="19" s="1"/>
  <c r="G695" i="19"/>
  <c r="F695" i="19"/>
  <c r="E695" i="19"/>
  <c r="H693" i="19"/>
  <c r="H692" i="19"/>
  <c r="H691" i="19"/>
  <c r="H690" i="19"/>
  <c r="H689" i="19"/>
  <c r="H688" i="19"/>
  <c r="H687" i="19"/>
  <c r="H686" i="19"/>
  <c r="H685" i="19"/>
  <c r="H684" i="19"/>
  <c r="H683" i="19"/>
  <c r="H682" i="19"/>
  <c r="H681" i="19"/>
  <c r="H680" i="19"/>
  <c r="H679" i="19"/>
  <c r="H678" i="19"/>
  <c r="H677" i="19"/>
  <c r="H676" i="19"/>
  <c r="H675" i="19"/>
  <c r="H674" i="19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695" i="19" s="1"/>
  <c r="H4" i="19"/>
  <c r="H3" i="19"/>
  <c r="H2" i="19"/>
  <c r="I29" i="1"/>
  <c r="I44" i="1" s="1"/>
  <c r="H29" i="1"/>
  <c r="I52" i="1"/>
  <c r="I14" i="1"/>
  <c r="P860" i="21" l="1"/>
  <c r="N858" i="21"/>
  <c r="P858" i="21" s="1"/>
  <c r="N860" i="21"/>
  <c r="O858" i="21"/>
  <c r="O860" i="21"/>
  <c r="N859" i="21"/>
  <c r="P859" i="21" s="1"/>
  <c r="H1090" i="20"/>
  <c r="H1100" i="20"/>
  <c r="G1100" i="20"/>
  <c r="F1100" i="20"/>
  <c r="D1100" i="20"/>
  <c r="C1100" i="20"/>
  <c r="C1098" i="20"/>
  <c r="H1098" i="20"/>
  <c r="D1098" i="20"/>
  <c r="G1098" i="20"/>
  <c r="F1098" i="20"/>
  <c r="G1090" i="20"/>
  <c r="G1092" i="20"/>
  <c r="H1092" i="20" s="1"/>
  <c r="V698" i="19"/>
  <c r="V700" i="19"/>
  <c r="X700" i="19" s="1"/>
  <c r="U702" i="19"/>
  <c r="V699" i="19"/>
  <c r="X699" i="19" s="1"/>
  <c r="V701" i="19"/>
  <c r="X701" i="19" s="1"/>
  <c r="I50" i="1"/>
  <c r="I34" i="1"/>
  <c r="I36" i="1" s="1"/>
  <c r="I39" i="1" s="1"/>
  <c r="I46" i="1"/>
  <c r="I48" i="1"/>
  <c r="I20" i="1"/>
  <c r="I12" i="1"/>
  <c r="H12" i="1"/>
  <c r="I27" i="1"/>
  <c r="H27" i="1"/>
  <c r="I11" i="1"/>
  <c r="I19" i="1" s="1"/>
  <c r="G1099" i="20" l="1"/>
  <c r="F1099" i="20"/>
  <c r="F1102" i="20" s="1"/>
  <c r="D1099" i="20"/>
  <c r="D1102" i="20" s="1"/>
  <c r="C1099" i="20"/>
  <c r="H1099" i="20"/>
  <c r="H1102" i="20" s="1"/>
  <c r="C1102" i="20"/>
  <c r="G1094" i="20"/>
  <c r="H1094" i="20" s="1"/>
  <c r="D1101" i="20"/>
  <c r="C1101" i="20"/>
  <c r="H1101" i="20"/>
  <c r="G1101" i="20"/>
  <c r="G1102" i="20" s="1"/>
  <c r="F1101" i="20"/>
  <c r="X698" i="19"/>
  <c r="V702" i="19"/>
  <c r="W710" i="19"/>
  <c r="V710" i="19"/>
  <c r="T710" i="19"/>
  <c r="U710" i="19"/>
  <c r="X710" i="19"/>
  <c r="U712" i="19"/>
  <c r="T712" i="19"/>
  <c r="X712" i="19"/>
  <c r="V712" i="19"/>
  <c r="W712" i="19"/>
  <c r="X702" i="19"/>
  <c r="X711" i="19"/>
  <c r="W711" i="19"/>
  <c r="V711" i="19"/>
  <c r="U711" i="19"/>
  <c r="T711" i="19"/>
  <c r="I30" i="1"/>
  <c r="H30" i="1"/>
  <c r="T709" i="19" l="1"/>
  <c r="T713" i="19" s="1"/>
  <c r="X709" i="19"/>
  <c r="X713" i="19" s="1"/>
  <c r="W709" i="19"/>
  <c r="W713" i="19" s="1"/>
  <c r="V709" i="19"/>
  <c r="V713" i="19" s="1"/>
  <c r="U709" i="19"/>
  <c r="U713" i="19" s="1"/>
  <c r="G14" i="1"/>
  <c r="H11" i="1" l="1"/>
  <c r="I28" i="1" l="1"/>
  <c r="I26" i="1"/>
  <c r="I25" i="1"/>
  <c r="I32" i="1"/>
  <c r="H32" i="1"/>
  <c r="H28" i="1" l="1"/>
  <c r="H25" i="1"/>
  <c r="I13" i="1"/>
  <c r="I21" i="1" s="1"/>
  <c r="H13" i="1"/>
  <c r="I10" i="1"/>
  <c r="I18" i="1" s="1"/>
  <c r="I9" i="1"/>
  <c r="I17" i="1" l="1"/>
  <c r="I23" i="1"/>
  <c r="H10" i="1"/>
  <c r="H9" i="1"/>
  <c r="H26" i="1"/>
  <c r="I31" i="1"/>
  <c r="H14" i="1" l="1"/>
</calcChain>
</file>

<file path=xl/sharedStrings.xml><?xml version="1.0" encoding="utf-8"?>
<sst xmlns="http://schemas.openxmlformats.org/spreadsheetml/2006/main" count="35031" uniqueCount="5996">
  <si>
    <t>CURRENCY  : KENYA SHILLINGS</t>
  </si>
  <si>
    <t>MEDICAL QUOTA SHARE TREATY</t>
  </si>
  <si>
    <t>INCOME</t>
  </si>
  <si>
    <t>U/W YEAR</t>
  </si>
  <si>
    <t xml:space="preserve"> PREMIUM</t>
  </si>
  <si>
    <t>RETENTION</t>
  </si>
  <si>
    <t>R/I PREMIUM</t>
  </si>
  <si>
    <t>Quarter</t>
  </si>
  <si>
    <t>TOTAL INCOME</t>
  </si>
  <si>
    <t>OUTGO</t>
  </si>
  <si>
    <t>COMMISSION</t>
  </si>
  <si>
    <t>PREMIUM TAX</t>
  </si>
  <si>
    <t>CLAIMS PAID</t>
  </si>
  <si>
    <t>TOTAL OUTGO</t>
  </si>
  <si>
    <t>BALANCE</t>
  </si>
  <si>
    <t xml:space="preserve">BALANCE DUE TO/(BY) GA </t>
  </si>
  <si>
    <t>R/I SHARE</t>
  </si>
  <si>
    <t>KENYA RE   (25%)</t>
  </si>
  <si>
    <t>PTA RE       (25%)</t>
  </si>
  <si>
    <t>CONTINENTAL  RE        (5%)</t>
  </si>
  <si>
    <t>Prepared By: Austine Ochola</t>
  </si>
  <si>
    <t>Confirmed By: Cedric Mbukhitsa</t>
  </si>
  <si>
    <t>COMPLETE SOLUTIONS INSURANCE BROKERS</t>
  </si>
  <si>
    <t>BROKER</t>
  </si>
  <si>
    <t>COUNTY ASSEMBLY OF MOMBASA</t>
  </si>
  <si>
    <t>DIRECT</t>
  </si>
  <si>
    <t>COUNTY ASSEMBLY OF MAKUENI</t>
  </si>
  <si>
    <t>HOPE WORLDWIDE KENYA</t>
  </si>
  <si>
    <t>MTN INSURANCE AGENCIES</t>
  </si>
  <si>
    <t>AGENT</t>
  </si>
  <si>
    <t>MUFTI INSURANCE AGENCY LIMITED</t>
  </si>
  <si>
    <t>I&amp;M INSURANCE AGENCY-NAIROBI</t>
  </si>
  <si>
    <t>ICON KENYA INSURANCE AGENCIES LTD-NAIROBI</t>
  </si>
  <si>
    <t>ZAMARA RISK AND INSURANCE BROKERS LTD</t>
  </si>
  <si>
    <t>GA INSURANCE LIMITED</t>
  </si>
  <si>
    <t>INDEPENDENT POLICING OVERSIGHT AUTHORITY</t>
  </si>
  <si>
    <t>BAPA RETAIL PRODUCT</t>
  </si>
  <si>
    <t>BAPA INSURANCE BROKERS LTD</t>
  </si>
  <si>
    <t>CHESTER INSURANCE BROKERS LIMITED-NAIROBI</t>
  </si>
  <si>
    <t>TELKOM KENYA LIMITED</t>
  </si>
  <si>
    <t>INSURITAS INSURANCE AGENCY</t>
  </si>
  <si>
    <t>KOMEKO INSURANCE AGENCY</t>
  </si>
  <si>
    <t>PURATOS KENYA LIMITED</t>
  </si>
  <si>
    <t>BEKI - LINK INSURANCE AGENCY</t>
  </si>
  <si>
    <t>D&amp;G INSURANCE BROKERS LTD</t>
  </si>
  <si>
    <t>JAMII TELECOMMUNICATIONS BRONZE</t>
  </si>
  <si>
    <t>YAH HAWI INSURANCE AGENCY</t>
  </si>
  <si>
    <t>PARAMOUNT BANK</t>
  </si>
  <si>
    <t>ICK INSURANCE BROKERS</t>
  </si>
  <si>
    <t>JIMMYS INSURANCE AGENCY</t>
  </si>
  <si>
    <t>K SEMBI INSURANCE BROKERS LTD</t>
  </si>
  <si>
    <t>KANSAI PLASCON KENYA LTD.</t>
  </si>
  <si>
    <t>J.W. SEAGON AND CO INSURANCE BROKERS (KENYA) LTD</t>
  </si>
  <si>
    <t>DIRECTLINE ASSURANCE COMPANY LTD</t>
  </si>
  <si>
    <t>BTB INSURANCE BROKERS LTD-NAIROBI</t>
  </si>
  <si>
    <t>WWF INTERNATIONAL</t>
  </si>
  <si>
    <t>PREMIER SOLAR SOLUTIONS LIMITED</t>
  </si>
  <si>
    <t>BIOLITE HOLDINGS KENYA LIMITED</t>
  </si>
  <si>
    <t>AXIS DIRECT INSURANCE AGENCY</t>
  </si>
  <si>
    <t>LIFECARE INTERNATIONAL INSURANCE BROKERS LIMITED.</t>
  </si>
  <si>
    <t>KENYA FORESTRY RESEARCH INSTITUTE STAFF</t>
  </si>
  <si>
    <t>LASER INSURANCE BROKERS LIMITED</t>
  </si>
  <si>
    <t>LORETO GROUP OF SCHOOLS</t>
  </si>
  <si>
    <t>WPP SCANGROUP PLC</t>
  </si>
  <si>
    <t>I AND M BANK</t>
  </si>
  <si>
    <t>TRISONS INSURANCE BROKERS LIMITED</t>
  </si>
  <si>
    <t>LIFECARE INTERNATIONAL INSURANCE BROKERS LIMITED</t>
  </si>
  <si>
    <t>PKF MOMBASA</t>
  </si>
  <si>
    <t>THE AGA KHAN ACADEMY MOMBASA</t>
  </si>
  <si>
    <t>GLOVO INFRASTRUCTURE SERVICES KENYA LTD</t>
  </si>
  <si>
    <t>OBRADLEYS INVESTMENT LIMITED</t>
  </si>
  <si>
    <t>BIZSURE INSURANCE AGENCY</t>
  </si>
  <si>
    <t>C DORMAN SEZ LIMITED</t>
  </si>
  <si>
    <t>LAMARDO INSURANCE AGENCY</t>
  </si>
  <si>
    <t>IMAGE INSURANCE BROKERS LTD</t>
  </si>
  <si>
    <t>AGA KHAN EDUCATION SERVICE EAST AFRICA</t>
  </si>
  <si>
    <t>DIAMOND TRUST BANCASSURANCE INTERMEDIARY (DTBI) LTD -AKESK</t>
  </si>
  <si>
    <t>HOTPOINT APPLIANCES LIMITED</t>
  </si>
  <si>
    <t>MTC TRUST CORPORATE AND SERVICES LTD</t>
  </si>
  <si>
    <t>WATU CREDIT LIMITED</t>
  </si>
  <si>
    <t>REFUSHE KENYA</t>
  </si>
  <si>
    <t>SEDGWICK INSURANCE BROKERS LIMITED</t>
  </si>
  <si>
    <t>SPW INSURANCE AGENCY</t>
  </si>
  <si>
    <t>COSMOS LIMITED</t>
  </si>
  <si>
    <t>ROAM ELECTRIC LIMITED</t>
  </si>
  <si>
    <t>WORLD CONCERN</t>
  </si>
  <si>
    <t>PEACE OF MIND INSURANCE BROKERS LIMITED</t>
  </si>
  <si>
    <t>KEA1B/CC827/23/000001/01</t>
  </si>
  <si>
    <t>ACENTRIA INSURANCE BROKERS LTD</t>
  </si>
  <si>
    <t>ACENTRIA INSURANCE BROKERS</t>
  </si>
  <si>
    <t>UNIVERSAL MARKETING INSURANCE AGENCIES LTD.</t>
  </si>
  <si>
    <t>CHEKI KENYA LIMITED</t>
  </si>
  <si>
    <t>HILLCROFT INSURANCE BROKERS LIMITED (M-TEK)</t>
  </si>
  <si>
    <t>OPTIMUS INSURANCE AGENCY LTD</t>
  </si>
  <si>
    <t>MINET KENYA INSURANCE BROKERS LTD</t>
  </si>
  <si>
    <t>KONARK INSURANCE AGENCY</t>
  </si>
  <si>
    <t>PREMIER ACADEMY</t>
  </si>
  <si>
    <t>KAPA OIL REFINERIES LTD.</t>
  </si>
  <si>
    <t>AHUD NESTA INSURANCE AGENCY LIMITED</t>
  </si>
  <si>
    <t>PKF CONSULTING</t>
  </si>
  <si>
    <t>GREENHILL INVESTMENT LTD</t>
  </si>
  <si>
    <t>TEE VEE INSURANCE BROKER LTD.</t>
  </si>
  <si>
    <t>PRIME BANK LTD</t>
  </si>
  <si>
    <t>NYADWE INSURANCE BROKERS LIMITED</t>
  </si>
  <si>
    <t>AUM INSURANCE BROKERS - MEDICAL RETAIL SCHEME</t>
  </si>
  <si>
    <t>SIMBA CORPORATION LTD</t>
  </si>
  <si>
    <t>TILE AND CARPET CENTRE LIMITED</t>
  </si>
  <si>
    <t>LAMAR INSURANCE AGENCY-MOMBASA</t>
  </si>
  <si>
    <t>POLICYMART INSURANCE BROKERS LIMITED</t>
  </si>
  <si>
    <t>HIFADHI INSURANCE AGENCY</t>
  </si>
  <si>
    <t>SYNER MED PHARMACEUTICALS (KENYA)LIMITED</t>
  </si>
  <si>
    <t>LADY LORI (KENYA) LIMITED</t>
  </si>
  <si>
    <t>INDER SINGH GILL</t>
  </si>
  <si>
    <t>KENAFRIC INDUSTRIES LIMITED</t>
  </si>
  <si>
    <t>MILDRED A. OCHIENG</t>
  </si>
  <si>
    <t>BASCO PRODUCTS (KENYA) LTD</t>
  </si>
  <si>
    <t>AGILITY LOGISTICS LIMITED</t>
  </si>
  <si>
    <t>EIDU KENYA LIMITED</t>
  </si>
  <si>
    <t>ORIENTAL MILLS LIMITED</t>
  </si>
  <si>
    <t>I AND M RETAIL COMMUNITY PRODUCT</t>
  </si>
  <si>
    <t>KEA1B/MC953/23/000001/01</t>
  </si>
  <si>
    <t>LIONS SIGHTFIRST EYE HOSPITAL</t>
  </si>
  <si>
    <t>THE LAZIZI PREMIERE LIMITED</t>
  </si>
  <si>
    <t>KEA1B/MC948/23/000001/01</t>
  </si>
  <si>
    <t>JAFFERY ACADEMY (KSI EDUCATION BOARD - STAFF)</t>
  </si>
  <si>
    <t>I AND M RETAIL COMMUNITY PRODUCT NO WAITING PERIODS</t>
  </si>
  <si>
    <t>KEA1B/MC955/23/000001/01</t>
  </si>
  <si>
    <t>AMSOL LIMITED</t>
  </si>
  <si>
    <t>GADSON NJOROGE KAGIRI</t>
  </si>
  <si>
    <t>KIMETRICA LLC</t>
  </si>
  <si>
    <t>PKF AUDIT</t>
  </si>
  <si>
    <t>ASSOCIATED VEHICLE ASSEMBLERS LIMITED</t>
  </si>
  <si>
    <t>KEA1B/MC840/23/000001/01</t>
  </si>
  <si>
    <t>LAMI INSURANCE AGENCY</t>
  </si>
  <si>
    <t>AAA GROWERS LIMITED</t>
  </si>
  <si>
    <t>SIKA KENYA LIMITED</t>
  </si>
  <si>
    <t>Q-SOURCING LIMITED</t>
  </si>
  <si>
    <t>KIOTA INSURANCE AGENCY LIMITED</t>
  </si>
  <si>
    <t>ALLION INSURANCE BROKERS LTD</t>
  </si>
  <si>
    <t>ANGLICAN DEVELOPMENT SERVICES NORTH RIFT REGION (ADS NRR)LIMITED</t>
  </si>
  <si>
    <t>SUN PHARMA EAST AFRICA LIMITED</t>
  </si>
  <si>
    <t>NAIROBI INTERNATIONAL SCHOOL</t>
  </si>
  <si>
    <t>MICATO SAFARIS</t>
  </si>
  <si>
    <t>HAPPY NATIONS INSURANCE AGENCY</t>
  </si>
  <si>
    <t>PHASTAR LIMITED</t>
  </si>
  <si>
    <t>WADI DEGLA INVESTMENT (KENYA) LIMITED</t>
  </si>
  <si>
    <t>OERB- OSHWAL ACADEMY NAIROBI PRIMARY</t>
  </si>
  <si>
    <t>QUICK MART LIMITED</t>
  </si>
  <si>
    <t>CHRIST IS THE ANSWER MINISTRIES (CITAM)</t>
  </si>
  <si>
    <t>OERB- OSHWAL ACADEMY NAIROBI JUNIOR HIGH</t>
  </si>
  <si>
    <t>NOVACOM SYSTEMS LIMITED</t>
  </si>
  <si>
    <t>OERB- OSHWAL ACADEMY MOMBASA</t>
  </si>
  <si>
    <t>DEBIT</t>
  </si>
  <si>
    <t>ALMAR CONTAINERS (EAST AFRICA) LIMITED</t>
  </si>
  <si>
    <t>KENYA MEDICAL RESEARCH INSTITUTE - MALARIA PROJECT</t>
  </si>
  <si>
    <t>SHEAL LIMITED</t>
  </si>
  <si>
    <t>KENYA MEDICAL RESEARCH INSTITUTE ? RCPT</t>
  </si>
  <si>
    <t>NATIONAL COUNCIL FOR POPULATION DEVELOPMENT</t>
  </si>
  <si>
    <t>COUNTY ASSEMBLY OF MARSABIT</t>
  </si>
  <si>
    <t>THE LIFE MINISTRY KENYA</t>
  </si>
  <si>
    <t>FREIGHT IN TIME LTD</t>
  </si>
  <si>
    <t>DOSHI AND CO (HARDWARE) STEEL DIV. NRB.</t>
  </si>
  <si>
    <t>U.S. EMBASSY- AEA</t>
  </si>
  <si>
    <t>U.S. EMBASSY- PEACE CORPS KENYA</t>
  </si>
  <si>
    <t>U.S. EMBASSY</t>
  </si>
  <si>
    <t>USAID- KENYA</t>
  </si>
  <si>
    <t>CREDIT</t>
  </si>
  <si>
    <t>GENERATION PROGRAMME KENYA</t>
  </si>
  <si>
    <t>BOUNTY LINK INSURANCE AGENCY</t>
  </si>
  <si>
    <t>WOOLWORTHS (KENYA) PROPRIETARY LIMITED</t>
  </si>
  <si>
    <t>ELGON KENYA LIMITED</t>
  </si>
  <si>
    <t>A.H. HARKHANI &amp; CO. INSURANCE AGENCY</t>
  </si>
  <si>
    <t>FAIRCHAIN KENYA (EPZ) LIMITED</t>
  </si>
  <si>
    <t>EQUITY INSURANCE AGENCY LIMITED</t>
  </si>
  <si>
    <t>PROMACO LIMITED</t>
  </si>
  <si>
    <t>FURNITURE PALACE INTERNATIONAL (K) LIMITED</t>
  </si>
  <si>
    <t>ICM SPA LIMITED</t>
  </si>
  <si>
    <t>SYMAX INSURANCE AGENCIES</t>
  </si>
  <si>
    <t>FOOD FOR EDUCATION FOUNDATION</t>
  </si>
  <si>
    <t>ABSA BANCASSURANCE INTERMEDIARY LIMITED</t>
  </si>
  <si>
    <t>PATTNI BROTHERHOOD</t>
  </si>
  <si>
    <t>KEA1B/MD142/23/000001/01</t>
  </si>
  <si>
    <t>SAM ELIMU FOUNDATION</t>
  </si>
  <si>
    <t>HIGHLANDS DRINKS LIMITED</t>
  </si>
  <si>
    <t>BAPS SWAMINARAYAN</t>
  </si>
  <si>
    <t>KEA1B/MD171/23/000001/01</t>
  </si>
  <si>
    <t>TOM MBOYA ACHIENG</t>
  </si>
  <si>
    <t>JETWAYS AIRLINES LIMITED</t>
  </si>
  <si>
    <t>KAISA INSURANCE AGENCY</t>
  </si>
  <si>
    <t>SKYWARD EXPRESS LIMITED</t>
  </si>
  <si>
    <t>KEA1B/MC835/23/000001/01</t>
  </si>
  <si>
    <t>ASTRAL AVIATION LIMITED</t>
  </si>
  <si>
    <t>DUNHILL CONSULTING LIMITED</t>
  </si>
  <si>
    <t>COMPLETE SOLUTIONS INSURANCE BROKERS HINDU</t>
  </si>
  <si>
    <t>SERENITY SPA LIMITED</t>
  </si>
  <si>
    <t>RED DOT DISTRIBUTION LTD</t>
  </si>
  <si>
    <t>IDEAL APPLIANCES LTD</t>
  </si>
  <si>
    <t>MART NETWORKS KENYA LTD</t>
  </si>
  <si>
    <t>AFRICA BIOSYSTEMS LIMITED</t>
  </si>
  <si>
    <t>NOMURA INSURANCE BROKERS LTD-MOMBASA</t>
  </si>
  <si>
    <t>MJENGO LIMITED</t>
  </si>
  <si>
    <t>IDEOLOGIE LIMITED</t>
  </si>
  <si>
    <t>UNIVERSAL INSURANCE BROKERS LIMITED</t>
  </si>
  <si>
    <t>SUNFLAG</t>
  </si>
  <si>
    <t>CARE INTERNATIONAL IN KENYA.</t>
  </si>
  <si>
    <t>SIMBA TECHNOLOGY LIMITED</t>
  </si>
  <si>
    <t>TUNGA NUTRITION</t>
  </si>
  <si>
    <t>VILLA ROSA KEMPINSKI</t>
  </si>
  <si>
    <t>ESHWAR RAO AND ASSOCIATES</t>
  </si>
  <si>
    <t>MKOMANI CLINIC SOCIETY</t>
  </si>
  <si>
    <t>ONE TO ONE LOGISTICS KENYA LIMITED</t>
  </si>
  <si>
    <t>TILISI DEVELOPMENTS PLC</t>
  </si>
  <si>
    <t>FREE THE CHILDREN</t>
  </si>
  <si>
    <t>COMPLETE SOLUTIONS INSURANCE BROKERS LTD</t>
  </si>
  <si>
    <t>DIRECT AGENT</t>
  </si>
  <si>
    <t>OUTSOURCE TECHNIQUE LIMITED</t>
  </si>
  <si>
    <t>KILIMANJARO BISCUITS LIMITED</t>
  </si>
  <si>
    <t>SERV ALL INSURANCE AGENCY LTD</t>
  </si>
  <si>
    <t>BLACK PETALS LTD</t>
  </si>
  <si>
    <t>EKA HOTEL</t>
  </si>
  <si>
    <t>MANRIK HOLDINGS LTD</t>
  </si>
  <si>
    <t>ETG GROUP</t>
  </si>
  <si>
    <t>NAIROBI STREET KITCHEN LIMITED</t>
  </si>
  <si>
    <t>OERB- OSHWAL COLLEGE</t>
  </si>
  <si>
    <t>ETG INSURANCE BROKERS LTD</t>
  </si>
  <si>
    <t>NORTHERN RANGELANDS TRUST</t>
  </si>
  <si>
    <t>COUNTY ASSEMBLY OF KIAMBU</t>
  </si>
  <si>
    <t>KEA1B/MD193/23/000001/01</t>
  </si>
  <si>
    <t>PC/04/2022/7034677/01</t>
  </si>
  <si>
    <t>KEA1B/MD234/23/000001/01</t>
  </si>
  <si>
    <t>PC/04/2018/2399210/05</t>
  </si>
  <si>
    <t>KEA1B/CD260/23/000001/01</t>
  </si>
  <si>
    <t>CORE MARKETING SERVICES</t>
  </si>
  <si>
    <t>BAOBAB BEACH RESORT MOMBASA LTD</t>
  </si>
  <si>
    <t>KEA1B/CD278/23/000001/01</t>
  </si>
  <si>
    <t>CUVVA INSURANCE AGENCY LIMITED</t>
  </si>
  <si>
    <t>PRINTECH &amp; PACK LIMITED</t>
  </si>
  <si>
    <t>SIMBA DUTY FREE LIMITED</t>
  </si>
  <si>
    <t>I-HUB LIMITED</t>
  </si>
  <si>
    <t>KEA1B/CD346/23/000001/01</t>
  </si>
  <si>
    <t>HINDU COUNCIL OF KENYA PLAN TWO MILLION SENIOR PLUS</t>
  </si>
  <si>
    <t>KEA1B/MD169/23/000001/01</t>
  </si>
  <si>
    <t>NIHAR INSURANCE AGENCY</t>
  </si>
  <si>
    <t>SIKH COUNCIL OF KENYA</t>
  </si>
  <si>
    <t>CHESTER COMMUNITY PRODUCT</t>
  </si>
  <si>
    <t>HINDU COUNCIL OVERALL</t>
  </si>
  <si>
    <t>KEA1B/MD298/23/000001/01</t>
  </si>
  <si>
    <t>HINDU COUNCIL OVERALL FIVE MILLION</t>
  </si>
  <si>
    <t>KEA1B/MD302/23/000001/01</t>
  </si>
  <si>
    <t>HINDU COUNCIL OVERALL THREE MILLION MAY</t>
  </si>
  <si>
    <t>KEA1B/MD306/23/000001/01</t>
  </si>
  <si>
    <t>AUM RETAIL RENEWAL</t>
  </si>
  <si>
    <t>KEA1B/MD341/23/000001/01</t>
  </si>
  <si>
    <t>CROWE ADVISORY LIMITED</t>
  </si>
  <si>
    <t>STANBIC BANCASSURANCE INTERMEDIARY LIMITED</t>
  </si>
  <si>
    <t>BTB INSURANCE BROKERS LIMITED</t>
  </si>
  <si>
    <t>MOMBASA CEMENT LIMITED</t>
  </si>
  <si>
    <t>MOMBASA CEMENT LTD (ATHI RIVER BRANCH)</t>
  </si>
  <si>
    <t>NAIROBI JAFFERY ACADEMY</t>
  </si>
  <si>
    <t>ARISTOCRATS INSURANCE BROKERS LIMITED</t>
  </si>
  <si>
    <t>MOMBASA WATER SUPPLY AND SANITATION COMPANY LTD</t>
  </si>
  <si>
    <t>METAL CROWNS LIMITED</t>
  </si>
  <si>
    <t>SOFTWARE TECHNOLOGIES LTD</t>
  </si>
  <si>
    <t>GULF CONNECTIONS LTD</t>
  </si>
  <si>
    <t>AUM INSURANCE BROKERS LTD</t>
  </si>
  <si>
    <t>PC/05/2015/1040273/08</t>
  </si>
  <si>
    <t>COMPUTECH SERVICES LIMITED</t>
  </si>
  <si>
    <t>PC/05/2015/1043714/08</t>
  </si>
  <si>
    <t>COASTAL BOTTLERS LTD.</t>
  </si>
  <si>
    <t>I&amp;M INSURANCE AGENCY-KISUMU</t>
  </si>
  <si>
    <t>PC/05/2019/3087336/04</t>
  </si>
  <si>
    <t>KEITT FRESH LIMITED</t>
  </si>
  <si>
    <t>GREVYS ZEBRA CONSERVATION LIMITED</t>
  </si>
  <si>
    <t>PAWS AFRICA SAFARIS LTD</t>
  </si>
  <si>
    <t>MANIPAL INTERNATIONAL PRINTING PRESS LIMITED</t>
  </si>
  <si>
    <t>AMINI UWAZI LIMITED</t>
  </si>
  <si>
    <t>PERGAMON FINANCIAL SERVICES LTD</t>
  </si>
  <si>
    <t>JUMBO STEEL MILLS LIMITED</t>
  </si>
  <si>
    <t>HIFADHI AFRICA INSURANCE AGENCY</t>
  </si>
  <si>
    <t>JAIDIP INSURANCE AGENCIES</t>
  </si>
  <si>
    <t>LAWRENCE GACHAHI MACHARIA</t>
  </si>
  <si>
    <t>HINDU COUNCIL OVERALL TEN MILLION</t>
  </si>
  <si>
    <t>KEA1B/MD304/23/000001/01</t>
  </si>
  <si>
    <t>HINDU COUNCIL OVERALL TWO MILLION SENIOR PLUS</t>
  </si>
  <si>
    <t>KEA1B/MD308/23/000001/01</t>
  </si>
  <si>
    <t>PC/05/2015/1063222/08</t>
  </si>
  <si>
    <t>PC/05/2017/1885125/06</t>
  </si>
  <si>
    <t>PC/05/2018/2483198/05</t>
  </si>
  <si>
    <t>PC/05/2019/3145947/04</t>
  </si>
  <si>
    <t>PACIFIC INSURANCE BROKERS LTD</t>
  </si>
  <si>
    <t>LITTLE LIMITED</t>
  </si>
  <si>
    <t>PC/05/2020/4055394/01</t>
  </si>
  <si>
    <t>M A KHAN INSURANCE BROKERS LTD</t>
  </si>
  <si>
    <t>ADVANCE PLASTICS LIMITED</t>
  </si>
  <si>
    <t>SUPERIOR HOMES (KENYA) LIMITED</t>
  </si>
  <si>
    <t>PC/05/2021/5296365/02</t>
  </si>
  <si>
    <t>ASHUT ENGINEERS LTD</t>
  </si>
  <si>
    <t>PC/06/2016/1480031/07</t>
  </si>
  <si>
    <t>PC/06/2021/5297077/02</t>
  </si>
  <si>
    <t>PC/06/2021/5299538/02</t>
  </si>
  <si>
    <t>PC/06/2021/5300109/02</t>
  </si>
  <si>
    <t>PC/06/2021/5300279/02</t>
  </si>
  <si>
    <t>PC/06/2021/5309335/02</t>
  </si>
  <si>
    <t>CASSINI AND TONOLO</t>
  </si>
  <si>
    <t>PC/06/2022/7341844/01</t>
  </si>
  <si>
    <t>AFRICA BIOSYSTEMS UGANDA LIMITED</t>
  </si>
  <si>
    <t>FINCORP CREDIT LIMITED</t>
  </si>
  <si>
    <t>FINCORP INSURANCE AGENCY LIMITED</t>
  </si>
  <si>
    <t>KPLUSS FERTILIZERS KENYA LIMITED</t>
  </si>
  <si>
    <t>NATIONAL WATER HARVESTING AND STORAGE AUTHORITY</t>
  </si>
  <si>
    <t>KEA1B/CC795/23/000001/01</t>
  </si>
  <si>
    <t>KENYA MEDICAL RESEARCH INSTITUTE ? CRDR</t>
  </si>
  <si>
    <t>HOME BIOGAS VENTURES LIMITED</t>
  </si>
  <si>
    <t>GRAND WEST HOTEL &amp; APARTMENT LIMITED</t>
  </si>
  <si>
    <t>CHECKPOINT SOFTWARE TECHNOLOGIES LTD</t>
  </si>
  <si>
    <t>NYERI WATER AND SANITATION COMPANY LIMITED</t>
  </si>
  <si>
    <t>KEA1B/CD382/23/000001/01</t>
  </si>
  <si>
    <t>MUTHAIGA COUNTRY CLUB PLC</t>
  </si>
  <si>
    <t>KEA1B/CD384/23/000001/01</t>
  </si>
  <si>
    <t>THIKA WATER SEWERAGE COMPANY LIMITED</t>
  </si>
  <si>
    <t>KEA1B/CD386/23/000001/01</t>
  </si>
  <si>
    <t>KENYA SCHOOL OF LAW</t>
  </si>
  <si>
    <t>KEA1B/CD392/23/000001/01</t>
  </si>
  <si>
    <t>AMPATHCARE - USAID 4 THE CHILD</t>
  </si>
  <si>
    <t>KEA1B/CD394/23/000003/01</t>
  </si>
  <si>
    <t>AMPATHCARE - UZIMA</t>
  </si>
  <si>
    <t>KEA1B/CD394/23/000004/01</t>
  </si>
  <si>
    <t>AMPATHCARE - DUMISHA AFYA</t>
  </si>
  <si>
    <t>KEA1B/CD394/23/000005/01</t>
  </si>
  <si>
    <t>INDIKEN INSURANCE AGENCIES LIMITED</t>
  </si>
  <si>
    <t>KEA1B/MD306/23/000002/01</t>
  </si>
  <si>
    <t>FAIRLANDS INVESTMENTS LTD.</t>
  </si>
  <si>
    <t>KKCO EAST AFRICA LLP</t>
  </si>
  <si>
    <t>LEAN ENERGY SOLUTIONS LTD</t>
  </si>
  <si>
    <t>MARLITE INSURANCE AGENCY LIMITED</t>
  </si>
  <si>
    <t>BOOK BUNK TRUST</t>
  </si>
  <si>
    <t>PC/06/2015/1085051/08</t>
  </si>
  <si>
    <t>RAVENSWOOD TECHNOLOGIES KENYA LIMITED</t>
  </si>
  <si>
    <t>PC/07/2015/1086988/08</t>
  </si>
  <si>
    <t>PC/07/2015/1088178/08</t>
  </si>
  <si>
    <t>PC/07/2015/1142948/08</t>
  </si>
  <si>
    <t>AFRICA MEDILINK LIMITED</t>
  </si>
  <si>
    <t>PC/07/2016/1555246/07</t>
  </si>
  <si>
    <t>PC/07/2017/1982885/06</t>
  </si>
  <si>
    <t>H.G. THANAWALLA INSURANCE BROKERS LTD</t>
  </si>
  <si>
    <t>UNGA HOLDINGS LIMITED</t>
  </si>
  <si>
    <t>PC/07/2018/2536048/05</t>
  </si>
  <si>
    <t>PC/07/2018/2536116/05</t>
  </si>
  <si>
    <t>PC/07/2021/5509933/02</t>
  </si>
  <si>
    <t>DIONS WINES AND SPIRIT EAST AFRICA</t>
  </si>
  <si>
    <t>NEAT LOGISTICS LIMITED</t>
  </si>
  <si>
    <t>PC/07/2022/7555902/01</t>
  </si>
  <si>
    <t>TECAFLEX LIMITED</t>
  </si>
  <si>
    <t>FOCUS CONTAINER FREIGHT STATION LIMITED</t>
  </si>
  <si>
    <t>PC/07/2022/7624783/01</t>
  </si>
  <si>
    <t>D-RISK INSURANCE AGENCY</t>
  </si>
  <si>
    <t>NEWAGE INSURANCE AGENCY</t>
  </si>
  <si>
    <t>COLUMBIA AFRICA HEALTHCARE LIMITED</t>
  </si>
  <si>
    <t>SUMO INSURANCE AGENTS LIMITED</t>
  </si>
  <si>
    <t>SUMO INSURANCE AGENCY LIMITED</t>
  </si>
  <si>
    <t>AMS INSURANCE BROKERS LIMITED- MOMBASA</t>
  </si>
  <si>
    <t>SURESEEKER INSURANCE AGENCY LTD</t>
  </si>
  <si>
    <t>PENUMUCHU ANJANEYULU</t>
  </si>
  <si>
    <t>KEA1B/CD430/23/000001/01</t>
  </si>
  <si>
    <t>THE YOUTH ENTERPRISE DEVELOPMENT FUND</t>
  </si>
  <si>
    <t>KEA1B/CD437/23/000001/01</t>
  </si>
  <si>
    <t>KENYA NATIONAL BUREAU OF STATISTICS</t>
  </si>
  <si>
    <t>BLUE SKY ENERGY LTD</t>
  </si>
  <si>
    <t>SERVISCOPE (E.A) LIMITED</t>
  </si>
  <si>
    <t>PC/09/2019/3445583/04</t>
  </si>
  <si>
    <t>PC/08/2020/4290822/02</t>
  </si>
  <si>
    <t>DOSHI AND HARDWARE CO. LTD PVC DIVISION</t>
  </si>
  <si>
    <t>PC/09/2020/4354599/03</t>
  </si>
  <si>
    <t>SHIV INSURANCE BROKERS LIMITED</t>
  </si>
  <si>
    <t>PC/09/2021/5741057/02</t>
  </si>
  <si>
    <t>PC/08/2017/1966677/07</t>
  </si>
  <si>
    <t>PIDILITE EAST AFRICA LTD</t>
  </si>
  <si>
    <t>KEA1B/CD472/23/000001/01</t>
  </si>
  <si>
    <t>NINE ONE ONE GROUP LIMITED</t>
  </si>
  <si>
    <t>KEA1B/CD463/23/000001/01</t>
  </si>
  <si>
    <t>HASBAH KENYA LIMITED</t>
  </si>
  <si>
    <t>PC/09/2015/1164030/08</t>
  </si>
  <si>
    <t>JAMII TELECOMMUNICATIONS</t>
  </si>
  <si>
    <t>KEA1B/CD459/23/000001/01</t>
  </si>
  <si>
    <t>HARLEYS LIMITED</t>
  </si>
  <si>
    <t>PC/09/2021/5848705/02</t>
  </si>
  <si>
    <t>KEA1B/CD435/23/000001/01</t>
  </si>
  <si>
    <t>TANA CONNECT LTD</t>
  </si>
  <si>
    <t>PC/07/2019/3266582/04</t>
  </si>
  <si>
    <t>PC/09/2020/4297335/03</t>
  </si>
  <si>
    <t>MR RICHARD GORDAS MAITAI</t>
  </si>
  <si>
    <t>MR IRENE JEMIMA OUYA</t>
  </si>
  <si>
    <t>PC/03/2020/3988847/04</t>
  </si>
  <si>
    <t>F AND S SCIENTIFIC LTD</t>
  </si>
  <si>
    <t>PC/09/2017/2057078/06</t>
  </si>
  <si>
    <t>ENGINEERING DEVELOPMENT LIMITED</t>
  </si>
  <si>
    <t>PC/08/2022/7753176/01</t>
  </si>
  <si>
    <t>BUNGE STAFF CLUB</t>
  </si>
  <si>
    <t>METSEC CABLES REIMBURSEMENT</t>
  </si>
  <si>
    <t>METSEC CABLES CREDIT</t>
  </si>
  <si>
    <t>PC/09/2019/3399249/04</t>
  </si>
  <si>
    <t>JAGUAR PETROLEUM LIMITED</t>
  </si>
  <si>
    <t>PC/02/2020/3798312/04</t>
  </si>
  <si>
    <t>SAWASAWA AFRICA LIMITED</t>
  </si>
  <si>
    <t>PANESARS KENYA LIMITED</t>
  </si>
  <si>
    <t>PC/08/2015/1113487/08</t>
  </si>
  <si>
    <t>PC/08/2022/7765858/01</t>
  </si>
  <si>
    <t>AGENCE FRANCE PRESSE</t>
  </si>
  <si>
    <t>CLIENTS PRIDE INSURANCE AGENCY</t>
  </si>
  <si>
    <t>PETER KITOGHO</t>
  </si>
  <si>
    <t>ADT INSURANCE AGENCY LTD</t>
  </si>
  <si>
    <t>PC/08/2019/3309629/04</t>
  </si>
  <si>
    <t>GRANT THORNTON</t>
  </si>
  <si>
    <t>SHANKAN ENTERPRISES LTD</t>
  </si>
  <si>
    <t>VISA OSHWAL BOARDING</t>
  </si>
  <si>
    <t>MR DHANJI VALJI KERAI</t>
  </si>
  <si>
    <t>DOSHI AND CO. (HARDWARE) LTD- NAIROBI</t>
  </si>
  <si>
    <t>BLACK PETALS LTD-B</t>
  </si>
  <si>
    <t>INVOICE NO</t>
  </si>
  <si>
    <t>DIGNITAS LIMITED</t>
  </si>
  <si>
    <t>KENYA MEDICAL RESEARCH INSTITUTE - EFGH SHIGELLA STUDY</t>
  </si>
  <si>
    <t>PKF KENYA</t>
  </si>
  <si>
    <t>CAPITAL CITY LIMITED</t>
  </si>
  <si>
    <t>SENDY LIMITED</t>
  </si>
  <si>
    <t>DIOCESE OF RUMBEK(CARITAS RUMBEK)</t>
  </si>
  <si>
    <t>OLVEA KENYA (EPZ) LIMITED</t>
  </si>
  <si>
    <t>KEA1B/CD294/23/000001/01</t>
  </si>
  <si>
    <t>DIANI BEACH HOSPITAL</t>
  </si>
  <si>
    <t>CAPITAL GROUP LIMITED</t>
  </si>
  <si>
    <t>I AND M BANK LTD-CONTRACT STAFF</t>
  </si>
  <si>
    <t>SHALIMAR FLOWERS KENYA LIMITED</t>
  </si>
  <si>
    <t>FUJITA CORPORATION KENYA BRANCH</t>
  </si>
  <si>
    <t>KEA1B/CD291/23/000001/01</t>
  </si>
  <si>
    <t>KRISHNA CHEMISTS LIMITED</t>
  </si>
  <si>
    <t xml:space="preserve">PARAMOUNT BANK </t>
  </si>
  <si>
    <t>NAIROBI ENTERPRISES LIMITED</t>
  </si>
  <si>
    <t>BURHANI ENGINEERS LIMITED</t>
  </si>
  <si>
    <t>AMESI (K) LIMITED</t>
  </si>
  <si>
    <t>OL PEJETA CONSERVANCY</t>
  </si>
  <si>
    <t>HKM ASSOCIATES</t>
  </si>
  <si>
    <t>ARYA VEDIC SCHOOL</t>
  </si>
  <si>
    <t>SKETCHERS DESIGN PROMOTERS LIMITED</t>
  </si>
  <si>
    <t>COFFTEA AGENCIES LTD</t>
  </si>
  <si>
    <t>RIM INFORMATION MANAGEMENT KENYA LIMITED</t>
  </si>
  <si>
    <t>POLYTANKS AND CONTAINERS KENYA LIMITED</t>
  </si>
  <si>
    <t>IGERIA AND NGUGI ADVOCATES</t>
  </si>
  <si>
    <t>DREAM CREDIT LIMITED</t>
  </si>
  <si>
    <t xml:space="preserve">TEA BROKERS EAST AFRICA LIMITED </t>
  </si>
  <si>
    <t>KIOKO AND ASSOCIATES</t>
  </si>
  <si>
    <t>AB PATEL AND PATEL</t>
  </si>
  <si>
    <t>INUKA AFRICA LIMITED</t>
  </si>
  <si>
    <t>PC/06/2021/5279436/02</t>
  </si>
  <si>
    <t>NG WINDSONG KENYA LIMITED</t>
  </si>
  <si>
    <t>U.S. EMBASSY- ORE</t>
  </si>
  <si>
    <t>OERB- OSHWAL ACADEMY NAIROBI SENIOR HIGH</t>
  </si>
  <si>
    <t>SANLAM LIFE AGENTS</t>
  </si>
  <si>
    <t>PAN AFRICAN RESEARCH SERVICES LIMITED</t>
  </si>
  <si>
    <t>GILFILIAN AIR CONDITIONING LIMITED</t>
  </si>
  <si>
    <t>DOSHI AND CO (HARDWARE) LTD COMMERCIAL DIVISION (DOSHI SHOP GODOWN)</t>
  </si>
  <si>
    <t>TEEVEE INSURANCE BROKERS LIMITED</t>
  </si>
  <si>
    <t>OPALNET LIMITED</t>
  </si>
  <si>
    <t>ARYA PRATINIDHI SABHA EASTERN AFRICA</t>
  </si>
  <si>
    <t>PC/06/2021/5373132/02</t>
  </si>
  <si>
    <t>STANDARD ROLLING MILLS LTD</t>
  </si>
  <si>
    <t>NIRAV AGENCIES LIMITED</t>
  </si>
  <si>
    <t>SPREAD MARKETING CONSULTANTS AGENCY LIMITED</t>
  </si>
  <si>
    <t>GELIAN INVESTMENT LIMITED</t>
  </si>
  <si>
    <t>2023-07-14</t>
  </si>
  <si>
    <t>ELLAMS PRODUCTS LTD</t>
  </si>
  <si>
    <t>PC/06/2016/1450517/07</t>
  </si>
  <si>
    <t>ROSE WOMENS FOUNDATION</t>
  </si>
  <si>
    <t>SERVICES BEVERAGES AFRICA KENYA LIMITED</t>
  </si>
  <si>
    <t>U.S. EMBASSY- 1998 BOMBING</t>
  </si>
  <si>
    <t>PKF TAXATION</t>
  </si>
  <si>
    <t>OERB- OSHWAL ACADEMY NAIROBI NURSERY</t>
  </si>
  <si>
    <t>KHETSHI DHARAMSHI AND CO LTD</t>
  </si>
  <si>
    <t>M.M SHAH AND M.V SHAH ACADEMY</t>
  </si>
  <si>
    <t>PC/01/2020/4064362/03</t>
  </si>
  <si>
    <t>PC/06/2021/5300271/02</t>
  </si>
  <si>
    <t>ASHUT PLASTICS LTD</t>
  </si>
  <si>
    <t>KENYA WATER FOR HEALTH ORGANIZATION (KWAHO)</t>
  </si>
  <si>
    <t>STARMAX INSURANCE AGENCY</t>
  </si>
  <si>
    <t>TLT CONNECTED LIMITED</t>
  </si>
  <si>
    <t>SOMOCHEM KENYA LIMITED</t>
  </si>
  <si>
    <t>PC/06/2021/5300249/02</t>
  </si>
  <si>
    <t>SHAH TIMBER MART LIMITED</t>
  </si>
  <si>
    <t>KILINDINI TRAVEL CENTRE LTD</t>
  </si>
  <si>
    <t>2023-08-17</t>
  </si>
  <si>
    <t>GENERAL INDUSTRIES LTD</t>
  </si>
  <si>
    <t xml:space="preserve">COMPLETE SOLUTIONS INSURANCE BROKERS HINDU </t>
  </si>
  <si>
    <t>2023-08-15</t>
  </si>
  <si>
    <t>2023-06-20</t>
  </si>
  <si>
    <t>2023-08-16</t>
  </si>
  <si>
    <t>PC/06/2019/3209084/04</t>
  </si>
  <si>
    <t>2023-08-21</t>
  </si>
  <si>
    <t>NATIONAL CEMENT COMPANY LIMITED</t>
  </si>
  <si>
    <t>WORLD POLES LIMITED</t>
  </si>
  <si>
    <t>2023-09-12</t>
  </si>
  <si>
    <t>2023-09-20</t>
  </si>
  <si>
    <t>2023-09-06</t>
  </si>
  <si>
    <t>2023-09-14</t>
  </si>
  <si>
    <t>2023-09-15</t>
  </si>
  <si>
    <t>MR ASHWINKUMAR GORDHANBHAI PATEL</t>
  </si>
  <si>
    <t>2023-09-26</t>
  </si>
  <si>
    <t>ACME CONTAINERS LTD</t>
  </si>
  <si>
    <t>REGEN-TEREM SHPP LIMITED</t>
  </si>
  <si>
    <t>POLYTECH SACCO</t>
  </si>
  <si>
    <t>First</t>
  </si>
  <si>
    <t>ACCOUNT   : YEAR 2024</t>
  </si>
  <si>
    <t>AFRICA RE  (36%)</t>
  </si>
  <si>
    <t>E.A RE        (9%)</t>
  </si>
  <si>
    <t>SECTOR</t>
  </si>
  <si>
    <t>START DATE</t>
  </si>
  <si>
    <t>END DATE</t>
  </si>
  <si>
    <t>PC/01/2015/992593/09</t>
  </si>
  <si>
    <t>FAREZ TARMOHAMMED HASHAM</t>
  </si>
  <si>
    <t>I&amp;M BURBIDGE CAPITAL LTD</t>
  </si>
  <si>
    <t>KEITT EXPORTERS LIMITED</t>
  </si>
  <si>
    <t>MR AMARJIT SINGH VIRDI</t>
  </si>
  <si>
    <t>PC/01/2020/3601288/04</t>
  </si>
  <si>
    <t>GARISSA UNIVERSITY</t>
  </si>
  <si>
    <t>KEA1B/CD535/23/000001/01</t>
  </si>
  <si>
    <t>ABOVE BOARD INSURANCE BROKERS LTD</t>
  </si>
  <si>
    <t>JOPARAN INSURANCE AGENCY</t>
  </si>
  <si>
    <t>PC/09/2020/4363082/03</t>
  </si>
  <si>
    <t>PC/09/2021/5821348/02</t>
  </si>
  <si>
    <t>PC/08/2018/2631381/05</t>
  </si>
  <si>
    <t>PC/10/2018/2727534/05</t>
  </si>
  <si>
    <t>PC/10/2021/5841424/02</t>
  </si>
  <si>
    <t>PC/10/2022/8169797/01</t>
  </si>
  <si>
    <t>PC/12/2017/2176490/06</t>
  </si>
  <si>
    <t>PC/10/2014/980227/09</t>
  </si>
  <si>
    <t>PC/10/2014/980230/09</t>
  </si>
  <si>
    <t>ACROPOLIS INSURANCE BROKERS LIMITED</t>
  </si>
  <si>
    <t>PC/10/2022/8347652/01</t>
  </si>
  <si>
    <t>PC/10/2019/3518780/04</t>
  </si>
  <si>
    <t>PC/10/2020/4472721/03</t>
  </si>
  <si>
    <t>BRAEBURN SCHOOLS LIMITED</t>
  </si>
  <si>
    <t>KEA1B/CD511/23/000001/01</t>
  </si>
  <si>
    <t>PC/07/2020/4132375/03</t>
  </si>
  <si>
    <t>PC/11/2021/5996213/02</t>
  </si>
  <si>
    <t>PC/11/2022/8402007/01</t>
  </si>
  <si>
    <t>PC/11/2022/8408083/01</t>
  </si>
  <si>
    <t>PC/11/2018/2813517/05</t>
  </si>
  <si>
    <t>JM DEVELOPERS LIMITED</t>
  </si>
  <si>
    <t>KEA1B/CD524/23/000001/01</t>
  </si>
  <si>
    <t>PC/11/2022/8590830/01</t>
  </si>
  <si>
    <t>PC/11/2022/8593961/01</t>
  </si>
  <si>
    <t>PC/11/2021/6166578/02</t>
  </si>
  <si>
    <t>KEA1B/CC797/22/000001/02</t>
  </si>
  <si>
    <t>PC/12/2021/6217919/02</t>
  </si>
  <si>
    <t>KEA1B/CC877/22/000001/02</t>
  </si>
  <si>
    <t>PC/12/2021/6331351/02</t>
  </si>
  <si>
    <t>KEA1B/MD562/24/000001/01</t>
  </si>
  <si>
    <t>CROWNSCOPE INSURANCE BROKERS</t>
  </si>
  <si>
    <t>PC/12/2021/6362736/02</t>
  </si>
  <si>
    <t>KEA1B/CC903/22/000001/02</t>
  </si>
  <si>
    <t>KEA1B/CC917/23/000001/02</t>
  </si>
  <si>
    <t>M-GAS LIMITED</t>
  </si>
  <si>
    <t>KEA1B/CD539/23/000001/01</t>
  </si>
  <si>
    <t>SEDGWICK KENYA INSURANCE BROKERS LIMITED</t>
  </si>
  <si>
    <t>KEA1B/CD541/23/000001/01</t>
  </si>
  <si>
    <t>URGENT CLAIMS INSURANCE AGENCY</t>
  </si>
  <si>
    <t>CAROLINA FOR KIBERA AFRICA (CFK AFRICA)</t>
  </si>
  <si>
    <t>KEA1B/CD552/24/000001/01</t>
  </si>
  <si>
    <t>WAKI SPRINGS INSURANCE AGENCY</t>
  </si>
  <si>
    <t>EUROPA HEALTHCARE LIMITED</t>
  </si>
  <si>
    <t>KEA1B/CD574/24/000001/01</t>
  </si>
  <si>
    <t>EXECUTIVE INSURANCE BROKERS LIMITED</t>
  </si>
  <si>
    <t>MR PALAK UMESH SHAH</t>
  </si>
  <si>
    <t>KEA1B/IC793/24/000015/01</t>
  </si>
  <si>
    <t>NEHMAK INSURANCE AGENCY</t>
  </si>
  <si>
    <t>PC/01/2015/987432/09</t>
  </si>
  <si>
    <t>PC/01/2015/988833/09</t>
  </si>
  <si>
    <t>PC/01/2015/989021/09</t>
  </si>
  <si>
    <t>PC/01/2015/989376/09</t>
  </si>
  <si>
    <t>PC/01/2015/991962/09</t>
  </si>
  <si>
    <t>PC/01/2015/992637/09</t>
  </si>
  <si>
    <t>PC/01/2015/995276/09</t>
  </si>
  <si>
    <t>PC/01/2015/995279/09</t>
  </si>
  <si>
    <t>PC/01/2015/995281/09</t>
  </si>
  <si>
    <t>PC/01/2015/995283/09</t>
  </si>
  <si>
    <t>PC/01/2015/995285/09</t>
  </si>
  <si>
    <t>PC/01/2015/995292/09</t>
  </si>
  <si>
    <t>PC/01/2015/995438/09</t>
  </si>
  <si>
    <t>PC/01/2015/995517/09</t>
  </si>
  <si>
    <t>PC/01/2016/1254463/08</t>
  </si>
  <si>
    <t>PC/01/2016/1257922/09</t>
  </si>
  <si>
    <t>PC/01/2017/1690172/07</t>
  </si>
  <si>
    <t>PC/01/2017/1703486/07</t>
  </si>
  <si>
    <t>PC/01/2017/1703519/07</t>
  </si>
  <si>
    <t>PC/01/2017/1703728/07</t>
  </si>
  <si>
    <t>PC/01/2017/1703746/07</t>
  </si>
  <si>
    <t>PC/01/2017/1703814/07</t>
  </si>
  <si>
    <t>PC/01/2017/1703832/07</t>
  </si>
  <si>
    <t>PC/01/2017/1703842/07</t>
  </si>
  <si>
    <t>PC/01/2017/1721854/07</t>
  </si>
  <si>
    <t>PC/01/2018/2203784/06</t>
  </si>
  <si>
    <t>PC/01/2020/3646880/04</t>
  </si>
  <si>
    <t>PC/01/2020/3647376/04</t>
  </si>
  <si>
    <t>PC/01/2021/4630971/03</t>
  </si>
  <si>
    <t>PC/01/2021/4666260/03</t>
  </si>
  <si>
    <t>PC/01/2021/4720636/03</t>
  </si>
  <si>
    <t>PC/01/2021/4730211/03</t>
  </si>
  <si>
    <t>PC/01/2021/4732009/03</t>
  </si>
  <si>
    <t>PC/01/2021/4766314/03</t>
  </si>
  <si>
    <t>PC/01/2022/6396972/02</t>
  </si>
  <si>
    <t>PC/01/2022/6428460/02</t>
  </si>
  <si>
    <t>PC/03/2015/1020995/09</t>
  </si>
  <si>
    <t>PC/03/2015/1044949/09</t>
  </si>
  <si>
    <t>PC/03/2015/1045164/09</t>
  </si>
  <si>
    <t>PC/04/2015/1056169/09</t>
  </si>
  <si>
    <t>SUNPAR PHARMACEUTICALS LIMITED</t>
  </si>
  <si>
    <t>PC/05/2018/2516559/06</t>
  </si>
  <si>
    <t>PC/07/2015/1124483/09</t>
  </si>
  <si>
    <t>PC/07/2015/1125366/09</t>
  </si>
  <si>
    <t>PC/09/2015/1161926/09</t>
  </si>
  <si>
    <t>PC/10/2014/980290/10</t>
  </si>
  <si>
    <t>PC/11/2014/983308/09</t>
  </si>
  <si>
    <t>PC/11/2015/1226778/08</t>
  </si>
  <si>
    <t>PC/11/2017/2149796/06</t>
  </si>
  <si>
    <t>PC/11/2020/4547530/03</t>
  </si>
  <si>
    <t>PC/11/2022/8594424/01</t>
  </si>
  <si>
    <t>PC/12/2014/985305/09</t>
  </si>
  <si>
    <t>PC/12/2014/985345/09</t>
  </si>
  <si>
    <t>PC/12/2014/985406/09</t>
  </si>
  <si>
    <t>PC/12/2014/985408/09</t>
  </si>
  <si>
    <t>HARJIT SINGH</t>
  </si>
  <si>
    <t>PR/01/2020/3647897/04</t>
  </si>
  <si>
    <t>RISKMOUNTERS INSURANCE AGENCY</t>
  </si>
  <si>
    <t>PC/01/2018/2246424/06</t>
  </si>
  <si>
    <t>ARIS INSURANCE BROKERS LIMITED</t>
  </si>
  <si>
    <t>PC/01/2022/6525396/02</t>
  </si>
  <si>
    <t>PC/07/2020/4145273/04</t>
  </si>
  <si>
    <t>PC/07/2020/4145304/04</t>
  </si>
  <si>
    <t>FREEDOM AIRLINE EXPRESS LIMITED.</t>
  </si>
  <si>
    <t>KEA1B/CD558/24/000001/01</t>
  </si>
  <si>
    <t>PC/01/2022/6838125/02</t>
  </si>
  <si>
    <t>ROWKA INSURANCE AGENCIES LTD</t>
  </si>
  <si>
    <t>PC/01/2022/6495178/02</t>
  </si>
  <si>
    <t>KEA1B/CC942/23/000001/02</t>
  </si>
  <si>
    <t>MR MARK KAMAU NDUNGU</t>
  </si>
  <si>
    <t>KEA1B/IC793/24/000019/01</t>
  </si>
  <si>
    <t>PC/01/2020/3685526/04</t>
  </si>
  <si>
    <t>PALSHA INSURANCE BROKERS LIMITED</t>
  </si>
  <si>
    <t>PC/01/2022/6542770/02</t>
  </si>
  <si>
    <t>MR WILFRED NZIOKA MUTUA</t>
  </si>
  <si>
    <t>KEA1B/IC895/23/000058/02</t>
  </si>
  <si>
    <t>KEA1B/CC886/22/000001/02</t>
  </si>
  <si>
    <t>FRALIN AGENCIES</t>
  </si>
  <si>
    <t>PC/01/2019/2908415/05</t>
  </si>
  <si>
    <t>2024-02-01</t>
  </si>
  <si>
    <t/>
  </si>
  <si>
    <t>2024-01-01</t>
  </si>
  <si>
    <t>2024-12-31</t>
  </si>
  <si>
    <t>2024-02-06</t>
  </si>
  <si>
    <t>2024-02-02</t>
  </si>
  <si>
    <t>2024-01-10</t>
  </si>
  <si>
    <t>2025-01-09</t>
  </si>
  <si>
    <t>2024-02-14</t>
  </si>
  <si>
    <t>2024-02-09</t>
  </si>
  <si>
    <t>2024-02-19</t>
  </si>
  <si>
    <t>2024-02-22</t>
  </si>
  <si>
    <t>2024-02-29</t>
  </si>
  <si>
    <t>2023-04-01</t>
  </si>
  <si>
    <t>2024-03-31</t>
  </si>
  <si>
    <t>2023-09-16</t>
  </si>
  <si>
    <t>2024-09-15</t>
  </si>
  <si>
    <t>2024-02-27</t>
  </si>
  <si>
    <t>2023-07-06</t>
  </si>
  <si>
    <t>2024-07-05</t>
  </si>
  <si>
    <t>2024-02-13</t>
  </si>
  <si>
    <t>2024-02-28</t>
  </si>
  <si>
    <t>2025-01-31</t>
  </si>
  <si>
    <t>2023-10-16</t>
  </si>
  <si>
    <t>2024-10-15</t>
  </si>
  <si>
    <t xml:space="preserve">EVER INSURANCE AGENCIES </t>
  </si>
  <si>
    <t>2023-05-01</t>
  </si>
  <si>
    <t>2024-04-30</t>
  </si>
  <si>
    <t>2024-02-15</t>
  </si>
  <si>
    <t>2025-02-12</t>
  </si>
  <si>
    <t>2024-01-24</t>
  </si>
  <si>
    <t>2025-01-23</t>
  </si>
  <si>
    <t>2024-02-23</t>
  </si>
  <si>
    <t>2023-04-15</t>
  </si>
  <si>
    <t>2024-04-14</t>
  </si>
  <si>
    <t>2023-05-15</t>
  </si>
  <si>
    <t>2024-05-14</t>
  </si>
  <si>
    <t>2023-11-01</t>
  </si>
  <si>
    <t>2024-10-31</t>
  </si>
  <si>
    <t>2023-03-15</t>
  </si>
  <si>
    <t>2024-03-14</t>
  </si>
  <si>
    <t>2023-08-01</t>
  </si>
  <si>
    <t>2024-07-31</t>
  </si>
  <si>
    <t>2023-10-15</t>
  </si>
  <si>
    <t>2024-10-14</t>
  </si>
  <si>
    <t>2023-07-01</t>
  </si>
  <si>
    <t>2024-06-30</t>
  </si>
  <si>
    <t>2024-09-14</t>
  </si>
  <si>
    <t>2023-11-15</t>
  </si>
  <si>
    <t>2024-11-14</t>
  </si>
  <si>
    <t>2023-09-01</t>
  </si>
  <si>
    <t>2024-08-31</t>
  </si>
  <si>
    <t>2024-01-15</t>
  </si>
  <si>
    <t>2025-01-14</t>
  </si>
  <si>
    <t>2023-12-15</t>
  </si>
  <si>
    <t>2024-12-14</t>
  </si>
  <si>
    <t>2024-08-14</t>
  </si>
  <si>
    <t>2024-02-17</t>
  </si>
  <si>
    <t>2025-02-16</t>
  </si>
  <si>
    <t>PC/01/2022/6515209/02</t>
  </si>
  <si>
    <t>2024-02-07</t>
  </si>
  <si>
    <t>2025-02-06</t>
  </si>
  <si>
    <t>2024-02-21</t>
  </si>
  <si>
    <t>2023-03-01</t>
  </si>
  <si>
    <t>MICHAEL MURAYA KIBUI</t>
  </si>
  <si>
    <t>2023-08-02</t>
  </si>
  <si>
    <t>2024-08-01</t>
  </si>
  <si>
    <t>2023-10-01</t>
  </si>
  <si>
    <t>2024-09-30</t>
  </si>
  <si>
    <t>2023-12-01</t>
  </si>
  <si>
    <t>2024-11-30</t>
  </si>
  <si>
    <t>2024-03-01</t>
  </si>
  <si>
    <t>2025-02-28</t>
  </si>
  <si>
    <t>2023-06-01</t>
  </si>
  <si>
    <t>2024-05-31</t>
  </si>
  <si>
    <t>2024-11-01</t>
  </si>
  <si>
    <t>2025-10-31</t>
  </si>
  <si>
    <t>2023-01-01</t>
  </si>
  <si>
    <t>2023-12-31</t>
  </si>
  <si>
    <t>COUNTY ASSEMBLY OF KIAMBU STAFF</t>
  </si>
  <si>
    <t>KEA1B/CD528/23/000001/01</t>
  </si>
  <si>
    <t>2023-11-29</t>
  </si>
  <si>
    <t>2024-11-28</t>
  </si>
  <si>
    <t>KEA1B/CD099/23/000001/02</t>
  </si>
  <si>
    <t>2025-02-08</t>
  </si>
  <si>
    <t>KEA1B/CD584/24/000002/01</t>
  </si>
  <si>
    <t>KEIN INSURANCE AGENCY</t>
  </si>
  <si>
    <t>2023-02-01</t>
  </si>
  <si>
    <t>2024-01-31</t>
  </si>
  <si>
    <t>PC/02/2019/2921262/05</t>
  </si>
  <si>
    <t>DRUWHEELZ INSURANCE AGENCY</t>
  </si>
  <si>
    <t>2024-04-09</t>
  </si>
  <si>
    <t>PC/01/2018/2304357/06</t>
  </si>
  <si>
    <t>PC/03/2015/1036425/09</t>
  </si>
  <si>
    <t>2025-02-27</t>
  </si>
  <si>
    <t>PC/02/2017/1752463/07</t>
  </si>
  <si>
    <t>2024-02-03</t>
  </si>
  <si>
    <t>2025-02-02</t>
  </si>
  <si>
    <t>GETRIO INSURANCE BROKERS LTD</t>
  </si>
  <si>
    <t>2024-04-04</t>
  </si>
  <si>
    <t>PC/01/2018/2231626/06</t>
  </si>
  <si>
    <t>2024-09-05</t>
  </si>
  <si>
    <t>ROYAL ASSOCIATES INSURANCE BROKERS LTD</t>
  </si>
  <si>
    <t>2023-05-14</t>
  </si>
  <si>
    <t>2024-05-13</t>
  </si>
  <si>
    <t>2023-12-07</t>
  </si>
  <si>
    <t>2024-08-06</t>
  </si>
  <si>
    <t>KEA1B/CD080/23/000001/02</t>
  </si>
  <si>
    <t>2023-07-23</t>
  </si>
  <si>
    <t>2024-07-22</t>
  </si>
  <si>
    <t>2024-06-11</t>
  </si>
  <si>
    <t xml:space="preserve">HINDU COUNCIL OVERALL SENIOR  FIVE HUNDRED </t>
  </si>
  <si>
    <t>60-01</t>
  </si>
  <si>
    <t>2023-10-07</t>
  </si>
  <si>
    <t>2024-10-06</t>
  </si>
  <si>
    <t>2024-09-25</t>
  </si>
  <si>
    <t>2025-02-01</t>
  </si>
  <si>
    <t>PC/06/2016/1473155/09</t>
  </si>
  <si>
    <t>2023-05-26</t>
  </si>
  <si>
    <t>2024-05-25</t>
  </si>
  <si>
    <t>2023-07-11</t>
  </si>
  <si>
    <t>2024-07-10</t>
  </si>
  <si>
    <t>2024-09-11</t>
  </si>
  <si>
    <t>CANOPY INSURANCE BROKERS LIMITED</t>
  </si>
  <si>
    <t>2023-05-04</t>
  </si>
  <si>
    <t>2024-05-03</t>
  </si>
  <si>
    <t>2024-07-13</t>
  </si>
  <si>
    <t>2023-12-13</t>
  </si>
  <si>
    <t>2024-12-12</t>
  </si>
  <si>
    <t>2024-08-20</t>
  </si>
  <si>
    <t>2023-07-04</t>
  </si>
  <si>
    <t>2024-07-03</t>
  </si>
  <si>
    <t>KEA1B/CD112/23/000001/02</t>
  </si>
  <si>
    <t>FAIREVER INSURANCE AGENCY</t>
  </si>
  <si>
    <t>KONARK FAMILY PRODUCT</t>
  </si>
  <si>
    <t>2024-03-15</t>
  </si>
  <si>
    <t xml:space="preserve"> M A KHAN INSURANCE BROKERS LTD</t>
  </si>
  <si>
    <t>PC/01/2018/2231447/06</t>
  </si>
  <si>
    <t>2025-02-21</t>
  </si>
  <si>
    <t>MISS ASHOK KUMAR DHANJI NANJI HALAI</t>
  </si>
  <si>
    <t>KEA1B/ID601/24/000001/01</t>
  </si>
  <si>
    <t>2024-04-27</t>
  </si>
  <si>
    <t>2025-02-18</t>
  </si>
  <si>
    <t>2025-02-05</t>
  </si>
  <si>
    <t>GOLD COAST INSURANCE AGENCY LTD</t>
  </si>
  <si>
    <t>2025-02-14</t>
  </si>
  <si>
    <t>2024-01-18</t>
  </si>
  <si>
    <t>2025-01-17</t>
  </si>
  <si>
    <t>TEN STAR INSURANCE AGENCIES LIMITED</t>
  </si>
  <si>
    <t>2025-02-13</t>
  </si>
  <si>
    <t>2023-11-18</t>
  </si>
  <si>
    <t>2024-11-17</t>
  </si>
  <si>
    <t>2023-12-22</t>
  </si>
  <si>
    <t>2024-12-21</t>
  </si>
  <si>
    <t>2024-01-17</t>
  </si>
  <si>
    <t>2025-01-16</t>
  </si>
  <si>
    <t>2025-01-30</t>
  </si>
  <si>
    <t>2024-01-26</t>
  </si>
  <si>
    <t>2025-01-25</t>
  </si>
  <si>
    <t>2024-01-25</t>
  </si>
  <si>
    <t>2023-11-30</t>
  </si>
  <si>
    <t>2023-11-14</t>
  </si>
  <si>
    <t>2024-01-23</t>
  </si>
  <si>
    <t>2025-01-22</t>
  </si>
  <si>
    <t>MR VARINDER SINGH GHATAURAY</t>
  </si>
  <si>
    <t>KEA1B/IC832/23/000034/02</t>
  </si>
  <si>
    <t>2023-01-29</t>
  </si>
  <si>
    <t>2024-01-12</t>
  </si>
  <si>
    <t>2025-01-11</t>
  </si>
  <si>
    <t>2024-01-30</t>
  </si>
  <si>
    <t>2025-01-29</t>
  </si>
  <si>
    <t>2024-01-05</t>
  </si>
  <si>
    <t>2025-01-04</t>
  </si>
  <si>
    <t>2024-05-08</t>
  </si>
  <si>
    <t>2024-09-13</t>
  </si>
  <si>
    <t>PC/02/2021/4898624/03</t>
  </si>
  <si>
    <t>2025-02-22</t>
  </si>
  <si>
    <t>2024-09-19</t>
  </si>
  <si>
    <t>1002-01</t>
  </si>
  <si>
    <t>2024-05-17</t>
  </si>
  <si>
    <t>2023-04-13</t>
  </si>
  <si>
    <t>2024-04-12</t>
  </si>
  <si>
    <t>PC/02/2019/2921679/04</t>
  </si>
  <si>
    <t>2025-02-20</t>
  </si>
  <si>
    <t>REDDYS PHARMA LTD</t>
  </si>
  <si>
    <t>PC/01/2020/3733918/04</t>
  </si>
  <si>
    <t>2023-11-25</t>
  </si>
  <si>
    <t>2024-11-24</t>
  </si>
  <si>
    <t>I&amp;M INSURANCE AGENCY-MOMBASA</t>
  </si>
  <si>
    <t>2024-03-04</t>
  </si>
  <si>
    <t>SHEIKH KHALIFA SCHOOL</t>
  </si>
  <si>
    <t>KEA1B/CD582/24/000001/01</t>
  </si>
  <si>
    <t>2024-05-30</t>
  </si>
  <si>
    <t>2024-06-15</t>
  </si>
  <si>
    <t>2024-06-22</t>
  </si>
  <si>
    <t>2024-05-15</t>
  </si>
  <si>
    <t>2023-04-26</t>
  </si>
  <si>
    <t>2024-04-25</t>
  </si>
  <si>
    <t>2023-05-24</t>
  </si>
  <si>
    <t>2024-05-23</t>
  </si>
  <si>
    <t>PC/02/2015/996617/09</t>
  </si>
  <si>
    <t>2024-05-12</t>
  </si>
  <si>
    <t>KEA1B/CD103/23/000001/02</t>
  </si>
  <si>
    <t>2024-08-16</t>
  </si>
  <si>
    <t>PC/02/2022/6603994/02</t>
  </si>
  <si>
    <t>2024-04-06</t>
  </si>
  <si>
    <t>2024-11-13</t>
  </si>
  <si>
    <t>2023-12-24</t>
  </si>
  <si>
    <t>2024-12-23</t>
  </si>
  <si>
    <t>YAH HAWI COMMUNITY</t>
  </si>
  <si>
    <t>2024-06-14</t>
  </si>
  <si>
    <t>97-01</t>
  </si>
  <si>
    <t>2023-10-14</t>
  </si>
  <si>
    <t>2024-03-23</t>
  </si>
  <si>
    <t>2023-01-07</t>
  </si>
  <si>
    <t>2024-03-28</t>
  </si>
  <si>
    <t>2024-01-16</t>
  </si>
  <si>
    <t>2024-03-11</t>
  </si>
  <si>
    <t>2024-03-05</t>
  </si>
  <si>
    <t>599608-00-01</t>
  </si>
  <si>
    <t>MEHTA INSURANCE AGENCY</t>
  </si>
  <si>
    <t>2024-03-06</t>
  </si>
  <si>
    <t>2024-03-16</t>
  </si>
  <si>
    <t>2024-03-09</t>
  </si>
  <si>
    <t>2024-03-21</t>
  </si>
  <si>
    <t>2024-03-12</t>
  </si>
  <si>
    <t>2024-03-13</t>
  </si>
  <si>
    <t>2024-03-07</t>
  </si>
  <si>
    <t>2024-03-19</t>
  </si>
  <si>
    <t>2024-03-20</t>
  </si>
  <si>
    <t>2023-05-20</t>
  </si>
  <si>
    <t>2024-05-19</t>
  </si>
  <si>
    <t>NADE INSURANCE AGENCY</t>
  </si>
  <si>
    <t>2024-06-19</t>
  </si>
  <si>
    <t>2023-06-25</t>
  </si>
  <si>
    <t>2024-06-24</t>
  </si>
  <si>
    <t>2023-06-27</t>
  </si>
  <si>
    <t>2024-06-26</t>
  </si>
  <si>
    <t>2023-09-10</t>
  </si>
  <si>
    <t>2024-09-09</t>
  </si>
  <si>
    <t>PC/10/2019/3464117/04</t>
  </si>
  <si>
    <t>PC/10/2020/4431779/03</t>
  </si>
  <si>
    <t>2023-10-13</t>
  </si>
  <si>
    <t>2024-10-12</t>
  </si>
  <si>
    <t>2023-10-19</t>
  </si>
  <si>
    <t>2024-10-18</t>
  </si>
  <si>
    <t>PC/10/2021/5940481/02</t>
  </si>
  <si>
    <t>2023-10-21</t>
  </si>
  <si>
    <t>2024-10-20</t>
  </si>
  <si>
    <t>2023-10-28</t>
  </si>
  <si>
    <t>2024-10-27</t>
  </si>
  <si>
    <t>PC/11/2019/3522504/04</t>
  </si>
  <si>
    <t>2023-11-11</t>
  </si>
  <si>
    <t>2024-11-10</t>
  </si>
  <si>
    <t>KEA1B/CC823/22/000001/02</t>
  </si>
  <si>
    <t>EPHRAIM GITHINJI KAGURE</t>
  </si>
  <si>
    <t>2024-12-28</t>
  </si>
  <si>
    <t>2024-01-04</t>
  </si>
  <si>
    <t>2025-01-03</t>
  </si>
  <si>
    <t>2025-01-15</t>
  </si>
  <si>
    <t>YOUR INSURANCE AGENCY</t>
  </si>
  <si>
    <t>47-02</t>
  </si>
  <si>
    <t>KAMANDA INSURANCE AGENCY</t>
  </si>
  <si>
    <t>PC/03/2022/6805884/02</t>
  </si>
  <si>
    <t xml:space="preserve">SYKEN INSURANCE AGENCY </t>
  </si>
  <si>
    <t>PC/01/2015/994935/10</t>
  </si>
  <si>
    <t>PC/07/2015/1097310/08</t>
  </si>
  <si>
    <t>PC/03/2019/2993174/05</t>
  </si>
  <si>
    <t>VICTORIA HEALTHCARE LIMITED</t>
  </si>
  <si>
    <t>PC/01/2021/4727011/03</t>
  </si>
  <si>
    <t>PC/03/2022/6768233/02</t>
  </si>
  <si>
    <t>PC/03/2020/3819092/04</t>
  </si>
  <si>
    <t>KEA1B/CD154/23/000001/02</t>
  </si>
  <si>
    <t>RIFT VALLEY PRODUCTS LTD</t>
  </si>
  <si>
    <t>KEA1B/CD605/24/000001/01</t>
  </si>
  <si>
    <t>RIFCO INSURANCE AGENCIES LIMITED</t>
  </si>
  <si>
    <t>KEA1B/CD160/23/000001/02</t>
  </si>
  <si>
    <t>FIDENTIAL INSURANCE AGENCY</t>
  </si>
  <si>
    <t>ICON KENYA INSURANCE AGENCIES LIMITED</t>
  </si>
  <si>
    <t>KEA1B/CD635/24/000001/01</t>
  </si>
  <si>
    <t>2024-03-02</t>
  </si>
  <si>
    <t>2025-03-01</t>
  </si>
  <si>
    <t>SMINDER SINGH LOCHAB</t>
  </si>
  <si>
    <t>PR/03/2021/4989141/03</t>
  </si>
  <si>
    <t>JEREMY INSURANCE AGENCIES-MOMBASA</t>
  </si>
  <si>
    <t>MRS SHEIKHA SHARIFF SAGAAF</t>
  </si>
  <si>
    <t>KEA1B/IC793/24/000075/01</t>
  </si>
  <si>
    <t>MR ADAM ALFIE WARSHOW</t>
  </si>
  <si>
    <t>KEA1B/IC793/24/000076/01</t>
  </si>
  <si>
    <t>AFRICA INITIATIVE FOR RURAL DEVELOPMENT</t>
  </si>
  <si>
    <t>KEA1B/CD611/24/000001/01</t>
  </si>
  <si>
    <t>2025-03-05</t>
  </si>
  <si>
    <t>COTRUST INSURANCE   AGENCY</t>
  </si>
  <si>
    <t>2025-03-06</t>
  </si>
  <si>
    <t>2025-03-08</t>
  </si>
  <si>
    <t>KENYA MARINE AND FISHERIES RESEARCH INSTITUTE (KMFRI) STAFF</t>
  </si>
  <si>
    <t>KEA1B/CD619/24/000001/01</t>
  </si>
  <si>
    <t>PC/03/2022/6932995/02</t>
  </si>
  <si>
    <t>2024-03-10</t>
  </si>
  <si>
    <t>2025-03-09</t>
  </si>
  <si>
    <t>M-GAS RESOURCES LTD</t>
  </si>
  <si>
    <t>KEA1B/CD539/24/000001/01</t>
  </si>
  <si>
    <t>2025-03-10</t>
  </si>
  <si>
    <t>ANM FREIGHT FORWARDING LIMITED</t>
  </si>
  <si>
    <t>KEA1B/CD626/24/000001/01</t>
  </si>
  <si>
    <t>MS SASHA KAUR SOKHI</t>
  </si>
  <si>
    <t>2025-03-12</t>
  </si>
  <si>
    <t>KEA1B/CD179/23/000001/02</t>
  </si>
  <si>
    <t>KEA1B/CD175/23/000001/02</t>
  </si>
  <si>
    <t>2025-03-13</t>
  </si>
  <si>
    <t>PC/03/2022/6863807/02</t>
  </si>
  <si>
    <t>2025-03-14</t>
  </si>
  <si>
    <t>PROTECTORS LIMITED</t>
  </si>
  <si>
    <t>PC/03/2022/6894764/02</t>
  </si>
  <si>
    <t>SUPER AGENT INSURANCE AGENCY</t>
  </si>
  <si>
    <t>PC/03/2018/2353542/06</t>
  </si>
  <si>
    <t>PC/03/2015/1022208/09</t>
  </si>
  <si>
    <t>2025-03-15</t>
  </si>
  <si>
    <t>PC/03/2022/6865353/02</t>
  </si>
  <si>
    <t>KEA1B/CD207/23/000001/02</t>
  </si>
  <si>
    <t>2025-03-18</t>
  </si>
  <si>
    <t>PC/03/2015/1017276/09</t>
  </si>
  <si>
    <t>2025-03-19</t>
  </si>
  <si>
    <t>DOMINI TOURS LIMITED</t>
  </si>
  <si>
    <t>KEA1B/CD639/24/000001/01</t>
  </si>
  <si>
    <t>2025-03-20</t>
  </si>
  <si>
    <t>GETRIO INSURANCE BROKERS LTD.</t>
  </si>
  <si>
    <t>KEA1B/CD637/24/000001/01</t>
  </si>
  <si>
    <t>SOTE FORWARDERS LIMITED</t>
  </si>
  <si>
    <t>KEA1B/CD646/24/000001/01</t>
  </si>
  <si>
    <t>DENROB HOUSEHOLDS INSURANCE AGENCY</t>
  </si>
  <si>
    <t>2025-03-22</t>
  </si>
  <si>
    <t>KEA1B/CD272/23/000001/02</t>
  </si>
  <si>
    <t>2024-03-24</t>
  </si>
  <si>
    <t>2025-03-23</t>
  </si>
  <si>
    <t>2025-03-27</t>
  </si>
  <si>
    <t>2024-04-01</t>
  </si>
  <si>
    <t>2025-03-31</t>
  </si>
  <si>
    <t>PC/04/2017/1849622/07</t>
  </si>
  <si>
    <t>2024-04-05</t>
  </si>
  <si>
    <t>2025-04-04</t>
  </si>
  <si>
    <t>2024-04-19</t>
  </si>
  <si>
    <t>2025-04-18</t>
  </si>
  <si>
    <t>KENYA MEDICAL RESEARCH INSTITUTE - CGHR ENTOMOLOGY</t>
  </si>
  <si>
    <t>PATEL SAMAJ KISUMU</t>
  </si>
  <si>
    <t>COUNTY ASSEMBLY OF KILIFI - STAFF</t>
  </si>
  <si>
    <t>LIFELINE GEDO</t>
  </si>
  <si>
    <t>SPEAKER , BOARD MEMBERS AND MCAS - COUNTY ASSEMBLY OF KWALE</t>
  </si>
  <si>
    <t>SHREE SWAMINARAYAN ACADEMY</t>
  </si>
  <si>
    <t>KAMILI PACKERS LTD</t>
  </si>
  <si>
    <t>KHALIL KARIM GULAMALI JESSANI</t>
  </si>
  <si>
    <t>SHABBIR OSMAN ABDULGAFOOR</t>
  </si>
  <si>
    <t>STEP INN LIMITED</t>
  </si>
  <si>
    <t>2023-12-19</t>
  </si>
  <si>
    <t>JOYCE MARINA KARIM SHAMSHUDIN</t>
  </si>
  <si>
    <t>MR SHOME . NIRMALYA</t>
  </si>
  <si>
    <t>AMRITLAL SHAH</t>
  </si>
  <si>
    <t>JAY TILAKRAJ GUPTA</t>
  </si>
  <si>
    <t>MR ROHIT DAYALAL CHUDASAMA</t>
  </si>
  <si>
    <t>SKYLARK CONSTRUCTION LTD STAFF</t>
  </si>
  <si>
    <t>MR SHAHEED IMTIAZ GANIWALLA</t>
  </si>
  <si>
    <t>SAVITABEN AMBALAL PRAJAPATI</t>
  </si>
  <si>
    <t>SCHEME</t>
  </si>
  <si>
    <t>POLICYNO</t>
  </si>
  <si>
    <t>TRANSACTION DATE</t>
  </si>
  <si>
    <t>DEBIT/CREDIT NAME</t>
  </si>
  <si>
    <t>BASIC PREMIUM</t>
  </si>
  <si>
    <t>GROSS COMMISSION</t>
  </si>
  <si>
    <t>WITHHOLD TAX</t>
  </si>
  <si>
    <t>NET PREMIUM</t>
  </si>
  <si>
    <t>INTERMEDIARY NAME</t>
  </si>
  <si>
    <t>INTERMEDIARY TYPE</t>
  </si>
  <si>
    <t>TRANSACTION TYPE</t>
  </si>
  <si>
    <t>BRANCHNAME</t>
  </si>
  <si>
    <t>INDUSTRY</t>
  </si>
  <si>
    <t>CONFIRMED DATE</t>
  </si>
  <si>
    <t>PC/04/2022/6956487/02</t>
  </si>
  <si>
    <t>RENEW</t>
  </si>
  <si>
    <t>GAIKE/03/24/INV-1000887</t>
  </si>
  <si>
    <t>NAIROBI</t>
  </si>
  <si>
    <t>2024-03-27</t>
  </si>
  <si>
    <t>PC/04/2022/7054761/02</t>
  </si>
  <si>
    <t>MKH INSURANCE AGENCY</t>
  </si>
  <si>
    <t>GAIKE/04/24/INV-1000012</t>
  </si>
  <si>
    <t>2024-04-15</t>
  </si>
  <si>
    <t>2025-04-14</t>
  </si>
  <si>
    <t>2024-04-02</t>
  </si>
  <si>
    <t>WAMAE AND ALLEN LLP</t>
  </si>
  <si>
    <t>PC/04/2015/1031075/09</t>
  </si>
  <si>
    <t>BIMA HUB INSURANCE AGENCY</t>
  </si>
  <si>
    <t>GAIKE/04/24/INV-1000018</t>
  </si>
  <si>
    <t>ADDITION OF MEMBERS</t>
  </si>
  <si>
    <t>GAIKE/04/24/INV-1000021</t>
  </si>
  <si>
    <t>GAIKE/04/24/INV-1000036</t>
  </si>
  <si>
    <t>GAIKE/04/24/INV-1000037</t>
  </si>
  <si>
    <t>Gas bars</t>
  </si>
  <si>
    <t>Wholesale &amp; Retail trade</t>
  </si>
  <si>
    <t>KEVAL DODHIA</t>
  </si>
  <si>
    <t>GAIKE/04/24/INV-1000043</t>
  </si>
  <si>
    <t>GAIKE/04/24/INV-1000044</t>
  </si>
  <si>
    <t>GAIKE/04/24/INV-1000046</t>
  </si>
  <si>
    <t>PC/10/2017/2130504/07</t>
  </si>
  <si>
    <t>GAIKE/04/24/INV-1000002</t>
  </si>
  <si>
    <t>PC/04/2017/1839604/07</t>
  </si>
  <si>
    <t>GAIKE/04/24/INV-1000004</t>
  </si>
  <si>
    <t>SIKA MBCC KENYA LIMITED</t>
  </si>
  <si>
    <t>KEA1B/CD652/24/000001/01</t>
  </si>
  <si>
    <t>NEW</t>
  </si>
  <si>
    <t>GAIKE/04/24/INV-1000023</t>
  </si>
  <si>
    <t>Industrial Building Construction</t>
  </si>
  <si>
    <t>Building &amp; Construction</t>
  </si>
  <si>
    <t>PC/04/2022/7034677/02</t>
  </si>
  <si>
    <t>GAIKE/04/24/INV-1000025</t>
  </si>
  <si>
    <t>GAIKE/04/24/INV-1000045</t>
  </si>
  <si>
    <t>Schools</t>
  </si>
  <si>
    <t>Education &amp; Religion</t>
  </si>
  <si>
    <t>PATHIK CHANDRESHKUMAR PATEL</t>
  </si>
  <si>
    <t>DELETION OF MEMBERS</t>
  </si>
  <si>
    <t>GAIKE/04/24/RUF-1000007</t>
  </si>
  <si>
    <t>GAIKE/04/24/RUF-1000002</t>
  </si>
  <si>
    <t>GAIKE/04/24/INV-1000038</t>
  </si>
  <si>
    <t>MOMBASA COUNTY</t>
  </si>
  <si>
    <t>Fishing and aquaculture</t>
  </si>
  <si>
    <t>Agriculture</t>
  </si>
  <si>
    <t>GAIKE/04/24/INV-1000047</t>
  </si>
  <si>
    <t>ESTHER WANGUI GIKONYO</t>
  </si>
  <si>
    <t>PR/04/2017/1846035/07</t>
  </si>
  <si>
    <t>GAIKE/03/24/INV-1000797</t>
  </si>
  <si>
    <t>2024-03-25</t>
  </si>
  <si>
    <t>DERICKS ODONGO ODERO</t>
  </si>
  <si>
    <t>PR/03/2022/6982222/02</t>
  </si>
  <si>
    <t>GWANDA OUMA COLLINS</t>
  </si>
  <si>
    <t>GAIKE/04/24/INV-1000026</t>
  </si>
  <si>
    <t>PC/04/2022/6945246/02</t>
  </si>
  <si>
    <t>GAIKE/04/24/INV-1000053</t>
  </si>
  <si>
    <t>2024-04-03</t>
  </si>
  <si>
    <t>GAIKE/04/24/INV-1000057</t>
  </si>
  <si>
    <t>SUSAN AMENYA</t>
  </si>
  <si>
    <t>GAIKE/04/24/INV-1000064</t>
  </si>
  <si>
    <t>SAHANA MULKI</t>
  </si>
  <si>
    <t>GAIKE/04/24/INV-1000067</t>
  </si>
  <si>
    <t>RAJAT CHAOHAN</t>
  </si>
  <si>
    <t>GAIKE/04/24/INV-1000068</t>
  </si>
  <si>
    <t>KALPESH VAISANI</t>
  </si>
  <si>
    <t>GAIKE/04/24/INV-1000069</t>
  </si>
  <si>
    <t>PIYUSHKUMAR PATEL</t>
  </si>
  <si>
    <t>GAIKE/04/24/INV-1000070</t>
  </si>
  <si>
    <t>YASHWANTKUMAR BHUJANGA</t>
  </si>
  <si>
    <t>GAIKE/04/24/INV-1000071</t>
  </si>
  <si>
    <t>MAULIKKUMAR PARIKH</t>
  </si>
  <si>
    <t>GAIKE/04/24/INV-1000072</t>
  </si>
  <si>
    <t>NARAN PATEL</t>
  </si>
  <si>
    <t>GAIKE/04/24/INV-1000073</t>
  </si>
  <si>
    <t>PC/04/2022/7011832/02</t>
  </si>
  <si>
    <t>GAIKE/04/24/INV-1000082</t>
  </si>
  <si>
    <t>2024-04-08</t>
  </si>
  <si>
    <t>2025-04-07</t>
  </si>
  <si>
    <t>GAIKE/04/24/INV-1000085</t>
  </si>
  <si>
    <t>GAIKE/04/24/INV-1000086</t>
  </si>
  <si>
    <t>Aviation</t>
  </si>
  <si>
    <t>Transport</t>
  </si>
  <si>
    <t>GAIKE/04/24/INV-1000087</t>
  </si>
  <si>
    <t>DAR ES SALAAM</t>
  </si>
  <si>
    <t>Basic chemicals and petroleum refineries</t>
  </si>
  <si>
    <t>Manufacturing</t>
  </si>
  <si>
    <t>MR SALEH AMIR ALI</t>
  </si>
  <si>
    <t>KEA1B/IC832/23/000030/02</t>
  </si>
  <si>
    <t>GAIKE/04/24/INV-1000041</t>
  </si>
  <si>
    <t>MR TALAL AMIR ALI</t>
  </si>
  <si>
    <t>KEA1B/IC832/23/000031/02</t>
  </si>
  <si>
    <t>GAIKE/04/24/INV-1000048</t>
  </si>
  <si>
    <t>PC/04/2018/2387237/06</t>
  </si>
  <si>
    <t>GAIKE/04/24/INV-1000049</t>
  </si>
  <si>
    <t>MR CHANDRAMOHAN GANESAN</t>
  </si>
  <si>
    <t>KEA1B/IC793/23/000060/02</t>
  </si>
  <si>
    <t>GAIKE/04/24/INV-1000052</t>
  </si>
  <si>
    <t>GAIKE/04/24/INV-1000060</t>
  </si>
  <si>
    <t>PC/04/2015/1028929/09</t>
  </si>
  <si>
    <t>GAIKE/04/24/INV-1000061</t>
  </si>
  <si>
    <t>PERRY MANSUKH KANSAGRA</t>
  </si>
  <si>
    <t>PR/04/2021/5045189/03</t>
  </si>
  <si>
    <t>GAIKE/04/24/INV-1000065</t>
  </si>
  <si>
    <t>MR NILESH JAYSINH VAGANI</t>
  </si>
  <si>
    <t>GAIKE/04/24/INV-1000076</t>
  </si>
  <si>
    <t>MR AVINASH NATWARLAL VRAJLAL</t>
  </si>
  <si>
    <t>GAIKE/04/24/INV-1000077</t>
  </si>
  <si>
    <t>MR RAYKUNDALIA SAMIR RAMNIKLAL</t>
  </si>
  <si>
    <t>GAIKE/04/24/INV-1000079</t>
  </si>
  <si>
    <t>MR SURESHBHAI DHAYABHAI PATEL</t>
  </si>
  <si>
    <t>GAIKE/04/24/INV-1000080</t>
  </si>
  <si>
    <t>RE-INSTATEMENT (AFTER DELETION)</t>
  </si>
  <si>
    <t>GAIKE/04/24/INV-1000083</t>
  </si>
  <si>
    <t>GAIKE/04/24/INV-1000084</t>
  </si>
  <si>
    <t>GAIKE/04/24/INV-1000089</t>
  </si>
  <si>
    <t>MR DIPAK GHIA</t>
  </si>
  <si>
    <t>GAIKE/04/24/INV-1000091</t>
  </si>
  <si>
    <t>MR PARESH HARAKHCHAND GALAIYA</t>
  </si>
  <si>
    <t>GAIKE/04/24/INV-1000092</t>
  </si>
  <si>
    <t>MR RAJNIKANT HEMRAJ JHANKHARIA</t>
  </si>
  <si>
    <t>GAIKE/04/24/INV-1000093</t>
  </si>
  <si>
    <t>CATEGORY CHANGE</t>
  </si>
  <si>
    <t>GAIKE/04/24/INV-1000094</t>
  </si>
  <si>
    <t>MR SHRITESH D LAKHANI</t>
  </si>
  <si>
    <t>GAIKE/04/24/INV-1000095</t>
  </si>
  <si>
    <t>MS BIJAL MULCHAND SHAH</t>
  </si>
  <si>
    <t>GAIKE/04/24/INV-1000096</t>
  </si>
  <si>
    <t>MS PRIYAN SHAH</t>
  </si>
  <si>
    <t>GAIKE/04/24/INV-1000097</t>
  </si>
  <si>
    <t>GAIKE/04/24/RUF-1000011</t>
  </si>
  <si>
    <t>PC/04/2022/6973816/02</t>
  </si>
  <si>
    <t>GAIKE/04/24/INV-1000062</t>
  </si>
  <si>
    <t>GAIKE/04/24/INV-1000088</t>
  </si>
  <si>
    <t>YOGI PLUMBERS LIMITED</t>
  </si>
  <si>
    <t>KEA1B/CD621/24/000001/01</t>
  </si>
  <si>
    <t>GAIKE/04/24/INV-1000050</t>
  </si>
  <si>
    <t>Plumbing, Heating, and Air-Conditioning Contractors</t>
  </si>
  <si>
    <t>RAVINDER KAUR SOKHI</t>
  </si>
  <si>
    <t>PR/03/2021/5002524/03</t>
  </si>
  <si>
    <t>GAIKE/04/24/INV-1000063</t>
  </si>
  <si>
    <t>ADT INSURANCE AGENCY LIMITED</t>
  </si>
  <si>
    <t>KEA1B/CD655/24/000001/01</t>
  </si>
  <si>
    <t>GAIKE/04/24/INV-1000066</t>
  </si>
  <si>
    <t>GAIKE/04/24/INV-1000098</t>
  </si>
  <si>
    <t>GAIKE/04/24/INV-1000100</t>
  </si>
  <si>
    <t>MR PARMAR KAMLESH HANSRAJ</t>
  </si>
  <si>
    <t>KEA1B/IC815/24/000013/01</t>
  </si>
  <si>
    <t>GAIKE/04/24/INV-1000103</t>
  </si>
  <si>
    <t>MR JOHN MUTIO</t>
  </si>
  <si>
    <t>KEA1B/IC793/24/000077/01</t>
  </si>
  <si>
    <t>PEARSON INSURANCE AGENCY</t>
  </si>
  <si>
    <t>GAIKE/04/24/INV-1000105</t>
  </si>
  <si>
    <t>MACHAKOS COUNTY</t>
  </si>
  <si>
    <t>ANTARA HEALTH LIMITED.</t>
  </si>
  <si>
    <t>KEA1B/CD659/24/000001/01</t>
  </si>
  <si>
    <t>GAIKE/04/24/INV-1000114</t>
  </si>
  <si>
    <t>Healthcare Technology</t>
  </si>
  <si>
    <t>IT</t>
  </si>
  <si>
    <t>GAIKE/04/24/INV-1000123</t>
  </si>
  <si>
    <t>GAIKE/04/24/INV-1000127</t>
  </si>
  <si>
    <t>Consultancy</t>
  </si>
  <si>
    <t>Financial</t>
  </si>
  <si>
    <t>GAIKE/04/24/INV-1000128</t>
  </si>
  <si>
    <t>MS ALICE MUGURE KIMANI</t>
  </si>
  <si>
    <t>PR/02/2015/1222611/08</t>
  </si>
  <si>
    <t>GAIKE/04/24/INV-1000074</t>
  </si>
  <si>
    <t>GAIKE/04/24/INV-1000099</t>
  </si>
  <si>
    <t>MR PUJARA JAYKUMAR HASMUKH</t>
  </si>
  <si>
    <t>GAIKE/04/24/INV-1000102</t>
  </si>
  <si>
    <t>MR BAROT NIKHILKUMAR RAMESHCHANDRA</t>
  </si>
  <si>
    <t>GAIKE/04/24/INV-1000104</t>
  </si>
  <si>
    <t>PEMBE FLOUR MILLS LIMITED</t>
  </si>
  <si>
    <t>KEA1B/CD657/24/000002/01</t>
  </si>
  <si>
    <t>GAIKE/04/24/INV-1000106</t>
  </si>
  <si>
    <t>Food processing</t>
  </si>
  <si>
    <t>MR VINODKUMAR K PATEL</t>
  </si>
  <si>
    <t>GAIKE/04/24/INV-1000107</t>
  </si>
  <si>
    <t>MR PRAVIN AGGARWAL</t>
  </si>
  <si>
    <t>GAIKE/04/24/INV-1000108</t>
  </si>
  <si>
    <t>MR NANDINI MAHENDRA BUDDHDEV</t>
  </si>
  <si>
    <t>GAIKE/04/24/INV-1000109</t>
  </si>
  <si>
    <t>MR DALJINDER SAGOO SINGH</t>
  </si>
  <si>
    <t>KEA1B/IC832/23/000050/02</t>
  </si>
  <si>
    <t>GAIKE/04/24/INV-1000111</t>
  </si>
  <si>
    <t>MR UMESH NARANBHAI MASHRU</t>
  </si>
  <si>
    <t>GAIKE/04/24/INV-1000115</t>
  </si>
  <si>
    <t>MR HETAL RAJESH MASHRU</t>
  </si>
  <si>
    <t>GAIKE/04/24/INV-1000116</t>
  </si>
  <si>
    <t>MR MANISH NARANDAS MASHRU</t>
  </si>
  <si>
    <t>GAIKE/04/24/INV-1000117</t>
  </si>
  <si>
    <t>MS RITA MANISH MASHRU</t>
  </si>
  <si>
    <t>GAIKE/04/24/INV-1000118</t>
  </si>
  <si>
    <t>MS MONIKA UMESH MASHRU</t>
  </si>
  <si>
    <t>GAIKE/04/24/INV-1000119</t>
  </si>
  <si>
    <t>MR RAJESH NARANDAS MASHRU</t>
  </si>
  <si>
    <t>GAIKE/04/24/INV-1000120</t>
  </si>
  <si>
    <t>GAIKE/04/24/INV-1000121</t>
  </si>
  <si>
    <t>MR SHIKUL CHANDRAKANT SHAH</t>
  </si>
  <si>
    <t>GAIKE/04/24/INV-1000122</t>
  </si>
  <si>
    <t>GAIKE/04/24/INV-1000124</t>
  </si>
  <si>
    <t>GAIKE/04/24/INV-1000125</t>
  </si>
  <si>
    <t>MR BHAVEN HARJIVAN KURJI</t>
  </si>
  <si>
    <t>GAIKE/04/24/INV-1000126</t>
  </si>
  <si>
    <t>GAIKE/04/24/INV-1000129</t>
  </si>
  <si>
    <t>GAIKE/04/24/INV-1000130</t>
  </si>
  <si>
    <t>GAIKE/04/24/RUF-1000018</t>
  </si>
  <si>
    <t>GAIKE/04/24/RUF-1000019</t>
  </si>
  <si>
    <t>SANJAY MANHARLAL PANDIT</t>
  </si>
  <si>
    <t>GAIKE/04/24/RUF-1000016</t>
  </si>
  <si>
    <t>GAIKE/04/24/INV-1000101</t>
  </si>
  <si>
    <t>GAIKE/04/24/INV-1000137</t>
  </si>
  <si>
    <t>GAIKE/04/24/INV-1000140</t>
  </si>
  <si>
    <t>GAIKE/04/24/INV-1000141</t>
  </si>
  <si>
    <t>GAIKE/04/24/INV-1000142</t>
  </si>
  <si>
    <t>GAIKE/04/24/INV-1000145</t>
  </si>
  <si>
    <t>GAIKE/04/24/INV-1000147</t>
  </si>
  <si>
    <t>GAIKE/04/24/INV-1000151</t>
  </si>
  <si>
    <t>PC/04/2019/3040142/05</t>
  </si>
  <si>
    <t>GAIKE/04/24/INV-1000160</t>
  </si>
  <si>
    <t>PC/04/2022/6978639/02</t>
  </si>
  <si>
    <t>GAIKE/04/24/INV-1000163</t>
  </si>
  <si>
    <t>2025-04-03</t>
  </si>
  <si>
    <t>PC/03/2022/6872794/02</t>
  </si>
  <si>
    <t>ROYALSFIELD GLOBAL INSURANCE AGENCY LIMITED</t>
  </si>
  <si>
    <t>GAIKE/04/24/INV-1000168</t>
  </si>
  <si>
    <t>PC/03/2022/6872794/01</t>
  </si>
  <si>
    <t>GAIKE/04/24/RUF-1000020</t>
  </si>
  <si>
    <t>2023-04-04</t>
  </si>
  <si>
    <t>MR BHARAT SHETH</t>
  </si>
  <si>
    <t>GAIKE/04/24/INV-1000135</t>
  </si>
  <si>
    <t>MR BHARTI PRASHIT SHAH</t>
  </si>
  <si>
    <t>GAIKE/04/24/INV-1000136</t>
  </si>
  <si>
    <t>GAIKE/04/24/INV-1000144</t>
  </si>
  <si>
    <t>PC/04/2017/1869451/06</t>
  </si>
  <si>
    <t>GAIKE/04/24/INV-1000146</t>
  </si>
  <si>
    <t>2023-04-18</t>
  </si>
  <si>
    <t>2024-04-17</t>
  </si>
  <si>
    <t>GAIKE/04/24/INV-1000149</t>
  </si>
  <si>
    <t>GAIKE/04/24/INV-1000152</t>
  </si>
  <si>
    <t>PC/04/2022/7004211/02</t>
  </si>
  <si>
    <t>GAIKE/04/24/INV-1000154</t>
  </si>
  <si>
    <t>AGL KENYA LTD</t>
  </si>
  <si>
    <t>KEA1B/CD667/24/000001/01</t>
  </si>
  <si>
    <t>GAIKE/04/24/INV-1000162</t>
  </si>
  <si>
    <t>Logistics</t>
  </si>
  <si>
    <t>PC/06/2016/1450244/08</t>
  </si>
  <si>
    <t>GAIKE/04/24/INV-1000164</t>
  </si>
  <si>
    <t>GAIKE/04/24/INV-1000165</t>
  </si>
  <si>
    <t>Software and Services</t>
  </si>
  <si>
    <t>GAIKE/04/24/INV-1000166</t>
  </si>
  <si>
    <t>GAIKE/04/24/INV-1000167</t>
  </si>
  <si>
    <t>BARAKA LODGES LIMITED</t>
  </si>
  <si>
    <t>KEA1B/CD665/24/000001/01</t>
  </si>
  <si>
    <t>GAIKE/04/24/INV-1000170</t>
  </si>
  <si>
    <t>NAROK COUNTY</t>
  </si>
  <si>
    <t>Food and beverage</t>
  </si>
  <si>
    <t>Tourism</t>
  </si>
  <si>
    <t>GAIKE/04/24/INV-1000172</t>
  </si>
  <si>
    <t>GAIKE/04/24/INV-1000173</t>
  </si>
  <si>
    <t>GAIKE/04/24/INV-1000174</t>
  </si>
  <si>
    <t>GAIKE/04/24/INV-1000138</t>
  </si>
  <si>
    <t>GAIKE/04/24/INV-1000139</t>
  </si>
  <si>
    <t>GAIKE/04/24/INV-1000143</t>
  </si>
  <si>
    <t>GAIKE/04/24/INV-1000148</t>
  </si>
  <si>
    <t>GAIKE/04/24/INV-1000150</t>
  </si>
  <si>
    <t>Water and Sewer Line and Related Structures Construction</t>
  </si>
  <si>
    <t>PC/03/2015/1019344/09</t>
  </si>
  <si>
    <t>GAIKE/04/24/INV-1000153</t>
  </si>
  <si>
    <t>KIRINYAGA UNIVERSITY (KYU)</t>
  </si>
  <si>
    <t>KEA1B/CD650/24/000001/01</t>
  </si>
  <si>
    <t>GAIKE/04/24/INV-1000158</t>
  </si>
  <si>
    <t>KIRINYAGA COUNTY</t>
  </si>
  <si>
    <t>Universities</t>
  </si>
  <si>
    <t>DOSHI AND CO (HARDWARE) LTD SPD DOSHI MIRITINI</t>
  </si>
  <si>
    <t>GAIKE/04/24/INV-1000175</t>
  </si>
  <si>
    <t>GAIKE/04/24/RUF-1000025</t>
  </si>
  <si>
    <t>GAIKE/04/24/RUF-1000022</t>
  </si>
  <si>
    <t>GAIKE/04/24/RUF-1000023</t>
  </si>
  <si>
    <t>GAIKE/04/24/INV-1000179</t>
  </si>
  <si>
    <t>GAIKE/04/24/INV-1000180</t>
  </si>
  <si>
    <t>GAIKE/04/24/INV-1000181</t>
  </si>
  <si>
    <t>GAIKE/04/24/INV-1000182</t>
  </si>
  <si>
    <t>GAIKE/04/24/INV-1000183</t>
  </si>
  <si>
    <t>PC/04/2019/3040140/05</t>
  </si>
  <si>
    <t>GAIKE/04/24/INV-1000185</t>
  </si>
  <si>
    <t>MR JITESH JAYANTILAL RAITHATHA</t>
  </si>
  <si>
    <t>KEA1B/IC781/23/000030/02</t>
  </si>
  <si>
    <t>GAIKE/04/24/INV-1000191</t>
  </si>
  <si>
    <t>2025-04-26</t>
  </si>
  <si>
    <t>GAIKE/04/24/INV-1000221</t>
  </si>
  <si>
    <t>GAIKE/04/24/INV-1000229</t>
  </si>
  <si>
    <t>GAIKE/04/24/INV-1000232</t>
  </si>
  <si>
    <t>HI-TECH GRAVURES LIMITED</t>
  </si>
  <si>
    <t>PC/10/2022/8400639/01</t>
  </si>
  <si>
    <t>GAIKE/04/24/RUF-1000029</t>
  </si>
  <si>
    <t>ENDORSEMENT REVERSAL</t>
  </si>
  <si>
    <t>GAIKE/04/24/RUF-1000030</t>
  </si>
  <si>
    <t>PC/03/2020/3890500/04</t>
  </si>
  <si>
    <t>GAIKE/04/24/INV-1000156</t>
  </si>
  <si>
    <t>2025-03-26</t>
  </si>
  <si>
    <t>MR CHIRAGKUMAR BABUBHAI VALAND</t>
  </si>
  <si>
    <t>GAIKE/04/24/INV-1000186</t>
  </si>
  <si>
    <t>MRS AAMRAH ZULFIKAR KHAN</t>
  </si>
  <si>
    <t>GAIKE/04/24/INV-1000187</t>
  </si>
  <si>
    <t>PC/03/2022/6942336/02</t>
  </si>
  <si>
    <t>GAIKE/04/24/INV-1000188</t>
  </si>
  <si>
    <t>2025-03-24</t>
  </si>
  <si>
    <t>DELTA PROPERTIES LTD.</t>
  </si>
  <si>
    <t>PC/04/2015/1031674/09</t>
  </si>
  <si>
    <t>NOMURA INSURANCE BROKERS LTD-NAIROBI</t>
  </si>
  <si>
    <t>GAIKE/04/24/INV-1000189</t>
  </si>
  <si>
    <t>GAIKE/04/24/INV-1000190</t>
  </si>
  <si>
    <t>PC/04/2022/7003859/02</t>
  </si>
  <si>
    <t>GAIKE/04/24/INV-1000195</t>
  </si>
  <si>
    <t>PC/03/2020/3877725/04</t>
  </si>
  <si>
    <t>GAIKE/04/24/INV-1000199</t>
  </si>
  <si>
    <t>PC/02/2021/4881668/03</t>
  </si>
  <si>
    <t>GAIKE/04/24/INV-1000202</t>
  </si>
  <si>
    <t>MR JAYESH  MAVJI KERAI</t>
  </si>
  <si>
    <t>GAIKE/04/24/INV-1000205</t>
  </si>
  <si>
    <t>MR CHETAN  SHIVJI KERAI</t>
  </si>
  <si>
    <t>GAIKE/04/24/INV-1000206</t>
  </si>
  <si>
    <t>MR SHIVJI KALYAN KERAI</t>
  </si>
  <si>
    <t>GAIKE/04/24/INV-1000207</t>
  </si>
  <si>
    <t>MR JADVA SHAMJI VEKARIA</t>
  </si>
  <si>
    <t>GAIKE/04/24/INV-1000208</t>
  </si>
  <si>
    <t>MR KANTILAL LILADHAR JAKHARIA</t>
  </si>
  <si>
    <t>GAIKE/04/24/INV-1000209</t>
  </si>
  <si>
    <t>PC/04/2020/3902382/04</t>
  </si>
  <si>
    <t>GAIKE/04/24/INV-1000210</t>
  </si>
  <si>
    <t>2025-04-02</t>
  </si>
  <si>
    <t>MOSES KAMAU MOKUA</t>
  </si>
  <si>
    <t>GAIKE/04/24/INV-1000211</t>
  </si>
  <si>
    <t>MS DALJINDER KAUR RAVINDER</t>
  </si>
  <si>
    <t>GAIKE/04/24/INV-1000214</t>
  </si>
  <si>
    <t>MR TEJA SINGH KALSI</t>
  </si>
  <si>
    <t>GAIKE/04/24/INV-1000215</t>
  </si>
  <si>
    <t>MR SURESH MULJI KHETANI</t>
  </si>
  <si>
    <t>GAIKE/04/24/INV-1000216</t>
  </si>
  <si>
    <t>MR KANTILAL RAVJIBHAI SHIYANI</t>
  </si>
  <si>
    <t>GAIKE/04/24/INV-1000217</t>
  </si>
  <si>
    <t>GAIKE/04/24/INV-1000222</t>
  </si>
  <si>
    <t>GAIKE/04/24/INV-1000223</t>
  </si>
  <si>
    <t>GAIKE/04/24/INV-1000224</t>
  </si>
  <si>
    <t>GAIKE/04/24/INV-1000226</t>
  </si>
  <si>
    <t>GAIKE/04/24/INV-1000230</t>
  </si>
  <si>
    <t>TWB CELLAR LIMITED</t>
  </si>
  <si>
    <t>PC/07/2022/7509160/01</t>
  </si>
  <si>
    <t>GAIKE/04/24/INV-1000231</t>
  </si>
  <si>
    <t>GAIKE/04/24/INV-1000234</t>
  </si>
  <si>
    <t>GAIKE/04/24/INV-1000235</t>
  </si>
  <si>
    <t>GAIKE/04/24/INV-1000237</t>
  </si>
  <si>
    <t>Hotel</t>
  </si>
  <si>
    <t>GAIKE/04/24/INV-1000240</t>
  </si>
  <si>
    <t>GAIKE/04/24/INV-1000241</t>
  </si>
  <si>
    <t>GAIKE/04/24/INV-1000242</t>
  </si>
  <si>
    <t>CANCELLATION OF POLICY</t>
  </si>
  <si>
    <t>GAIKE/04/24/RUF-1000028</t>
  </si>
  <si>
    <t>GAIKE/04/24/INV-1000225</t>
  </si>
  <si>
    <t>GAIKE/04/24/INV-1000228</t>
  </si>
  <si>
    <t>GAIKE/04/24/INV-1000236</t>
  </si>
  <si>
    <t>GAIKE/04/24/INV-1000238</t>
  </si>
  <si>
    <t>GAIKE/04/24/INV-1000239</t>
  </si>
  <si>
    <t>UASIN GISHU COUNTY</t>
  </si>
  <si>
    <t>MR HARSH MUKESH PANCHASARA</t>
  </si>
  <si>
    <t>GAIKE/04/24/INV-1000252</t>
  </si>
  <si>
    <t>ELIMU YETU COALITION</t>
  </si>
  <si>
    <t>KEA1B/CD672/24/000001/01</t>
  </si>
  <si>
    <t>ELYSURE INSURANCE AGENCY LIMITED</t>
  </si>
  <si>
    <t>GAIKE/04/24/INV-1000255</t>
  </si>
  <si>
    <t>2025-04-01</t>
  </si>
  <si>
    <t>GAIKE/04/24/INV-1000277</t>
  </si>
  <si>
    <t>GAIKE/04/24/INV-1000280</t>
  </si>
  <si>
    <t>MR JOSHI TEJAS PRANLAL</t>
  </si>
  <si>
    <t>KEA1B/ID240/23/000001/03</t>
  </si>
  <si>
    <t>TOPWALL INSURANCE AGENCY LIMITED</t>
  </si>
  <si>
    <t>GAIKE/04/24/INV-1000286</t>
  </si>
  <si>
    <t>2024-04-18</t>
  </si>
  <si>
    <t>2025-04-17</t>
  </si>
  <si>
    <t>GAIKE/04/24/INV-1000287</t>
  </si>
  <si>
    <t>GAIKE/04/24/INV-1000288</t>
  </si>
  <si>
    <t>GAIKE/04/24/INV-1000293</t>
  </si>
  <si>
    <t>GAIKE/04/24/INV-1000296</t>
  </si>
  <si>
    <t>AKSAYA CORPORATE SERVICES LIMITED</t>
  </si>
  <si>
    <t>PC/04/2019/3066811/05</t>
  </si>
  <si>
    <t>GAIKE/04/24/INV-1000194</t>
  </si>
  <si>
    <t>2024-04-16</t>
  </si>
  <si>
    <t>2025-04-15</t>
  </si>
  <si>
    <t>MR VALJI VELJI HALAI</t>
  </si>
  <si>
    <t>GAIKE/04/24/INV-1000257</t>
  </si>
  <si>
    <t>MR UMESHCHANDRA HARAKCHAND GOSRANI</t>
  </si>
  <si>
    <t>GAIKE/04/24/INV-1000258</t>
  </si>
  <si>
    <t>PC/04/2021/5141741/03</t>
  </si>
  <si>
    <t>GAIKE/04/24/INV-1000259</t>
  </si>
  <si>
    <t>2024-04-10</t>
  </si>
  <si>
    <t>2025-04-09</t>
  </si>
  <si>
    <t>MRS KAMINIBEN UMESHCHANDRA GOSRANI</t>
  </si>
  <si>
    <t>GAIKE/04/24/INV-1000260</t>
  </si>
  <si>
    <t>MRS FARIDA AMINMOHAMED N SULEIMAN</t>
  </si>
  <si>
    <t>GAIKE/04/24/INV-1000261</t>
  </si>
  <si>
    <t>GAIKE/04/24/INV-1000262</t>
  </si>
  <si>
    <t>GAIKE/04/24/INV-1000263</t>
  </si>
  <si>
    <t>SHANTILAL MALDE</t>
  </si>
  <si>
    <t>GAIKE/04/24/INV-1000264</t>
  </si>
  <si>
    <t>MS KAMLESH KAUR BHANGRA</t>
  </si>
  <si>
    <t>GAIKE/04/24/INV-1000265</t>
  </si>
  <si>
    <t>MRS RAGHBIR KAUR SYAN</t>
  </si>
  <si>
    <t>GAIKE/04/24/INV-1000266</t>
  </si>
  <si>
    <t>MR TARLOK SINGH KUNDI</t>
  </si>
  <si>
    <t>GAIKE/04/24/INV-1000267</t>
  </si>
  <si>
    <t>MR AVTAR SINGH KUNDI</t>
  </si>
  <si>
    <t>GAIKE/04/24/INV-1000268</t>
  </si>
  <si>
    <t>MR SUKHVINDER SINGH KUNDI</t>
  </si>
  <si>
    <t>GAIKE/04/24/INV-1000269</t>
  </si>
  <si>
    <t>MR RAHIMBAKSH ASHRAF GULAMMOHAMED</t>
  </si>
  <si>
    <t>GAIKE/04/24/INV-1000272</t>
  </si>
  <si>
    <t>GAIKE/04/24/INV-1000278</t>
  </si>
  <si>
    <t>GAIKE/04/24/INV-1000279</t>
  </si>
  <si>
    <t>DWARKESH GOSAVI</t>
  </si>
  <si>
    <t>GAIKE/04/24/INV-1000281</t>
  </si>
  <si>
    <t>SEJALKUMAR PATEL</t>
  </si>
  <si>
    <t>GAIKE/04/24/INV-1000282</t>
  </si>
  <si>
    <t>KISHOR CHANDRA VELJI SHAH</t>
  </si>
  <si>
    <t>GAIKE/04/24/INV-1000283</t>
  </si>
  <si>
    <t>KISHAN IYENGAR</t>
  </si>
  <si>
    <t>GAIKE/04/24/INV-1000284</t>
  </si>
  <si>
    <t>MANOJ PINDORIA</t>
  </si>
  <si>
    <t>GAIKE/04/24/INV-1000285</t>
  </si>
  <si>
    <t>GAIKE/04/24/INV-1000291</t>
  </si>
  <si>
    <t>GAIKE/04/24/INV-1000292</t>
  </si>
  <si>
    <t>EAST AFRICAN WILDLIFE SOCIETY</t>
  </si>
  <si>
    <t>KEA1B/CD669/24/000001/01</t>
  </si>
  <si>
    <t>GAIKE/04/24/INV-1000294</t>
  </si>
  <si>
    <t>Livestock</t>
  </si>
  <si>
    <t>GAIKE/04/24/INV-1000295</t>
  </si>
  <si>
    <t>GAIKE/04/24/INV-1000297</t>
  </si>
  <si>
    <t>GAIKE/04/24/INV-1000289</t>
  </si>
  <si>
    <t>GAIKE/04/24/INV-1000290</t>
  </si>
  <si>
    <t>MARSABIT COUNTY</t>
  </si>
  <si>
    <t>PR/04/2021/5096786/03</t>
  </si>
  <si>
    <t>SHAP INSURANCE AGENCY LTD</t>
  </si>
  <si>
    <t>GAIKE/04/24/INV-1000276</t>
  </si>
  <si>
    <t>MR BHARATKUMAR GORDHANBHAI PANCHAL</t>
  </si>
  <si>
    <t>KEA1B/IC781/23/000029/02</t>
  </si>
  <si>
    <t>GAIKE/04/24/INV-1000298</t>
  </si>
  <si>
    <t>2024-04-11</t>
  </si>
  <si>
    <t>MR AMRITPAL SINGH GAHIR</t>
  </si>
  <si>
    <t>KEA1B/IC832/23/000011/02</t>
  </si>
  <si>
    <t>GAIKE/04/24/INV-1000299</t>
  </si>
  <si>
    <t>HIRJI SHIVJI BHANDERI</t>
  </si>
  <si>
    <t>KEA1B/IC895/24/000011/01</t>
  </si>
  <si>
    <t>GAIKE/04/24/INV-1000300</t>
  </si>
  <si>
    <t>2025-04-08</t>
  </si>
  <si>
    <t>GAIKE/04/24/INV-1000301</t>
  </si>
  <si>
    <t>KWALE COUNTY</t>
  </si>
  <si>
    <t>GAIKE/04/24/INV-1000315</t>
  </si>
  <si>
    <t>GAIKE/04/24/INV-1000316</t>
  </si>
  <si>
    <t>GAIKE/04/24/INV-1000317</t>
  </si>
  <si>
    <t>Insurance</t>
  </si>
  <si>
    <t>MR CHARLES NJOGU. NGEI</t>
  </si>
  <si>
    <t>KEA1B/IC815/24/000015/01</t>
  </si>
  <si>
    <t>GAIKE/04/24/INV-1000306</t>
  </si>
  <si>
    <t>MISS BERTONCELLI VALENTINA</t>
  </si>
  <si>
    <t>KEA1B/IC793/23/000070/02</t>
  </si>
  <si>
    <t>GAIKE/04/24/INV-1000307</t>
  </si>
  <si>
    <t>2025-04-11</t>
  </si>
  <si>
    <t>AMAR VINODRAY JANKHARIYA</t>
  </si>
  <si>
    <t>PR/04/2021/5075859/03</t>
  </si>
  <si>
    <t>GAIKE/04/24/INV-1000308</t>
  </si>
  <si>
    <t>GAIKE/04/24/INV-1000310</t>
  </si>
  <si>
    <t>GAIKE/04/24/INV-1000312</t>
  </si>
  <si>
    <t>PC/09/2016/1609423/07</t>
  </si>
  <si>
    <t>GAIKE/04/24/INV-1000313</t>
  </si>
  <si>
    <t>GAIKE/04/24/INV-1000314</t>
  </si>
  <si>
    <t>GAIKE/04/24/INV-1000318</t>
  </si>
  <si>
    <t>GAIKE/04/24/INV-1000319</t>
  </si>
  <si>
    <t>GAIKE/04/24/INV-1000325</t>
  </si>
  <si>
    <t>GAIKE/04/24/INV-1000326</t>
  </si>
  <si>
    <t>GAIKE/04/24/RUF-1000040</t>
  </si>
  <si>
    <t>GAIKE/04/24/RUF-1000037</t>
  </si>
  <si>
    <t>GAIKE/04/24/RUF-1000038</t>
  </si>
  <si>
    <t>GAIKE/04/24/RUF-1000039</t>
  </si>
  <si>
    <t>GAIKE/04/24/INV-1000309</t>
  </si>
  <si>
    <t>GAIKE/04/24/INV-1000311</t>
  </si>
  <si>
    <t>GAIKE/04/24/INV-1000320</t>
  </si>
  <si>
    <t>GAIKE/04/24/INV-1000324</t>
  </si>
  <si>
    <t>MRS PHYLIS WANJIRA MAINA</t>
  </si>
  <si>
    <t>KEA1B/IC895/24/000012/01</t>
  </si>
  <si>
    <t>GAIKE/04/24/INV-1000304</t>
  </si>
  <si>
    <t>MISS JOYCE NJOKI MAINA</t>
  </si>
  <si>
    <t>KEA1B/IC815/24/000014/01</t>
  </si>
  <si>
    <t>GAIKE/04/24/INV-1000305</t>
  </si>
  <si>
    <t>CHARMING GENERAL TRADING LIMITED</t>
  </si>
  <si>
    <t>PC/04/2022/7241133/02</t>
  </si>
  <si>
    <t>GAIKE/04/24/INV-1000329</t>
  </si>
  <si>
    <t>PC/04/2022/7066296/02</t>
  </si>
  <si>
    <t>GAIKE/04/24/INV-1000357</t>
  </si>
  <si>
    <t>MR HARDIK MAHESHBHAI PATEL</t>
  </si>
  <si>
    <t>GAIKE/04/24/INV-1000362</t>
  </si>
  <si>
    <t>GAIKE/04/24/INV-1000364</t>
  </si>
  <si>
    <t>GAIKE/04/24/INV-1000369</t>
  </si>
  <si>
    <t>PC/05/2022/7306984/01</t>
  </si>
  <si>
    <t>GAIKE/04/24/INV-1000374</t>
  </si>
  <si>
    <t>2023-06-02</t>
  </si>
  <si>
    <t>2024-06-01</t>
  </si>
  <si>
    <t>GAIKE/04/24/INV-1000376</t>
  </si>
  <si>
    <t>GAIKE/04/24/INV-1000380</t>
  </si>
  <si>
    <t>GAIKE/04/24/INV-1000381</t>
  </si>
  <si>
    <t>JAMII DISTRIBUTORS (E A) LIMITED</t>
  </si>
  <si>
    <t>PC/04/2022/7092047/01</t>
  </si>
  <si>
    <t>GAIKE/04/24/INV-1000384</t>
  </si>
  <si>
    <t>2023-04-21</t>
  </si>
  <si>
    <t>2024-04-20</t>
  </si>
  <si>
    <t>GAIKE/04/24/RUF-1000043</t>
  </si>
  <si>
    <t>WHITE COAL INDUSTRIES LIMITED</t>
  </si>
  <si>
    <t>KEA1B/CD287/23/000001/02</t>
  </si>
  <si>
    <t>GAIKE/04/24/INV-1000328</t>
  </si>
  <si>
    <t>NYANZA</t>
  </si>
  <si>
    <t>LILIAN AWUOR OBETTO</t>
  </si>
  <si>
    <t>GAIKE/04/24/INV-1000334</t>
  </si>
  <si>
    <t>SANGITA RAJAN RAICHURA</t>
  </si>
  <si>
    <t>GAIKE/04/24/INV-1000338</t>
  </si>
  <si>
    <t>BHARAT SHAH</t>
  </si>
  <si>
    <t>GAIKE/04/24/INV-1000339</t>
  </si>
  <si>
    <t>ALMAS JAMAL</t>
  </si>
  <si>
    <t>GAIKE/04/24/INV-1000340</t>
  </si>
  <si>
    <t>AMISH AMIN</t>
  </si>
  <si>
    <t>GAIKE/04/24/INV-1000341</t>
  </si>
  <si>
    <t>SURESHKUMAR SUMARIYA</t>
  </si>
  <si>
    <t>GAIKE/04/24/INV-1000342</t>
  </si>
  <si>
    <t>KHALID HUSSAIN</t>
  </si>
  <si>
    <t>GAIKE/04/24/INV-1000343</t>
  </si>
  <si>
    <t>KIAMBU COUNTY WATER AND SEWERAGE COMPANY</t>
  </si>
  <si>
    <t>KEA1B/CD674/24/000001/01</t>
  </si>
  <si>
    <t>GAIKE/04/24/INV-1000346</t>
  </si>
  <si>
    <t>KIAMBU COUNTY</t>
  </si>
  <si>
    <t>ARUNA RAVAL</t>
  </si>
  <si>
    <t>GAIKE/04/24/INV-1000358</t>
  </si>
  <si>
    <t>MANISH GUPTA</t>
  </si>
  <si>
    <t>GAIKE/04/24/INV-1000359</t>
  </si>
  <si>
    <t>SANDEEPKUMAR PATEL</t>
  </si>
  <si>
    <t>GAIKE/04/24/INV-1000360</t>
  </si>
  <si>
    <t>MS PHYLLIS BHARATKUMAR JANI</t>
  </si>
  <si>
    <t>GAIKE/04/24/INV-1000361</t>
  </si>
  <si>
    <t>2024-10-01</t>
  </si>
  <si>
    <t>2025-09-30</t>
  </si>
  <si>
    <t>GAIKE/04/24/INV-1000363</t>
  </si>
  <si>
    <t>GAIKE/04/24/INV-1000370</t>
  </si>
  <si>
    <t>GAIKE/04/24/INV-1000371</t>
  </si>
  <si>
    <t>GAIKE/04/24/INV-1000373</t>
  </si>
  <si>
    <t>GAIKE/04/24/INV-1000377</t>
  </si>
  <si>
    <t>GAIKE/04/24/INV-1000378</t>
  </si>
  <si>
    <t>GAIKE/04/24/INV-1000379</t>
  </si>
  <si>
    <t>GAIKE/04/24/INV-1000383</t>
  </si>
  <si>
    <t>GAIKE/04/24/RUF-1000047</t>
  </si>
  <si>
    <t>GAIKE/04/24/RUF-1000046</t>
  </si>
  <si>
    <t>GAIKE/04/24/RUF-1000045</t>
  </si>
  <si>
    <t>2023-09-21</t>
  </si>
  <si>
    <t>2024-09-20</t>
  </si>
  <si>
    <t>GAIKE/04/24/RUF-1000044</t>
  </si>
  <si>
    <t>GAIKE/04/24/INV-1000372</t>
  </si>
  <si>
    <t>GAIKE/04/24/INV-1000382</t>
  </si>
  <si>
    <t>PR/03/2019/3035656/05</t>
  </si>
  <si>
    <t>GAIKE/04/24/INV-1000110</t>
  </si>
  <si>
    <t>MS NAWAZ 4KHAN</t>
  </si>
  <si>
    <t>KEA1B/IC793/23/000052/02</t>
  </si>
  <si>
    <t>GAIKE/04/24/INV-1000386</t>
  </si>
  <si>
    <t>2024-04-13</t>
  </si>
  <si>
    <t>MS TERESIA MURIMI WANJA</t>
  </si>
  <si>
    <t>KEA1B/IC895/23/000042/02</t>
  </si>
  <si>
    <t>GAIKE/04/24/INV-1000387</t>
  </si>
  <si>
    <t>MS ERNEST KAMAU MURIMI</t>
  </si>
  <si>
    <t>KEA1B/IC897/23/000005/02</t>
  </si>
  <si>
    <t>GAIKE/04/24/INV-1000388</t>
  </si>
  <si>
    <t>SINGH RETREAD LIMITED PRODUCT</t>
  </si>
  <si>
    <t>KEA1B/CD222/23/000001/02</t>
  </si>
  <si>
    <t>GAIKE/04/24/INV-1000389</t>
  </si>
  <si>
    <t>Beverages</t>
  </si>
  <si>
    <t>BHUPENDRA RAVAL</t>
  </si>
  <si>
    <t>GAIKE/04/24/INV-1000397</t>
  </si>
  <si>
    <t>GAIKE/04/24/INV-1000398</t>
  </si>
  <si>
    <t>UKAGUZI CO-OPERATIVE SAVINGS AND CREDIT SOCIETY LIMITED</t>
  </si>
  <si>
    <t>KEA1B/CD252/23/000001/02</t>
  </si>
  <si>
    <t>GAIKE/04/24/INV-1000392</t>
  </si>
  <si>
    <t>Saccos</t>
  </si>
  <si>
    <t>2025-04-13</t>
  </si>
  <si>
    <t>BINA ANIL MANDEVIA</t>
  </si>
  <si>
    <t>PR/04/2021/5041544/03</t>
  </si>
  <si>
    <t>GAIKE/04/24/INV-1000393</t>
  </si>
  <si>
    <t>MR JOSEPH NDUHIU MATHENGE</t>
  </si>
  <si>
    <t>KEA1B/IC821/23/000007/02</t>
  </si>
  <si>
    <t>GAIKE/04/24/INV-1000402</t>
  </si>
  <si>
    <t>2025-04-19</t>
  </si>
  <si>
    <t>GAIKE/04/24/INV-1000421</t>
  </si>
  <si>
    <t>GAIKE/04/24/INV-1000422</t>
  </si>
  <si>
    <t>GAIKE/04/24/INV-1000425</t>
  </si>
  <si>
    <t>GAIKE/04/24/INV-1000429</t>
  </si>
  <si>
    <t>FURHAD SHAMSUDIN ABDULAZIZ AZAD</t>
  </si>
  <si>
    <t>GAIKE/04/24/INV-1000411</t>
  </si>
  <si>
    <t>MINAZ KASSAM</t>
  </si>
  <si>
    <t>GAIKE/04/24/INV-1000412</t>
  </si>
  <si>
    <t>ALNOOR NURDIN KHALFAN</t>
  </si>
  <si>
    <t>GAIKE/04/24/INV-1000413</t>
  </si>
  <si>
    <t>GAIKE/04/24/INV-1000418</t>
  </si>
  <si>
    <t>GAIKE/04/24/INV-1000419</t>
  </si>
  <si>
    <t>GAIKE/04/24/INV-1000420</t>
  </si>
  <si>
    <t>GAIKE/04/24/INV-1000423</t>
  </si>
  <si>
    <t>GAIKE/04/24/INV-1000424</t>
  </si>
  <si>
    <t>GAIKE/04/24/INV-1000426</t>
  </si>
  <si>
    <t>GAIKE/04/24/INV-1000428</t>
  </si>
  <si>
    <t>GAIKE/04/24/RUF-1000051</t>
  </si>
  <si>
    <t>GAIKE/04/24/RUF-1000050</t>
  </si>
  <si>
    <t>GAIKE/04/24/INV-1000410</t>
  </si>
  <si>
    <t>KEA1B/IC830/24/000016/01</t>
  </si>
  <si>
    <t>GAIKE/04/24/INV-1000453</t>
  </si>
  <si>
    <t>MOHAMED ALI ABDALLA</t>
  </si>
  <si>
    <t>PR/04/2019/3055070/05</t>
  </si>
  <si>
    <t>GAIKE/04/24/INV-1000485</t>
  </si>
  <si>
    <t>MR ARVISHKUMAR LAXMANBHAI PATEL</t>
  </si>
  <si>
    <t>GAIKE/04/24/INV-1000494</t>
  </si>
  <si>
    <t>GAIKE/04/24/RUF-1000056</t>
  </si>
  <si>
    <t>Hospital</t>
  </si>
  <si>
    <t>Healthcare</t>
  </si>
  <si>
    <t>KEA1B/IC781/23/000048/02</t>
  </si>
  <si>
    <t>GAIKE/04/24/INV-1000385</t>
  </si>
  <si>
    <t>GAIKE/04/24/INV-1000460</t>
  </si>
  <si>
    <t>DAYALAL GOVIND CHUDASAMA</t>
  </si>
  <si>
    <t>PR/04/2022/6975282/02</t>
  </si>
  <si>
    <t>GAIKE/04/24/INV-1000465</t>
  </si>
  <si>
    <t>KAMLESH DAYALAL CHUDASAMA</t>
  </si>
  <si>
    <t>PR/04/2022/6974259/02</t>
  </si>
  <si>
    <t>GAIKE/04/24/INV-1000466</t>
  </si>
  <si>
    <t>MR PRAVINCHAND DEVCHAND SHAH</t>
  </si>
  <si>
    <t>KEA1B/IC905/23/000016/02</t>
  </si>
  <si>
    <t>GAIKE/04/24/INV-1000471</t>
  </si>
  <si>
    <t>RASHMIKANT CHANDULAL DODHIYA</t>
  </si>
  <si>
    <t>GAIKE/04/24/INV-1000480</t>
  </si>
  <si>
    <t>GAIKE/04/24/INV-1000489</t>
  </si>
  <si>
    <t>MS NIRAV TANNA</t>
  </si>
  <si>
    <t>GAIKE/04/24/INV-1000492</t>
  </si>
  <si>
    <t>MR JITENDRAKUMAR C PATEL</t>
  </si>
  <si>
    <t>GAIKE/04/24/INV-1000493</t>
  </si>
  <si>
    <t>GAIKE/04/24/RUF-1000055</t>
  </si>
  <si>
    <t>PC/03/2020/4052774/04</t>
  </si>
  <si>
    <t>GAIKE/04/24/INV-1000415</t>
  </si>
  <si>
    <t>GAIKE/04/24/INV-1000487</t>
  </si>
  <si>
    <t>MR IMRAN AHMED AWAN</t>
  </si>
  <si>
    <t>KEA1B/IC832/24/000022/01</t>
  </si>
  <si>
    <t>GAIKE/04/24/INV-1000409</t>
  </si>
  <si>
    <t>JASPAL BIRDI</t>
  </si>
  <si>
    <t>GAIKE/04/24/INV-1000518</t>
  </si>
  <si>
    <t>MR ADEEL ZAHOOR ISAK</t>
  </si>
  <si>
    <t>KEA1B/IC815/23/000023/02</t>
  </si>
  <si>
    <t>GAIKE/04/24/INV-1000519</t>
  </si>
  <si>
    <t>MR ISMAIL ZAHOOR ISAK.</t>
  </si>
  <si>
    <t>KEA1B/IC793/23/000066/02</t>
  </si>
  <si>
    <t>GAIKE/04/24/INV-1000522</t>
  </si>
  <si>
    <t>KETAN VIRJI</t>
  </si>
  <si>
    <t>GAIKE/04/24/INV-1000523</t>
  </si>
  <si>
    <t>GAIKE/04/24/INV-1000525</t>
  </si>
  <si>
    <t>GAIKE/04/24/INV-1000526</t>
  </si>
  <si>
    <t>MR MOHAMED AMAN ZAHOOR</t>
  </si>
  <si>
    <t>KEA1B/IC832/23/000036/02</t>
  </si>
  <si>
    <t>GAIKE/04/24/INV-1000537</t>
  </si>
  <si>
    <t>GAIKE/04/24/INV-1000538</t>
  </si>
  <si>
    <t>PC/04/2022/7019961/02</t>
  </si>
  <si>
    <t>GAIKE/04/24/INV-1000547</t>
  </si>
  <si>
    <t>SANJAY PATEL</t>
  </si>
  <si>
    <t>GAIKE/04/24/INV-1000560</t>
  </si>
  <si>
    <t>STEFANA LIVI</t>
  </si>
  <si>
    <t>GAIKE/04/24/INV-1000561</t>
  </si>
  <si>
    <t>ALESSANDRO TRENTAVIZI</t>
  </si>
  <si>
    <t>GAIKE/04/24/INV-1000564</t>
  </si>
  <si>
    <t>SANJAY ZAVERCHAND SHAH</t>
  </si>
  <si>
    <t>GAIKE/04/24/INV-1000571</t>
  </si>
  <si>
    <t>MARIA WAINAINA</t>
  </si>
  <si>
    <t>GAIKE/04/24/INV-1000573</t>
  </si>
  <si>
    <t>CHRISTINA BALARIN</t>
  </si>
  <si>
    <t>GAIKE/04/24/INV-1000574</t>
  </si>
  <si>
    <t>GUNJAL KARANIA</t>
  </si>
  <si>
    <t>GAIKE/04/24/INV-1000575</t>
  </si>
  <si>
    <t>PARESH KARANIA</t>
  </si>
  <si>
    <t>GAIKE/04/24/INV-1000576</t>
  </si>
  <si>
    <t>JANE MACHARIA</t>
  </si>
  <si>
    <t>GAIKE/04/24/INV-1000577</t>
  </si>
  <si>
    <t>PARESHKUMAR FULCHAND</t>
  </si>
  <si>
    <t>GAIKE/04/24/INV-1000578</t>
  </si>
  <si>
    <t>EUNICE NJOROGE</t>
  </si>
  <si>
    <t>GAIKE/04/24/INV-1000579</t>
  </si>
  <si>
    <t>HELLEN NGURE</t>
  </si>
  <si>
    <t>GAIKE/04/24/INV-1000581</t>
  </si>
  <si>
    <t>JOHN BALARIN</t>
  </si>
  <si>
    <t>GAIKE/04/24/INV-1000583</t>
  </si>
  <si>
    <t>KAILESH JETHWA</t>
  </si>
  <si>
    <t>GAIKE/04/24/INV-1000584</t>
  </si>
  <si>
    <t>TUSHAR JETHWA</t>
  </si>
  <si>
    <t>GAIKE/04/24/INV-1000585</t>
  </si>
  <si>
    <t>KUNAL SHARMA</t>
  </si>
  <si>
    <t>GAIKE/04/24/INV-1000586</t>
  </si>
  <si>
    <t>GAIKE/04/24/INV-1000588</t>
  </si>
  <si>
    <t>MR KEVIN MWANGI IRUNGU</t>
  </si>
  <si>
    <t>GAIKE/04/24/RUF-1000061</t>
  </si>
  <si>
    <t>NICE NJAMBI IRUNGU</t>
  </si>
  <si>
    <t>GAIKE/04/24/RUF-1000063</t>
  </si>
  <si>
    <t>GAIKE/04/24/RUF-1000060</t>
  </si>
  <si>
    <t>MS NICE NJAMBI IRUNGU</t>
  </si>
  <si>
    <t>GAIKE/04/24/RUF-1000062</t>
  </si>
  <si>
    <t>GAIKE/04/24/RUF-1000058</t>
  </si>
  <si>
    <t>MR AMIT KUMAR MISHRA</t>
  </si>
  <si>
    <t>KEA1B/IC781/24/000033/01</t>
  </si>
  <si>
    <t>NORTHRIDGE INSURANCE BROKERS LTD</t>
  </si>
  <si>
    <t>GAIKE/04/24/INV-1000490</t>
  </si>
  <si>
    <t>MR SHIVARAMA SHETTY</t>
  </si>
  <si>
    <t>KEA1B/IC781/24/000034/01</t>
  </si>
  <si>
    <t>GAIKE/04/24/INV-1000491</t>
  </si>
  <si>
    <t>GAIKE/04/24/INV-1000515</t>
  </si>
  <si>
    <t>GAIKE/04/24/INV-1000524</t>
  </si>
  <si>
    <t>GAIKE/04/24/INV-1000527</t>
  </si>
  <si>
    <t>CIVIL ENGINEERING DESIGN (KENYA) LTD</t>
  </si>
  <si>
    <t>PC/11/2018/2755952/05</t>
  </si>
  <si>
    <t>GAIKE/04/24/INV-1000529</t>
  </si>
  <si>
    <t>2023-11-05</t>
  </si>
  <si>
    <t>2024-11-04</t>
  </si>
  <si>
    <t>KEA1B/CD260/23/000001/02</t>
  </si>
  <si>
    <t>GAIKE/04/24/INV-1000531</t>
  </si>
  <si>
    <t>GAIKE/04/24/INV-1000536</t>
  </si>
  <si>
    <t>GARISSA COUNTY</t>
  </si>
  <si>
    <t>Ministries of education</t>
  </si>
  <si>
    <t>GAIKE/04/24/INV-1000541</t>
  </si>
  <si>
    <t>MR KALPESHKUMAR NANDLAL PATEL</t>
  </si>
  <si>
    <t>GAIKE/04/24/INV-1000558</t>
  </si>
  <si>
    <t>MR NIKUNJ HARIA</t>
  </si>
  <si>
    <t>GAIKE/04/24/INV-1000559</t>
  </si>
  <si>
    <t>JAYANTILAL KARSAN HIRANI</t>
  </si>
  <si>
    <t>GAIKE/04/24/INV-1000590</t>
  </si>
  <si>
    <t>NARAN SHIVJI PINDORIA</t>
  </si>
  <si>
    <t>GAIKE/04/24/INV-1000591</t>
  </si>
  <si>
    <t>SAGAR PRAPHOOL CHANDRA PRABHUDAS</t>
  </si>
  <si>
    <t>GAIKE/04/24/INV-1000592</t>
  </si>
  <si>
    <t>GAIKE/04/24/RUF-1000057</t>
  </si>
  <si>
    <t>GAIKE/04/24/RUF-1000059</t>
  </si>
  <si>
    <t>GAIKE/04/24/INV-1000530</t>
  </si>
  <si>
    <t>GAIKE/04/24/INV-1000535</t>
  </si>
  <si>
    <t>GAIKE/04/24/INV-1000587</t>
  </si>
  <si>
    <t>MR HASMUKH KUMAR PINDORIYA</t>
  </si>
  <si>
    <t>KEA1B/IC793/24/000079/01</t>
  </si>
  <si>
    <t>GAIKE/04/24/INV-1000056</t>
  </si>
  <si>
    <t>KEA1B/IC793/24/000078/01</t>
  </si>
  <si>
    <t>GAIKE/04/24/INV-1000058</t>
  </si>
  <si>
    <t>GAIKE/04/24/INV-1000594</t>
  </si>
  <si>
    <t>GAIKE/04/24/INV-1000600</t>
  </si>
  <si>
    <t>GAIKE/04/24/INV-1000602</t>
  </si>
  <si>
    <t>GAIKE/04/24/INV-1000603</t>
  </si>
  <si>
    <t>MAGNUM ENGINEERS LIMITED</t>
  </si>
  <si>
    <t>KEA1B/CC934/23/000001/02</t>
  </si>
  <si>
    <t>GAIKE/04/24/INV-1000614</t>
  </si>
  <si>
    <t>Rail</t>
  </si>
  <si>
    <t>2023-11-20</t>
  </si>
  <si>
    <t>2024-11-19</t>
  </si>
  <si>
    <t>GAIKE/04/24/RUF-1000067</t>
  </si>
  <si>
    <t>SYKEN INSURANCE AGENCY</t>
  </si>
  <si>
    <t>GAIKE/04/24/RUF-1000066</t>
  </si>
  <si>
    <t>MR HANSHA LAKHANI</t>
  </si>
  <si>
    <t>GAIKE/04/24/INV-1000596</t>
  </si>
  <si>
    <t>KEA1B/MD051/23/000001/01</t>
  </si>
  <si>
    <t>GAIKE/04/24/INV-1000599</t>
  </si>
  <si>
    <t>GAIKE/04/24/INV-1000604</t>
  </si>
  <si>
    <t>GAIKE/04/24/INV-1000607</t>
  </si>
  <si>
    <t>GAIKE/04/24/INV-1000615</t>
  </si>
  <si>
    <t>MR ARVIND SAXENA</t>
  </si>
  <si>
    <t>GAIKE/04/24/INV-1000631</t>
  </si>
  <si>
    <t>MRS KALWANT KAUR CHANNA</t>
  </si>
  <si>
    <t>GAIKE/04/24/INV-1000633</t>
  </si>
  <si>
    <t>JITESH PREMCHAND HARIYA</t>
  </si>
  <si>
    <t>GAIKE/04/24/INV-1000635</t>
  </si>
  <si>
    <t>MR ARVIND SURAJMAL TIWARI</t>
  </si>
  <si>
    <t>PR/02/2020/3842656/04</t>
  </si>
  <si>
    <t>GAIKE/04/24/INV-1000641</t>
  </si>
  <si>
    <t>GAIKE/04/24/RUF-1000069</t>
  </si>
  <si>
    <t>GAIKE/04/24/RUF-1000068</t>
  </si>
  <si>
    <t>GAIKE/04/24/INV-1000605</t>
  </si>
  <si>
    <t>GAIKE/04/24/INV-1000613</t>
  </si>
  <si>
    <t>GAIKE/04/24/INV-1000665</t>
  </si>
  <si>
    <t>GAIKE/04/24/INV-1000667</t>
  </si>
  <si>
    <t>GAIKE/04/24/INV-1000669</t>
  </si>
  <si>
    <t>GAIKE/04/24/INV-1000673</t>
  </si>
  <si>
    <t>GAIKE/04/24/INV-1000674</t>
  </si>
  <si>
    <t>GAIKE/04/24/INV-1000678</t>
  </si>
  <si>
    <t>GAIKE/04/24/INV-1000679</t>
  </si>
  <si>
    <t>MR ROHAN HIRANI</t>
  </si>
  <si>
    <t>GAIKE/04/24/INV-1000680</t>
  </si>
  <si>
    <t>KEA1B/IC793/24/000081/01</t>
  </si>
  <si>
    <t>GAIKE/04/24/INV-1000539</t>
  </si>
  <si>
    <t>MR PRASHANT VELJI DODHIA</t>
  </si>
  <si>
    <t>KEA1B/IC793/24/000082/01</t>
  </si>
  <si>
    <t>GAIKE/04/24/INV-1000580</t>
  </si>
  <si>
    <t>MR NISHITKUMAR JENTILAL JAKHARIYA</t>
  </si>
  <si>
    <t>KEA1B/IC793/24/000068/01</t>
  </si>
  <si>
    <t>GAIKE/04/24/INV-1000582</t>
  </si>
  <si>
    <t>GAIKE/04/24/INV-1000661</t>
  </si>
  <si>
    <t>GAIKE/04/24/INV-1000664</t>
  </si>
  <si>
    <t>GAIKE/04/24/INV-1000666</t>
  </si>
  <si>
    <t>GAIKE/04/24/INV-1000668</t>
  </si>
  <si>
    <t>GAIKE/04/24/INV-1000670</t>
  </si>
  <si>
    <t>MRS JASBIR KAUR JABBAL</t>
  </si>
  <si>
    <t>GAIKE/04/24/INV-1000671</t>
  </si>
  <si>
    <t>MR RAJPAL SINGH JABBAL</t>
  </si>
  <si>
    <t>KEA1B/MD312/23/000001/01</t>
  </si>
  <si>
    <t>GAIKE/04/24/INV-1000672</t>
  </si>
  <si>
    <t>PC/04/2020/3923519/04</t>
  </si>
  <si>
    <t>GAIKE/04/24/INV-1000675</t>
  </si>
  <si>
    <t>GAIKE/04/24/INV-1000676</t>
  </si>
  <si>
    <t>GAIKE/04/24/INV-1000677</t>
  </si>
  <si>
    <t>MR PYARA SINGH AMAR LABHORAM</t>
  </si>
  <si>
    <t>GAIKE/04/24/INV-1000681</t>
  </si>
  <si>
    <t>MR HARJI LALJI HIRANI</t>
  </si>
  <si>
    <t>GAIKE/04/24/INV-1000682</t>
  </si>
  <si>
    <t>MR BALBINDER SINGH SEMBI</t>
  </si>
  <si>
    <t>GAIKE/04/24/INV-1000683</t>
  </si>
  <si>
    <t>MR BHUPENDRA KUMAR RAYCHAND BID</t>
  </si>
  <si>
    <t>GAIKE/04/24/INV-1000684</t>
  </si>
  <si>
    <t>SUNILKUMAR JAYSHWAL</t>
  </si>
  <si>
    <t>GAIKE/04/24/INV-1000685</t>
  </si>
  <si>
    <t>DARSHNABEN PATEL</t>
  </si>
  <si>
    <t>GAIKE/04/24/INV-1000686</t>
  </si>
  <si>
    <t>KALPESHKUMAR PATEL</t>
  </si>
  <si>
    <t>GAIKE/04/24/INV-1000687</t>
  </si>
  <si>
    <t>SAMEER PARMAR</t>
  </si>
  <si>
    <t>GAIKE/04/24/INV-1000688</t>
  </si>
  <si>
    <t>MINAZ PARMAR</t>
  </si>
  <si>
    <t>GAIKE/04/24/INV-1000689</t>
  </si>
  <si>
    <t>HARISHKUMAR GUDHKA</t>
  </si>
  <si>
    <t>GAIKE/04/24/INV-1000690</t>
  </si>
  <si>
    <t>KARAN GROVER</t>
  </si>
  <si>
    <t>GAIKE/04/24/INV-1000691</t>
  </si>
  <si>
    <t>ASHWINKUMAR SHAH</t>
  </si>
  <si>
    <t>GAIKE/04/24/INV-1000692</t>
  </si>
  <si>
    <t>MR MOHEED MOHAMMED REZA</t>
  </si>
  <si>
    <t>GAIKE/04/24/INV-1000693</t>
  </si>
  <si>
    <t>KALPESH DOSHI</t>
  </si>
  <si>
    <t>GAIKE/04/24/INV-1000694</t>
  </si>
  <si>
    <t>SUNNY RAMNIKLAL GUDHKA</t>
  </si>
  <si>
    <t>GAIKE/04/24/INV-1000695</t>
  </si>
  <si>
    <t>NILESHKUMAR MOHANLAL NAKER</t>
  </si>
  <si>
    <t>GAIKE/04/24/INV-1000696</t>
  </si>
  <si>
    <t>MR DHRUV NILESH NAKER</t>
  </si>
  <si>
    <t>GAIKE/04/24/INV-1000697</t>
  </si>
  <si>
    <t>JAYPRAKASH SUTHAR</t>
  </si>
  <si>
    <t>GAIKE/04/24/INV-1000698</t>
  </si>
  <si>
    <t>HASMUKHLAL SUTHAR</t>
  </si>
  <si>
    <t>GAIKE/04/24/INV-1000699</t>
  </si>
  <si>
    <t>JAGDISHBHAI PRAJAPATI</t>
  </si>
  <si>
    <t>GAIKE/04/24/INV-1000700</t>
  </si>
  <si>
    <t>SUSHILA KAMLESH SHAH</t>
  </si>
  <si>
    <t>GAIKE/04/24/INV-1000701</t>
  </si>
  <si>
    <t>RAKESHBHAI RAMANBHAI PATEL</t>
  </si>
  <si>
    <t>GAIKE/04/24/INV-1000702</t>
  </si>
  <si>
    <t>RAITHATHA POPATILAL</t>
  </si>
  <si>
    <t>GAIKE/04/24/INV-1000703</t>
  </si>
  <si>
    <t>SANDEEP VEKARIYA</t>
  </si>
  <si>
    <t>GAIKE/04/24/INV-1000704</t>
  </si>
  <si>
    <t>BIPINKUMAR MODI</t>
  </si>
  <si>
    <t>GAIKE/04/24/INV-1000705</t>
  </si>
  <si>
    <t>CHETNA MODI</t>
  </si>
  <si>
    <t>GAIKE/04/24/INV-1000706</t>
  </si>
  <si>
    <t>PARESHKUMAR PATEL</t>
  </si>
  <si>
    <t>GAIKE/04/24/INV-1000707</t>
  </si>
  <si>
    <t>JITENDRA SHAH</t>
  </si>
  <si>
    <t>GAIKE/04/24/INV-1000708</t>
  </si>
  <si>
    <t>AHMED AHMED CHANNA</t>
  </si>
  <si>
    <t>GAIKE/04/24/INV-1000709</t>
  </si>
  <si>
    <t>JALPESHKUMAR PATEL</t>
  </si>
  <si>
    <t>GAIKE/04/24/INV-1000710</t>
  </si>
  <si>
    <t>ANKTI TAILOR</t>
  </si>
  <si>
    <t>GAIKE/04/24/INV-1000711</t>
  </si>
  <si>
    <t>KAILESH KALIDAS</t>
  </si>
  <si>
    <t>GAIKE/04/24/INV-1000712</t>
  </si>
  <si>
    <t>DUSHYANTBHAI PATEL</t>
  </si>
  <si>
    <t>GAIKE/04/24/INV-1000713</t>
  </si>
  <si>
    <t>LALITKUMAR DHULIA</t>
  </si>
  <si>
    <t>GAIKE/04/24/INV-1000714</t>
  </si>
  <si>
    <t>PALLAVI DHULIA</t>
  </si>
  <si>
    <t>GAIKE/04/24/INV-1000715</t>
  </si>
  <si>
    <t>SURESH SHAH</t>
  </si>
  <si>
    <t>GAIKE/04/24/INV-1000716</t>
  </si>
  <si>
    <t>MANJULABEN PATEL</t>
  </si>
  <si>
    <t>GAIKE/04/24/INV-1000717</t>
  </si>
  <si>
    <t>PRAKASH CHANDRESH KHETIYA</t>
  </si>
  <si>
    <t>GAIKE/04/24/INV-1000718</t>
  </si>
  <si>
    <t>ALIYA ANWAR MURIDKHAN</t>
  </si>
  <si>
    <t>GAIKE/04/24/INV-1000719</t>
  </si>
  <si>
    <t>MUMTAZ RAJPUT</t>
  </si>
  <si>
    <t>GAIKE/04/24/INV-1000720</t>
  </si>
  <si>
    <t>MEHBOOB BHANJI</t>
  </si>
  <si>
    <t>GAIKE/04/24/INV-1000721</t>
  </si>
  <si>
    <t>ALYKHAN BHANJI</t>
  </si>
  <si>
    <t>GAIKE/04/24/INV-1000722</t>
  </si>
  <si>
    <t>PARESH KANTILAL PANDYA</t>
  </si>
  <si>
    <t>GAIKE/04/24/INV-1000723</t>
  </si>
  <si>
    <t>MONARK PARESH PANDYA</t>
  </si>
  <si>
    <t>GAIKE/04/24/INV-1000724</t>
  </si>
  <si>
    <t>MILINKUMAR JASHBHAI PATEL</t>
  </si>
  <si>
    <t>GAIKE/04/24/INV-1000725</t>
  </si>
  <si>
    <t>ALPESHKUMAR PATEL</t>
  </si>
  <si>
    <t>GAIKE/04/24/INV-1000726</t>
  </si>
  <si>
    <t>ASHOK KUMAR PREMCHAND SHAH</t>
  </si>
  <si>
    <t>GAIKE/04/24/INV-1000727</t>
  </si>
  <si>
    <t>MONIL SHANTILAL SHAH</t>
  </si>
  <si>
    <t>GAIKE/04/24/INV-1000728</t>
  </si>
  <si>
    <t>ANUJ SHAH</t>
  </si>
  <si>
    <t>GAIKE/04/24/INV-1000729</t>
  </si>
  <si>
    <t>RAJ SAVALA</t>
  </si>
  <si>
    <t>GAIKE/04/24/INV-1000730</t>
  </si>
  <si>
    <t>DEEP SAVLA</t>
  </si>
  <si>
    <t>GAIKE/04/24/INV-1000731</t>
  </si>
  <si>
    <t>MR DHARMENDRA KUMAR JAIN</t>
  </si>
  <si>
    <t>GAIKE/04/24/INV-1000732</t>
  </si>
  <si>
    <t>DAKSHABEN KAUSHIKBHAI PATEL</t>
  </si>
  <si>
    <t>GAIKE/04/24/INV-1000733</t>
  </si>
  <si>
    <t>KAUSHIKBHAI RAMANBHAI PATEL</t>
  </si>
  <si>
    <t>GAIKE/04/24/INV-1000734</t>
  </si>
  <si>
    <t>MR HUSSEIN FARID TAHER</t>
  </si>
  <si>
    <t>GAIKE/04/24/INV-1000735</t>
  </si>
  <si>
    <t>RAJENDRAKUMAR JOSHI</t>
  </si>
  <si>
    <t>GAIKE/04/24/INV-1000736</t>
  </si>
  <si>
    <t>MADHU JOSHI</t>
  </si>
  <si>
    <t>GAIKE/04/24/INV-1000737</t>
  </si>
  <si>
    <t>BHAGIRATH JOSHI</t>
  </si>
  <si>
    <t>GAIKE/04/24/INV-1000738</t>
  </si>
  <si>
    <t>FRANCIS MANALY</t>
  </si>
  <si>
    <t>GAIKE/04/24/INV-1000739</t>
  </si>
  <si>
    <t>ELISHUA NGINA</t>
  </si>
  <si>
    <t>GAIKE/04/24/INV-1000740</t>
  </si>
  <si>
    <t>KEREN HAPPUCH</t>
  </si>
  <si>
    <t>GAIKE/04/24/INV-1000741</t>
  </si>
  <si>
    <t>SAGAR PRABHUDAS</t>
  </si>
  <si>
    <t>GAIKE/04/24/INV-1000742</t>
  </si>
  <si>
    <t>HARGOVIND GANGWAR</t>
  </si>
  <si>
    <t>GAIKE/04/24/INV-1000743</t>
  </si>
  <si>
    <t>LUCAS MIGANDA</t>
  </si>
  <si>
    <t>GAIKE/04/24/INV-1000744</t>
  </si>
  <si>
    <t>GAIKE/04/24/INV-1000660</t>
  </si>
  <si>
    <t>GAIKE/04/24/INV-1000662</t>
  </si>
  <si>
    <t>NIYERI</t>
  </si>
  <si>
    <t>GAIKE/04/24/INV-1000663</t>
  </si>
  <si>
    <t>ABDULRAHIM AHMED BAJABER</t>
  </si>
  <si>
    <t>PR/04/2022/7107094/02</t>
  </si>
  <si>
    <t>GAIKE/04/24/INV-1000761</t>
  </si>
  <si>
    <t>2024-04-21</t>
  </si>
  <si>
    <t>2025-04-20</t>
  </si>
  <si>
    <t>2024-04-22</t>
  </si>
  <si>
    <t>MR JOB MAKORI ONDARI</t>
  </si>
  <si>
    <t>KEA1B/IC805/24/000004/01</t>
  </si>
  <si>
    <t>NASHWORLD INSURANCE AGENCY</t>
  </si>
  <si>
    <t>GAIKE/04/24/INV-1000763</t>
  </si>
  <si>
    <t>KEA1B/IC805/23/000006/02</t>
  </si>
  <si>
    <t>GAIKE/04/24/INV-1000765</t>
  </si>
  <si>
    <t>MR KIRTIKUMAR RAMNIKLAL RAJPAL SHAH</t>
  </si>
  <si>
    <t>KEA1B/IC905/23/000017/02</t>
  </si>
  <si>
    <t>GAIKE/04/24/INV-1000766</t>
  </si>
  <si>
    <t>GAIKE/04/24/INV-1000767</t>
  </si>
  <si>
    <t>GAIKE/04/24/INV-1000768</t>
  </si>
  <si>
    <t>KEA1B/CD258/23/000001/02</t>
  </si>
  <si>
    <t>GAIKE/04/24/INV-1000775</t>
  </si>
  <si>
    <t>Tourism services</t>
  </si>
  <si>
    <t>LISPA KAMAI</t>
  </si>
  <si>
    <t>GAIKE/04/24/INV-1000781</t>
  </si>
  <si>
    <t>KEA1B/CD254/23/000001/02</t>
  </si>
  <si>
    <t>ATLAS INSURANCE BROKERS</t>
  </si>
  <si>
    <t>GAIKE/04/24/INV-1000782</t>
  </si>
  <si>
    <t>GAIKE/04/24/RUF-1000072</t>
  </si>
  <si>
    <t>KETNA JIWA</t>
  </si>
  <si>
    <t>GAIKE/04/24/INV-1000784</t>
  </si>
  <si>
    <t>2024-04-23</t>
  </si>
  <si>
    <t>KIRIT DODIA</t>
  </si>
  <si>
    <t>GAIKE/04/24/INV-1000786</t>
  </si>
  <si>
    <t>PAREENA MAMUJEE</t>
  </si>
  <si>
    <t>GAIKE/04/24/INV-1000787</t>
  </si>
  <si>
    <t>BEATRICE MUTISYA</t>
  </si>
  <si>
    <t>GAIKE/04/24/INV-1000788</t>
  </si>
  <si>
    <t>BHAVIK DODHIA</t>
  </si>
  <si>
    <t>GAIKE/04/24/INV-1000789</t>
  </si>
  <si>
    <t>GURSHARANJEET SEHMI</t>
  </si>
  <si>
    <t>GAIKE/04/24/INV-1000790</t>
  </si>
  <si>
    <t>YOGESH PATEL</t>
  </si>
  <si>
    <t>GAIKE/04/24/INV-1000791</t>
  </si>
  <si>
    <t>MANJIT BANSAL</t>
  </si>
  <si>
    <t>GAIKE/04/24/INV-1000792</t>
  </si>
  <si>
    <t>PURSHOTTAM BHAKRI</t>
  </si>
  <si>
    <t>GAIKE/04/24/INV-1000793</t>
  </si>
  <si>
    <t>KUSH PATEL</t>
  </si>
  <si>
    <t>GAIKE/04/24/INV-1000794</t>
  </si>
  <si>
    <t>LUCA MAGNANO</t>
  </si>
  <si>
    <t>GAIKE/04/24/INV-1000795</t>
  </si>
  <si>
    <t>JEDIDA OKOYO</t>
  </si>
  <si>
    <t>GAIKE/04/24/INV-1000796</t>
  </si>
  <si>
    <t>TERESIA KIMOTHO</t>
  </si>
  <si>
    <t>GAIKE/04/24/INV-1000797</t>
  </si>
  <si>
    <t>MR MICHAEL GAKONDE KAMIRI</t>
  </si>
  <si>
    <t>GAIKE/04/24/INV-1000798</t>
  </si>
  <si>
    <t>MR VIJAYKUMAR DEVJI SHIKOTRA</t>
  </si>
  <si>
    <t>GAIKE/04/24/INV-1000799</t>
  </si>
  <si>
    <t>MR ADITYA SANGHVI ADITYA SANGHVI</t>
  </si>
  <si>
    <t>GAIKE/04/24/INV-1000801</t>
  </si>
  <si>
    <t>CHROME PARTNERS LIMITED</t>
  </si>
  <si>
    <t>PC/04/2022/7185582/01</t>
  </si>
  <si>
    <t>GAIKE/04/24/INV-1000802</t>
  </si>
  <si>
    <t>2025-04-10</t>
  </si>
  <si>
    <t>MRS BEATRICE ANYANGO OWITI</t>
  </si>
  <si>
    <t>KEA1B/IC897/24/000004/01</t>
  </si>
  <si>
    <t>GAIKE/04/24/INV-1000806</t>
  </si>
  <si>
    <t>KISUMU COUNTY</t>
  </si>
  <si>
    <t>PC/04/2019/3084161/05</t>
  </si>
  <si>
    <t>GAIKE/04/24/INV-1000803</t>
  </si>
  <si>
    <t>PC/04/2021/5141126/03</t>
  </si>
  <si>
    <t>GAIKE/04/24/INV-1000807</t>
  </si>
  <si>
    <t>2025-04-21</t>
  </si>
  <si>
    <t>HYGROTECH EAST AFRICA LIMITED.</t>
  </si>
  <si>
    <t>KEA1B/CD676/24/000001/01</t>
  </si>
  <si>
    <t>GAIKE/04/24/INV-1000808</t>
  </si>
  <si>
    <t>Agricultural related</t>
  </si>
  <si>
    <t>GAIKE/04/24/INV-1000814</t>
  </si>
  <si>
    <t>PC/04/2015/1055779/09</t>
  </si>
  <si>
    <t>GAIKE/04/24/INV-1000805</t>
  </si>
  <si>
    <t>2024-04-26</t>
  </si>
  <si>
    <t>2025-04-25</t>
  </si>
  <si>
    <t>GAIKE/04/24/INV-1000812</t>
  </si>
  <si>
    <t>EBRAHIM ESSAK ADMANI</t>
  </si>
  <si>
    <t>PR/04/2021/5110255/03</t>
  </si>
  <si>
    <t>GAIKE/04/24/INV-1000800</t>
  </si>
  <si>
    <t>PC/04/2017/1858080/07</t>
  </si>
  <si>
    <t>GAIKE/04/24/INV-1000840</t>
  </si>
  <si>
    <t>2024-04-24</t>
  </si>
  <si>
    <t>MR MUKESH GULABCHAND SHAH</t>
  </si>
  <si>
    <t>GAIKE/04/24/INV-1000838</t>
  </si>
  <si>
    <t>MRS RATTAN KAUR CHANNA</t>
  </si>
  <si>
    <t>GAIKE/04/24/INV-1000844</t>
  </si>
  <si>
    <t>MR JASBINDER SINGH MUDHER</t>
  </si>
  <si>
    <t>GAIKE/04/24/INV-1000845</t>
  </si>
  <si>
    <t>MR JASWANT SINGH ATMA</t>
  </si>
  <si>
    <t>GAIKE/04/24/INV-1000846</t>
  </si>
  <si>
    <t>MRS BALJIT KAUR JASWANT SINGH</t>
  </si>
  <si>
    <t>GAIKE/04/24/INV-1000847</t>
  </si>
  <si>
    <t>MRS KIRAN RAJESH BHUNDIA</t>
  </si>
  <si>
    <t>KEA1B/IC895/24/000013/01</t>
  </si>
  <si>
    <t>GAIKE/04/24/INV-1000857</t>
  </si>
  <si>
    <t>MR ASWIN RAVJI HIRANI</t>
  </si>
  <si>
    <t>GAIKE/04/24/INV-1000869</t>
  </si>
  <si>
    <t>GAIKE/04/24/INV-1000874</t>
  </si>
  <si>
    <t>GAIKE/04/24/RUF-1000074</t>
  </si>
  <si>
    <t>GAIKE/04/24/INV-1000870</t>
  </si>
  <si>
    <t>GAIKE/04/24/INV-1000873</t>
  </si>
  <si>
    <t>JOSEPH KINARA</t>
  </si>
  <si>
    <t>GAIKE/04/24/INV-1000875</t>
  </si>
  <si>
    <t>ALLAN MUTHONGA</t>
  </si>
  <si>
    <t>GAIKE/04/24/INV-1000876</t>
  </si>
  <si>
    <t>MR PAUL NGUGI KAHURA</t>
  </si>
  <si>
    <t>GAIKE/04/24/INV-1000877</t>
  </si>
  <si>
    <t>MISS CHARMIE WANJIRU NGUGI</t>
  </si>
  <si>
    <t>GAIKE/04/24/INV-1000878</t>
  </si>
  <si>
    <t>BHIMJI VARSANI</t>
  </si>
  <si>
    <t>GAIKE/04/24/INV-1000879</t>
  </si>
  <si>
    <t>MARA COFFEE EXPORTS</t>
  </si>
  <si>
    <t>KEA1B/ID678/24/000001/01</t>
  </si>
  <si>
    <t>GAIKE/04/24/INV-1000884</t>
  </si>
  <si>
    <t>GAIKE/04/24/INV-1000885</t>
  </si>
  <si>
    <t>GAIKE/04/24/INV-1000889</t>
  </si>
  <si>
    <t>MS AFRAH OMAR SALIM</t>
  </si>
  <si>
    <t>KEA1B/IC895/23/000024/02</t>
  </si>
  <si>
    <t>GAIKE/04/24/INV-1000894</t>
  </si>
  <si>
    <t>2025-04-05</t>
  </si>
  <si>
    <t>GAIKE/04/24/INV-1000905</t>
  </si>
  <si>
    <t>GAIKE/04/24/INV-1000909</t>
  </si>
  <si>
    <t>GAIKE/04/24/INV-1000911</t>
  </si>
  <si>
    <t>Pharmaceutical &amp; Medical Equipment</t>
  </si>
  <si>
    <t>GAIKE/04/24/INV-1000913</t>
  </si>
  <si>
    <t>GAIKE/04/24/INV-1000914</t>
  </si>
  <si>
    <t>GAIKE/04/24/INV-1000920</t>
  </si>
  <si>
    <t>GAIKE/04/24/INV-1000922</t>
  </si>
  <si>
    <t>ANIL VASANJI MANDEVIA.</t>
  </si>
  <si>
    <t>PR/04/2021/5042652/03</t>
  </si>
  <si>
    <t>GAIKE/04/24/INV-1000925</t>
  </si>
  <si>
    <t>GAIKE/04/24/RUF-1000075</t>
  </si>
  <si>
    <t>PC/04/2022/7066351/02</t>
  </si>
  <si>
    <t>GAIKE/04/24/INV-1000848</t>
  </si>
  <si>
    <t>MR NIHAL ASHOK SHAH</t>
  </si>
  <si>
    <t>GAIKE/04/24/INV-1000883</t>
  </si>
  <si>
    <t>GAIKE/04/24/INV-1000886</t>
  </si>
  <si>
    <t>MR HALPESH ASHOK PATEL</t>
  </si>
  <si>
    <t>KEA1B/IC781/24/000035/01</t>
  </si>
  <si>
    <t>GAIKE/04/24/INV-1000890</t>
  </si>
  <si>
    <t>GAIKE/04/24/INV-1000896</t>
  </si>
  <si>
    <t>GAIKE/04/24/INV-1000897</t>
  </si>
  <si>
    <t>MRS DIPTI KIRTIKUMAR RAMNIKLAL RAJPAL SHAH</t>
  </si>
  <si>
    <t>KEA1B/IC905/23/000018/02</t>
  </si>
  <si>
    <t>GAIKE/04/24/INV-1000900</t>
  </si>
  <si>
    <t>GAIKE/04/24/INV-1000906</t>
  </si>
  <si>
    <t>GAIKE/04/24/INV-1000907</t>
  </si>
  <si>
    <t>GAIKE/04/24/INV-1000908</t>
  </si>
  <si>
    <t>GAIKE/04/24/INV-1000912</t>
  </si>
  <si>
    <t>GAIKE/04/24/INV-1000915</t>
  </si>
  <si>
    <t>GAIKE/04/24/INV-1000917</t>
  </si>
  <si>
    <t>GAIKE/04/24/RUF-1000076</t>
  </si>
  <si>
    <t>GAIKE/04/24/INV-1000888</t>
  </si>
  <si>
    <t>GAIKE/04/24/INV-1000895</t>
  </si>
  <si>
    <t>GAIKE/04/24/INV-1000910</t>
  </si>
  <si>
    <t>KEA1B/CD530/23/000001/01</t>
  </si>
  <si>
    <t>GAIKE/04/24/INV-1000916</t>
  </si>
  <si>
    <t>KILIFI COUNTY</t>
  </si>
  <si>
    <t>2023-11-06</t>
  </si>
  <si>
    <t>2024-11-05</t>
  </si>
  <si>
    <t>GAIKE/04/24/INV-1000918</t>
  </si>
  <si>
    <t>GAIKE/04/24/INV-1000919</t>
  </si>
  <si>
    <t>GAIKE/04/24/INV-1000921</t>
  </si>
  <si>
    <t>GAIKE/04/24/INV-1000924</t>
  </si>
  <si>
    <t>MR PASCAL JAPHETH ONYANGO</t>
  </si>
  <si>
    <t>KEA1B/IC815/24/000017/01</t>
  </si>
  <si>
    <t>GAIKE/04/24/INV-1000931</t>
  </si>
  <si>
    <t>MRS RADHABEN HIRJI BHANDERI</t>
  </si>
  <si>
    <t>KEA1B/IC830/24/000017/01</t>
  </si>
  <si>
    <t>GAIKE/04/24/INV-1000934</t>
  </si>
  <si>
    <t>MRS SEEMA SHARMA</t>
  </si>
  <si>
    <t>KEA1B/IC793/23/000078/02</t>
  </si>
  <si>
    <t>GAIKE/04/24/INV-1000935</t>
  </si>
  <si>
    <t>PC/04/2019/3045396/04</t>
  </si>
  <si>
    <t>GAIKE/04/24/INV-1000936</t>
  </si>
  <si>
    <t>GAIKE/04/24/INV-1000942</t>
  </si>
  <si>
    <t>SIMPLEPAY CAPITAL LIMITED</t>
  </si>
  <si>
    <t>KEA1B/CD661/24/000002/01</t>
  </si>
  <si>
    <t>SIMPLEPAY INSURANCE AGENCY</t>
  </si>
  <si>
    <t>GAIKE/04/24/INV-1000943</t>
  </si>
  <si>
    <t>Microfinance</t>
  </si>
  <si>
    <t>GAIKE/04/24/INV-1000950</t>
  </si>
  <si>
    <t>GAIKE/04/24/INV-1000953</t>
  </si>
  <si>
    <t>KEA1B/CD661/24/000001/01</t>
  </si>
  <si>
    <t>GAIKE/04/24/INV-1000836</t>
  </si>
  <si>
    <t>GAIKE/04/24/INVR-1000934</t>
  </si>
  <si>
    <t>GAIKE/04/24/INVR-1000836</t>
  </si>
  <si>
    <t>MR VISHAL SHRIKRISHNA PANDYA</t>
  </si>
  <si>
    <t>GAIKE/04/24/INV-1000939</t>
  </si>
  <si>
    <t>PC/07/2022/7510040/01</t>
  </si>
  <si>
    <t>GAIKE/04/24/INV-1000940</t>
  </si>
  <si>
    <t>GAIKE/04/24/INV-1000941</t>
  </si>
  <si>
    <t>GAIKE/04/24/INV-1000946</t>
  </si>
  <si>
    <t>GAIKE/04/24/INV-1000948</t>
  </si>
  <si>
    <t>PC/07/2022/7543213/01</t>
  </si>
  <si>
    <t>GAIKE/04/24/INV-1000949</t>
  </si>
  <si>
    <t>GAIKE/04/24/RUF-1000081</t>
  </si>
  <si>
    <t>PC/09/2021/5815592/02</t>
  </si>
  <si>
    <t>GAIKE/04/24/RUF-1000082</t>
  </si>
  <si>
    <t>2023-09-17</t>
  </si>
  <si>
    <t>2024-09-16</t>
  </si>
  <si>
    <t>GAIKE/04/24/RUF-1000079</t>
  </si>
  <si>
    <t>GAIKE/04/24/INV-1000937</t>
  </si>
  <si>
    <t>GAIKE/04/24/INV-1000944</t>
  </si>
  <si>
    <t>GAIKE/04/24/INV-1000947</t>
  </si>
  <si>
    <t>2024-01-20</t>
  </si>
  <si>
    <t>2025-01-19</t>
  </si>
  <si>
    <t>GAIKE/04/24/INV-1000954</t>
  </si>
  <si>
    <t>MAYUR MALDE</t>
  </si>
  <si>
    <t>GAIKE/04/24/INV-1000955</t>
  </si>
  <si>
    <t>2024-05-01</t>
  </si>
  <si>
    <t>2025-04-30</t>
  </si>
  <si>
    <t>BHUPENDRA RAYCHAND BID</t>
  </si>
  <si>
    <t>GAIKE/04/24/INV-1000956</t>
  </si>
  <si>
    <t>JASPAL SINGH GULATI</t>
  </si>
  <si>
    <t>GAIKE/04/24/INV-1000957</t>
  </si>
  <si>
    <t>MADHU GULATI</t>
  </si>
  <si>
    <t>GAIKE/04/24/INV-1000958</t>
  </si>
  <si>
    <t>NASHEENA SHAJANI</t>
  </si>
  <si>
    <t>GAIKE/04/24/INV-1000959</t>
  </si>
  <si>
    <t>MEHULKUMAR PANDYA</t>
  </si>
  <si>
    <t>GAIKE/04/24/INV-1000960</t>
  </si>
  <si>
    <t>ALKABEN PANDYA</t>
  </si>
  <si>
    <t>GAIKE/04/24/INV-1000961</t>
  </si>
  <si>
    <t>SHOBHNA SHAH</t>
  </si>
  <si>
    <t>GAIKE/04/24/INV-1000962</t>
  </si>
  <si>
    <t>DILIPKUMAR SHAH</t>
  </si>
  <si>
    <t>GAIKE/04/24/INV-1000963</t>
  </si>
  <si>
    <t>DAVENDRA VYAS</t>
  </si>
  <si>
    <t>GAIKE/04/24/INV-1000964</t>
  </si>
  <si>
    <t>NIKUNJ HARIA</t>
  </si>
  <si>
    <t>GAIKE/04/24/INV-1000965</t>
  </si>
  <si>
    <t>JAYANTILAL GULABCHAND HARIA</t>
  </si>
  <si>
    <t>GAIKE/04/24/INV-1000966</t>
  </si>
  <si>
    <t>MR PRAFULLA HARIA</t>
  </si>
  <si>
    <t>GAIKE/04/24/INV-1000967</t>
  </si>
  <si>
    <t>MS ANISA HUSSEINBHAI KHANBHAI</t>
  </si>
  <si>
    <t>GAIKE/04/24/INV-1000968</t>
  </si>
  <si>
    <t>RAHUL PRAFUL GADA</t>
  </si>
  <si>
    <t>GAIKE/04/24/INV-1000969</t>
  </si>
  <si>
    <t>DHAVAL ASHWINKUMAR SHAH</t>
  </si>
  <si>
    <t>GAIKE/04/24/INV-1000970</t>
  </si>
  <si>
    <t>SAGAR MOHANLAL VORA</t>
  </si>
  <si>
    <t>GAIKE/04/24/INV-1000971</t>
  </si>
  <si>
    <t>MR JOHN SATURNINO DIAS</t>
  </si>
  <si>
    <t>GAIKE/04/24/INV-1000972</t>
  </si>
  <si>
    <t>VIMAL SUBHASH GADA</t>
  </si>
  <si>
    <t>GAIKE/04/24/INV-1000973</t>
  </si>
  <si>
    <t>SUBHASH ANAND GADA</t>
  </si>
  <si>
    <t>GAIKE/04/24/INV-1000974</t>
  </si>
  <si>
    <t>MR RONAK HEMANT KARANIYA</t>
  </si>
  <si>
    <t>GAIKE/04/24/INV-1000975</t>
  </si>
  <si>
    <t>GULSHAN AMIR</t>
  </si>
  <si>
    <t>GAIKE/04/24/INV-1000977</t>
  </si>
  <si>
    <t>MR ASHOK KUMAR SHAH</t>
  </si>
  <si>
    <t>GAIKE/04/24/INV-1000978</t>
  </si>
  <si>
    <t>JUDITH WANJEMA</t>
  </si>
  <si>
    <t>GAIKE/04/24/INV-1000979</t>
  </si>
  <si>
    <t>ROBERT MUHAVI</t>
  </si>
  <si>
    <t>GAIKE/04/24/INV-1000980</t>
  </si>
  <si>
    <t>EDWARD ODONGO</t>
  </si>
  <si>
    <t>GAIKE/04/24/INV-1000981</t>
  </si>
  <si>
    <t>ERIC OSORO</t>
  </si>
  <si>
    <t>GAIKE/04/24/INV-1000982</t>
  </si>
  <si>
    <t>MUNTAZIM BACHANI</t>
  </si>
  <si>
    <t>GAIKE/04/24/INV-1000983</t>
  </si>
  <si>
    <t>MR JUSTINAR SAMMY</t>
  </si>
  <si>
    <t>GAIKE/04/24/INV-1000984</t>
  </si>
  <si>
    <t>MS VIRGINIA WAITHIRA MUKABUE</t>
  </si>
  <si>
    <t>GAIKE/04/24/INV-1000985</t>
  </si>
  <si>
    <t>MR DAVID NGUGI KIBUNYI</t>
  </si>
  <si>
    <t>GAIKE/04/24/INV-1000986</t>
  </si>
  <si>
    <t>PETER OGOLA</t>
  </si>
  <si>
    <t>GAIKE/04/24/INV-1000987</t>
  </si>
  <si>
    <t>ANGUS MWANGEMI</t>
  </si>
  <si>
    <t>GAIKE/04/24/INV-1000988</t>
  </si>
  <si>
    <t>MR RIDGE MWANGEMI MWAWUGANGA</t>
  </si>
  <si>
    <t>GAIKE/04/24/INV-1000989</t>
  </si>
  <si>
    <t>FRANCIS KARANJA</t>
  </si>
  <si>
    <t>GAIKE/04/24/INV-1000990</t>
  </si>
  <si>
    <t>MEENA BASANT</t>
  </si>
  <si>
    <t>GAIKE/04/24/INV-1000991</t>
  </si>
  <si>
    <t>SHAMEEM BASANT</t>
  </si>
  <si>
    <t>GAIKE/04/24/INV-1000992</t>
  </si>
  <si>
    <t>MUFADHAL KARIMJEE</t>
  </si>
  <si>
    <t>GAIKE/04/24/INV-1000993</t>
  </si>
  <si>
    <t>PURITY NDUNGU</t>
  </si>
  <si>
    <t>GAIKE/04/24/INV-1000994</t>
  </si>
  <si>
    <t>BERNARD ANYONGA</t>
  </si>
  <si>
    <t>GAIKE/04/24/INV-1000995</t>
  </si>
  <si>
    <t>CECILIA NDUNGU</t>
  </si>
  <si>
    <t>GAIKE/04/24/INV-1000996</t>
  </si>
  <si>
    <t>JANE NYAMBURA WAIRACHU</t>
  </si>
  <si>
    <t>GAIKE/04/24/RUF-1000083</t>
  </si>
  <si>
    <t>PC/04/2022/7092047/02</t>
  </si>
  <si>
    <t>GAIKE/04/24/INV-1000997</t>
  </si>
  <si>
    <t>2024-04-29</t>
  </si>
  <si>
    <t>MAHESH DHANJI HIRANI</t>
  </si>
  <si>
    <t>KEA1B/IC830/23/000012/02</t>
  </si>
  <si>
    <t>S.K. INSURANCE AGENCY</t>
  </si>
  <si>
    <t>GAIKE/04/24/INV-1001000</t>
  </si>
  <si>
    <t>MRS BIDI BWANAHERI BWANAMKUU</t>
  </si>
  <si>
    <t>KEA1B/IC897/24/000005/01</t>
  </si>
  <si>
    <t>GAIKE/04/24/INV-1001011</t>
  </si>
  <si>
    <t>MANOJKUMAR SREEDHARA WARRIER</t>
  </si>
  <si>
    <t>PR/04/2021/5118141/03</t>
  </si>
  <si>
    <t>GAIKE/04/24/INV-1001014</t>
  </si>
  <si>
    <t>GAIKE/04/24/INV-1001027</t>
  </si>
  <si>
    <t>PC/10/2018/2727440/05</t>
  </si>
  <si>
    <t>GAIKE/04/24/INV-1001028</t>
  </si>
  <si>
    <t>2023-10-10</t>
  </si>
  <si>
    <t>2024-10-09</t>
  </si>
  <si>
    <t>ASTRAL AVIATION LIMITED - CARGO</t>
  </si>
  <si>
    <t>PC/07/2022/7614964/01</t>
  </si>
  <si>
    <t>GAIKE/04/24/RUF-1000089</t>
  </si>
  <si>
    <t>GAIKE/04/24/RUF-1000088</t>
  </si>
  <si>
    <t>GAIKE/04/24/INV-1001001</t>
  </si>
  <si>
    <t>GAIKE/04/24/INV-1001018</t>
  </si>
  <si>
    <t>GAIKE/04/24/INV-1001019</t>
  </si>
  <si>
    <t>GAIKE/04/24/INV-1001020</t>
  </si>
  <si>
    <t>GAIKE/04/24/INV-1001021</t>
  </si>
  <si>
    <t>GAIKE/04/24/INV-1001022</t>
  </si>
  <si>
    <t>GAIKE/04/24/INV-1001023</t>
  </si>
  <si>
    <t>GAIKE/04/24/INV-1001025</t>
  </si>
  <si>
    <t>GAIKE/04/24/INV-1001026</t>
  </si>
  <si>
    <t>GAIKE/04/24/INV-1001037</t>
  </si>
  <si>
    <t>GAIKE/04/24/INV-1001038</t>
  </si>
  <si>
    <t>GAIKE/04/24/RUF-1000091</t>
  </si>
  <si>
    <t>2021-04-13</t>
  </si>
  <si>
    <t>2022-12-04</t>
  </si>
  <si>
    <t>GAIKE/04/24/RUF-1000090</t>
  </si>
  <si>
    <t>GAIKE/04/24/RUF-1000086</t>
  </si>
  <si>
    <t>2022-04-13</t>
  </si>
  <si>
    <t>2023-04-12</t>
  </si>
  <si>
    <t>GAIKE/04/24/INV-1001035</t>
  </si>
  <si>
    <t>PETER NDWIGA STEPHEN</t>
  </si>
  <si>
    <t>PR/04/2022/7071953/02</t>
  </si>
  <si>
    <t>GAIKE/04/24/INV-1000785</t>
  </si>
  <si>
    <t>2025-04-12</t>
  </si>
  <si>
    <t>MR ROBINSON SAILA.</t>
  </si>
  <si>
    <t>KEA1B/IC793/23/000084/02</t>
  </si>
  <si>
    <t>GAIKE/04/24/INV-1000859</t>
  </si>
  <si>
    <t>MRS JANE WANJIRU. KAROMO</t>
  </si>
  <si>
    <t>KEA1B/IC815/23/000027/02</t>
  </si>
  <si>
    <t>GAIKE/04/24/INV-1000926</t>
  </si>
  <si>
    <t>MR ANTHONY MAINA. KIBUNJA</t>
  </si>
  <si>
    <t>KEA1B/IC815/23/000014/02</t>
  </si>
  <si>
    <t>GAIKE/04/24/INV-1000930</t>
  </si>
  <si>
    <t>MR KHALIL HASSAN</t>
  </si>
  <si>
    <t>KEA1B/MC835/24/000001/01</t>
  </si>
  <si>
    <t>GAIKE/04/24/INV-1001072</t>
  </si>
  <si>
    <t>MS MEHANAAZ SHAJAHAN AHMED</t>
  </si>
  <si>
    <t>GAIKE/04/24/INV-1001073</t>
  </si>
  <si>
    <t>MR ASHWIN M D RATHOD</t>
  </si>
  <si>
    <t>GAIKE/04/24/INV-1001074</t>
  </si>
  <si>
    <t>NARENDRA PALA</t>
  </si>
  <si>
    <t>GAIKE/04/24/INV-1001075</t>
  </si>
  <si>
    <t>MANILAL BHIKSHA SOLANKI</t>
  </si>
  <si>
    <t>GAIKE/04/24/INV-1001076</t>
  </si>
  <si>
    <t>GAIKE/04/24/INV-1001078</t>
  </si>
  <si>
    <t>MICHAEL MAINA KARINGA</t>
  </si>
  <si>
    <t>PR/04/2022/7084160/02</t>
  </si>
  <si>
    <t>AFFIANT INSURANCE AGENCY</t>
  </si>
  <si>
    <t>GAIKE/04/24/INV-1001079</t>
  </si>
  <si>
    <t>PC/04/2018/2399210/06</t>
  </si>
  <si>
    <t>GAIKE/04/24/INV-1001046</t>
  </si>
  <si>
    <t>MR SHABBIR HUSEIN WALJI</t>
  </si>
  <si>
    <t>GAIKE/04/24/INV-1001060</t>
  </si>
  <si>
    <t>MS MINAZ SHABBIR HUSEIN WALJI</t>
  </si>
  <si>
    <t>GAIKE/04/24/INV-1001061</t>
  </si>
  <si>
    <t>VINABEN SHAH</t>
  </si>
  <si>
    <t>GAIKE/04/24/INV-1001062</t>
  </si>
  <si>
    <t>GAIKE/04/24/INV-1001063</t>
  </si>
  <si>
    <t>RAMESHBHAI PATEL</t>
  </si>
  <si>
    <t>GAIKE/04/24/INV-1001064</t>
  </si>
  <si>
    <t>MISS ELAINE NJERI MUNGAI</t>
  </si>
  <si>
    <t>GAIKE/04/24/INV-1001065</t>
  </si>
  <si>
    <t>ISAAC CHEGE</t>
  </si>
  <si>
    <t>GAIKE/04/24/INV-1001066</t>
  </si>
  <si>
    <t>MANJULABAI SHAH</t>
  </si>
  <si>
    <t>GAIKE/04/24/INV-1001067</t>
  </si>
  <si>
    <t>KASHYAPKUMAR RAJENDRA RAMANI</t>
  </si>
  <si>
    <t>GAIKE/04/24/INV-1001068</t>
  </si>
  <si>
    <t>MS FAHAREEN ESMAIL</t>
  </si>
  <si>
    <t>GAIKE/04/24/INV-1001069</t>
  </si>
  <si>
    <t>SANDIPKUMAR PATEL</t>
  </si>
  <si>
    <t>GAIKE/04/24/INV-1001070</t>
  </si>
  <si>
    <t>MRS CECILIA RODRIGUES D`SILVA</t>
  </si>
  <si>
    <t>GAIKE/04/24/INV-1001077</t>
  </si>
  <si>
    <t>TOTAL</t>
  </si>
  <si>
    <t>RI PRM</t>
  </si>
  <si>
    <t>COMMI</t>
  </si>
  <si>
    <t>ARE</t>
  </si>
  <si>
    <t>PTA RE</t>
  </si>
  <si>
    <t>KRE</t>
  </si>
  <si>
    <t>EARE</t>
  </si>
  <si>
    <t>CONT RE</t>
  </si>
  <si>
    <t>STATUS</t>
  </si>
  <si>
    <t>MR KOP LOP</t>
  </si>
  <si>
    <t>KEA1B/ID596/24/000004/01</t>
  </si>
  <si>
    <t>GAIKE/02/24/INV-1001198</t>
  </si>
  <si>
    <t>BARINGO COUNTY</t>
  </si>
  <si>
    <t>MR SULEMAN SHEKALE HARUN</t>
  </si>
  <si>
    <t>KEA1B/IC895/23/000032/02</t>
  </si>
  <si>
    <t>GAIKE/04/24/INV-1000636</t>
  </si>
  <si>
    <t>2024-05-02</t>
  </si>
  <si>
    <t>2025-05-01</t>
  </si>
  <si>
    <t>MRS ABDULRAHIM MUNAA SALIM</t>
  </si>
  <si>
    <t>KEA1B/IC815/23/000032/02</t>
  </si>
  <si>
    <t>GAIKE/04/24/INV-1000638</t>
  </si>
  <si>
    <t>ZAHEERABBAS FAZAL</t>
  </si>
  <si>
    <t>PR/05/2022/7326683/02</t>
  </si>
  <si>
    <t>GAIKE/04/24/INV-1000645</t>
  </si>
  <si>
    <t>2024-05-06</t>
  </si>
  <si>
    <t>2025-05-05</t>
  </si>
  <si>
    <t>GAIKE/05/24/RUF-1000001</t>
  </si>
  <si>
    <t>GAIKE/05/24/INV-1000021</t>
  </si>
  <si>
    <t>GAIKE/05/24/INV-1000026</t>
  </si>
  <si>
    <t>464616-00-01</t>
  </si>
  <si>
    <t>GAIKE/05/24/INV-1000015</t>
  </si>
  <si>
    <t>KSEMBI INSURANCE BROKERS  LIMITED</t>
  </si>
  <si>
    <t>KEA1B/CD680/24/000001/01</t>
  </si>
  <si>
    <t>GAIKE/05/24/INV-1000007</t>
  </si>
  <si>
    <t>MRS SOPHIA WAKINI NJAOH</t>
  </si>
  <si>
    <t>KEA1B/IC815/24/000018/01</t>
  </si>
  <si>
    <t>GAIKE/05/24/INV-1000011</t>
  </si>
  <si>
    <t>2025-04-16</t>
  </si>
  <si>
    <t>MS MODLYNE MALOBA</t>
  </si>
  <si>
    <t>KEA1B/ID596/24/000008/01</t>
  </si>
  <si>
    <t>GAIKE/05/24/INV-1000009</t>
  </si>
  <si>
    <t>PC/04/2017/1869451/07</t>
  </si>
  <si>
    <t>GAIKE/05/24/INV-1000008</t>
  </si>
  <si>
    <t>1275-02</t>
  </si>
  <si>
    <t>GAIKE/05/24/INV-1000003</t>
  </si>
  <si>
    <t>539057-00-02</t>
  </si>
  <si>
    <t>GAIKE/05/24/INV-1000004</t>
  </si>
  <si>
    <t>477898-00-01</t>
  </si>
  <si>
    <t>GAIKE/05/24/INV-1000005</t>
  </si>
  <si>
    <t>428442-00-02</t>
  </si>
  <si>
    <t>GAIKE/05/24/INV-1000006</t>
  </si>
  <si>
    <t>551278-00-02</t>
  </si>
  <si>
    <t>GAIKE/05/24/INV-1000016</t>
  </si>
  <si>
    <t>551279-00-02</t>
  </si>
  <si>
    <t>GAIKE/05/24/INV-1000017</t>
  </si>
  <si>
    <t>GAIKE/05/24/RUF-1000002</t>
  </si>
  <si>
    <t>GAIKE/05/24/INV-1000018</t>
  </si>
  <si>
    <t>GAIKE/05/24/INV-1000024</t>
  </si>
  <si>
    <t>PC/03/2022/6937120/03</t>
  </si>
  <si>
    <t>GAIKE/05/24/INV-1000002</t>
  </si>
  <si>
    <t>2024-04-28</t>
  </si>
  <si>
    <t>2025-04-27</t>
  </si>
  <si>
    <t>GAIKE/05/24/INV-1000088</t>
  </si>
  <si>
    <t>ERIC ANDREW  KARANJA</t>
  </si>
  <si>
    <t>PR/04/2021/5085047/03</t>
  </si>
  <si>
    <t xml:space="preserve">STOKE INSURANCE AGENCY </t>
  </si>
  <si>
    <t>GAIKE/05/24/INV-1000082</t>
  </si>
  <si>
    <t>GAIKE/05/24/INV-1000090</t>
  </si>
  <si>
    <t>38873-01</t>
  </si>
  <si>
    <t>GAIKE/05/24/INV-1000049</t>
  </si>
  <si>
    <t>GAIKE/04/24/RUFR-1000066</t>
  </si>
  <si>
    <t>GAIKE/05/24/INV-1000089</t>
  </si>
  <si>
    <t>MR HARDIP K LULL</t>
  </si>
  <si>
    <t>KEA1B/IC895/23/000036/02</t>
  </si>
  <si>
    <t>GAIKE/05/24/INV-1000058</t>
  </si>
  <si>
    <t>GAIKE/05/24/INV-1000066</t>
  </si>
  <si>
    <t>GAIKE/02/24/INVR-1001038</t>
  </si>
  <si>
    <t>MS MAMTA PANCHAL SANJAYKUMAR</t>
  </si>
  <si>
    <t>KEA1B/IC832/24/000023/01</t>
  </si>
  <si>
    <t>GAIKE/05/24/INV-1000047</t>
  </si>
  <si>
    <t>2023-02-02</t>
  </si>
  <si>
    <t>KEA1B/IC832/24/000023/02</t>
  </si>
  <si>
    <t>GAIKE/05/24/INV-1000079</t>
  </si>
  <si>
    <t>NAOMI NYAMBURA. MBURU</t>
  </si>
  <si>
    <t>PR/04/2021/5085106/03</t>
  </si>
  <si>
    <t>GAIKE/05/24/INV-1000085</t>
  </si>
  <si>
    <t>642400-00-01</t>
  </si>
  <si>
    <t>GAIKE/05/24/INV-1000055</t>
  </si>
  <si>
    <t>585-02</t>
  </si>
  <si>
    <t>GAIKE/05/24/INV-1000073</t>
  </si>
  <si>
    <t>GAIKE/05/24/INV-1000091</t>
  </si>
  <si>
    <t>BHARGAV NANDISH  JOSHI</t>
  </si>
  <si>
    <t>PR/03/2022/6866034/02</t>
  </si>
  <si>
    <t>GAIKE/05/24/INV-1000093</t>
  </si>
  <si>
    <t>CARTON MANUFACTURERS LIMITED</t>
  </si>
  <si>
    <t>PC/05/2019/3146061/05</t>
  </si>
  <si>
    <t>GAIKE/05/24/INV-1000040</t>
  </si>
  <si>
    <t>2024-05-18</t>
  </si>
  <si>
    <t>2025-05-17</t>
  </si>
  <si>
    <t>597575-01-02</t>
  </si>
  <si>
    <t>GAIKE/05/24/INV-1000075</t>
  </si>
  <si>
    <t>597575-02-02</t>
  </si>
  <si>
    <t>GAIKE/05/24/INV-1000077</t>
  </si>
  <si>
    <t>597575-00-02</t>
  </si>
  <si>
    <t>GAIKE/05/24/INV-1000083</t>
  </si>
  <si>
    <t>KE00002141200-01</t>
  </si>
  <si>
    <t>GAIKE/05/24/INV-1000045</t>
  </si>
  <si>
    <t>MR BHARATKUMAR JASHVANTRAY BHATT</t>
  </si>
  <si>
    <t>KEA1B/IC832/23/000042/02</t>
  </si>
  <si>
    <t>GAIKE/05/24/INV-1000087</t>
  </si>
  <si>
    <t>KEA1B/IC895/23/000044/02</t>
  </si>
  <si>
    <t>GAIKE/05/24/INV-1000086</t>
  </si>
  <si>
    <t>GAIKE/05/24/INV-1000042</t>
  </si>
  <si>
    <t>GAIKE/05/24/INV-1000056</t>
  </si>
  <si>
    <t>GAIKE/05/24/INV-1000092</t>
  </si>
  <si>
    <t>PC/05/2015/1074296/09</t>
  </si>
  <si>
    <t>GAIKE/05/24/INV-1000165</t>
  </si>
  <si>
    <t>GAIKE/05/24/INV-1000161</t>
  </si>
  <si>
    <t>2023-07-19</t>
  </si>
  <si>
    <t>2024-07-18</t>
  </si>
  <si>
    <t>GAIKE/05/24/INV-1000166</t>
  </si>
  <si>
    <t>MERCY WANJIRU NGUGI</t>
  </si>
  <si>
    <t>PR/04/2022/7106661/01</t>
  </si>
  <si>
    <t>TALLGRASS AGENCY LTD</t>
  </si>
  <si>
    <t>GAIKE/05/24/INV-1000164</t>
  </si>
  <si>
    <t>2023-04-06</t>
  </si>
  <si>
    <t>MR YUSUFALI SAFDARALI YUSUFALI MOLOO</t>
  </si>
  <si>
    <t>KEA1B/IC805/24/000005/01</t>
  </si>
  <si>
    <t>GAIKE/05/24/INV-1000122</t>
  </si>
  <si>
    <t>KE00006924400-01</t>
  </si>
  <si>
    <t>GAIKE/05/24/INV-1000160</t>
  </si>
  <si>
    <t>GAIKE/05/24/INV-1000154</t>
  </si>
  <si>
    <t>597554-00-02</t>
  </si>
  <si>
    <t>GAIKE/05/24/INV-1000094</t>
  </si>
  <si>
    <t>713708-00-02</t>
  </si>
  <si>
    <t>GAIKE/05/24/INV-1000095</t>
  </si>
  <si>
    <t>1331-02</t>
  </si>
  <si>
    <t>GAIKE/05/24/INV-1000096</t>
  </si>
  <si>
    <t>1329-02</t>
  </si>
  <si>
    <t>GAIKE/05/24/INV-1000098</t>
  </si>
  <si>
    <t>1330-02</t>
  </si>
  <si>
    <t>GAIKE/05/24/INV-1000099</t>
  </si>
  <si>
    <t>59569-02</t>
  </si>
  <si>
    <t>GAIKE/05/24/INV-1000100</t>
  </si>
  <si>
    <t>630572-00-02</t>
  </si>
  <si>
    <t>GAIKE/05/24/INV-1000101</t>
  </si>
  <si>
    <t>477879-00-02</t>
  </si>
  <si>
    <t>GAIKE/05/24/INV-1000102</t>
  </si>
  <si>
    <t>427581-00-02</t>
  </si>
  <si>
    <t>GAIKE/05/24/INV-1000103</t>
  </si>
  <si>
    <t>542023-00-02</t>
  </si>
  <si>
    <t>GAIKE/05/24/INV-1000104</t>
  </si>
  <si>
    <t>597593-00-02</t>
  </si>
  <si>
    <t>GAIKE/05/24/INV-1000105</t>
  </si>
  <si>
    <t>597568-00-02</t>
  </si>
  <si>
    <t>GAIKE/05/24/INV-1000106</t>
  </si>
  <si>
    <t>D427585-00-02</t>
  </si>
  <si>
    <t>GAIKE/05/24/INV-1000107</t>
  </si>
  <si>
    <t>713680-00-02</t>
  </si>
  <si>
    <t>GAIKE/05/24/INV-1000108</t>
  </si>
  <si>
    <t>428444-00-02</t>
  </si>
  <si>
    <t>GAIKE/05/24/INV-1000109</t>
  </si>
  <si>
    <t>597597-00-02</t>
  </si>
  <si>
    <t>GAIKE/05/24/INV-1000110</t>
  </si>
  <si>
    <t>623126-00-02</t>
  </si>
  <si>
    <t>GAIKE/05/24/INV-1000111</t>
  </si>
  <si>
    <t>427555-00-02</t>
  </si>
  <si>
    <t>GAIKE/05/24/INV-1000112</t>
  </si>
  <si>
    <t>427559-00-02</t>
  </si>
  <si>
    <t>GAIKE/05/24/INV-1000113</t>
  </si>
  <si>
    <t>50-02</t>
  </si>
  <si>
    <t>GAIKE/05/24/INV-1000116</t>
  </si>
  <si>
    <t>51-02</t>
  </si>
  <si>
    <t>GAIKE/05/24/INV-1000117</t>
  </si>
  <si>
    <t>145-02</t>
  </si>
  <si>
    <t>GAIKE/05/24/INV-1000118</t>
  </si>
  <si>
    <t>52-02</t>
  </si>
  <si>
    <t>GAIKE/05/24/INV-1000119</t>
  </si>
  <si>
    <t>53-02</t>
  </si>
  <si>
    <t>GAIKE/05/24/INV-1000120</t>
  </si>
  <si>
    <t>54-02</t>
  </si>
  <si>
    <t>GAIKE/05/24/INV-1000121</t>
  </si>
  <si>
    <t>55-02</t>
  </si>
  <si>
    <t>GAIKE/05/24/INV-1000124</t>
  </si>
  <si>
    <t>56-02</t>
  </si>
  <si>
    <t>GAIKE/05/24/INV-1000125</t>
  </si>
  <si>
    <t>57-02</t>
  </si>
  <si>
    <t>GAIKE/05/24/INV-1000128</t>
  </si>
  <si>
    <t>58-02</t>
  </si>
  <si>
    <t>GAIKE/05/24/INV-1000129</t>
  </si>
  <si>
    <t>59-02</t>
  </si>
  <si>
    <t>GAIKE/05/24/INV-1000130</t>
  </si>
  <si>
    <t>66-02</t>
  </si>
  <si>
    <t>GAIKE/05/24/INV-1000131</t>
  </si>
  <si>
    <t>67-02</t>
  </si>
  <si>
    <t>GAIKE/05/24/INV-1000132</t>
  </si>
  <si>
    <t>69-02</t>
  </si>
  <si>
    <t>GAIKE/05/24/INV-1000133</t>
  </si>
  <si>
    <t>70-02</t>
  </si>
  <si>
    <t>GAIKE/05/24/INV-1000134</t>
  </si>
  <si>
    <t>71-02</t>
  </si>
  <si>
    <t>GAIKE/05/24/INV-1000135</t>
  </si>
  <si>
    <t>32-02</t>
  </si>
  <si>
    <t>GAIKE/05/24/INV-1000136</t>
  </si>
  <si>
    <t>3225-01</t>
  </si>
  <si>
    <t>GAIKE/05/24/INV-1000137</t>
  </si>
  <si>
    <t>3024-01</t>
  </si>
  <si>
    <t>GAIKE/05/24/INV-1000138</t>
  </si>
  <si>
    <t>3018-01</t>
  </si>
  <si>
    <t>GAIKE/05/24/INV-1000139</t>
  </si>
  <si>
    <t>2244-01</t>
  </si>
  <si>
    <t>GAIKE/05/24/INV-1000140</t>
  </si>
  <si>
    <t>539003-00-02</t>
  </si>
  <si>
    <t>GAIKE/05/24/INV-1000141</t>
  </si>
  <si>
    <t>429430-00-01</t>
  </si>
  <si>
    <t>GAIKE/05/24/INV-1000142</t>
  </si>
  <si>
    <t>733392-00-01</t>
  </si>
  <si>
    <t>GAIKE/05/24/INV-1000143</t>
  </si>
  <si>
    <t>291-02</t>
  </si>
  <si>
    <t>GAIKE/05/24/INV-1000145</t>
  </si>
  <si>
    <t>538924-00-02</t>
  </si>
  <si>
    <t>GAIKE/05/24/INV-1000147</t>
  </si>
  <si>
    <t>713718-00-02</t>
  </si>
  <si>
    <t>GAIKE/05/24/INV-1000149</t>
  </si>
  <si>
    <t>597566-00-02</t>
  </si>
  <si>
    <t>GAIKE/05/24/INV-1000150</t>
  </si>
  <si>
    <t>477901-00-02</t>
  </si>
  <si>
    <t>GAIKE/05/24/INV-1000151</t>
  </si>
  <si>
    <t>GAIKE/05/24/RUF-1000011</t>
  </si>
  <si>
    <t>MR HANIF MOHAMED SADIK SALEH</t>
  </si>
  <si>
    <t>KEA1B/IC895/24/000014/01</t>
  </si>
  <si>
    <t>GAIKE/05/24/INV-1000148</t>
  </si>
  <si>
    <t>MR JAGDISH CHANDRA</t>
  </si>
  <si>
    <t>KEA1B/IC815/24/000021/01</t>
  </si>
  <si>
    <t>GAIKE/05/24/INV-1000153</t>
  </si>
  <si>
    <t>MR SUBHASH CHANDRA</t>
  </si>
  <si>
    <t>KEA1B/IC815/24/000020/01</t>
  </si>
  <si>
    <t>GAIKE/05/24/INV-1000152</t>
  </si>
  <si>
    <t>GAIKE/05/24/INV-1000097</t>
  </si>
  <si>
    <t>GAIKE/05/24/INV-1000162</t>
  </si>
  <si>
    <t>GAIKE/05/24/INV-1000163</t>
  </si>
  <si>
    <t>GAIKE/05/24/INV-1000155</t>
  </si>
  <si>
    <t>GAIKE/05/24/RUF-1000010</t>
  </si>
  <si>
    <t>GAIKE/05/24/INV-1000158</t>
  </si>
  <si>
    <t>2024-05-07</t>
  </si>
  <si>
    <t>GAIKE/05/24/INV-1000184</t>
  </si>
  <si>
    <t>GAIKE/05/24/INV-1000207</t>
  </si>
  <si>
    <t>GAIKE/05/24/INV-1000205</t>
  </si>
  <si>
    <t>GAIKE/05/24/INV-1000199</t>
  </si>
  <si>
    <t>669557-02</t>
  </si>
  <si>
    <t>GAIKE/05/24/INV-1000171</t>
  </si>
  <si>
    <t>100560-01</t>
  </si>
  <si>
    <t>GAIKE/05/24/INV-1000172</t>
  </si>
  <si>
    <t>624599-01</t>
  </si>
  <si>
    <t>GAIKE/05/24/INV-1000191</t>
  </si>
  <si>
    <t>62450-01</t>
  </si>
  <si>
    <t>GAIKE/05/24/INV-1000192</t>
  </si>
  <si>
    <t>MAHENDRA CONSTRUCTION CO. LIMITED</t>
  </si>
  <si>
    <t>PC/05/2019/3093936/05</t>
  </si>
  <si>
    <t>GAIKE/05/24/INV-1000185</t>
  </si>
  <si>
    <t>GAIKE/05/24/INV-1000187</t>
  </si>
  <si>
    <t>GAIKE/05/24/INV-1000195</t>
  </si>
  <si>
    <t>MR ANANT SHARMA</t>
  </si>
  <si>
    <t>KEA1B/IC832/23/000039/02</t>
  </si>
  <si>
    <t>GAIKE/05/24/INV-1000180</t>
  </si>
  <si>
    <t>KEA1B/IC895/24/000014/02</t>
  </si>
  <si>
    <t>GAIKE/05/24/INV-1000177</t>
  </si>
  <si>
    <t>MR VINCENT KIGATHI MUROKI</t>
  </si>
  <si>
    <t>KEA1B/IC815/24/000022/01</t>
  </si>
  <si>
    <t>GAIKE/05/24/INV-1000175</t>
  </si>
  <si>
    <t>RAILA KADIR BUX SHAPI</t>
  </si>
  <si>
    <t>PR/02/2022/6634850/02</t>
  </si>
  <si>
    <t>LUCRUM INSURANCE AGENCY - MEDICAL</t>
  </si>
  <si>
    <t>GAIKE/05/24/INV-1000206</t>
  </si>
  <si>
    <t>GAIKE/05/24/INV-1000193</t>
  </si>
  <si>
    <t>GAIKE/05/24/INV-1000194</t>
  </si>
  <si>
    <t>GAIKE/05/24/RUF-1000012</t>
  </si>
  <si>
    <t>BIPINKUMAR SOMCHAND NAGDA</t>
  </si>
  <si>
    <t>PR/05/2022/7279103/02</t>
  </si>
  <si>
    <t>GAIKE/05/24/INV-1000188</t>
  </si>
  <si>
    <t>GAIKE/05/24/INV-1000200</t>
  </si>
  <si>
    <t>PC/05/2015/1043714/09</t>
  </si>
  <si>
    <t>GAIKE/05/24/INV-1000182</t>
  </si>
  <si>
    <t>KE00001627100-01</t>
  </si>
  <si>
    <t>GAIKE/05/24/INV-1000176</t>
  </si>
  <si>
    <t>735686-00-01</t>
  </si>
  <si>
    <t>GAIKE/05/24/INV-1000174</t>
  </si>
  <si>
    <t>HITESHKUMAR SOMCHAND NAGDA</t>
  </si>
  <si>
    <t>PR/05/2022/7279015/02</t>
  </si>
  <si>
    <t>GAIKE/05/24/INV-1000202</t>
  </si>
  <si>
    <t>GAIKE/05/24/INV-1000198</t>
  </si>
  <si>
    <t>KEA1B/CD281/23/000001/02</t>
  </si>
  <si>
    <t>RICHLANDS INSURANCE BROKERS</t>
  </si>
  <si>
    <t>GAIKE/05/24/INV-1000169</t>
  </si>
  <si>
    <t>2024-05-05</t>
  </si>
  <si>
    <t>2025-05-04</t>
  </si>
  <si>
    <t>GAIKE/05/24/RUF-1000013</t>
  </si>
  <si>
    <t>GAIKE/05/24/INV-1000196</t>
  </si>
  <si>
    <t>GAIKE/05/24/INV-1000197</t>
  </si>
  <si>
    <t>GAIKE/05/24/INV-1000201</t>
  </si>
  <si>
    <t>GAIKE/05/24/INV-1000189</t>
  </si>
  <si>
    <t>GAIKE/05/24/INV-1000208</t>
  </si>
  <si>
    <t>GAIKE/05/24/INV-1000204</t>
  </si>
  <si>
    <t>GAIKE/05/24/INV-1000190</t>
  </si>
  <si>
    <t>GAIKE/05/24/INV-1000222</t>
  </si>
  <si>
    <t>FRUITPLUS LIMITED</t>
  </si>
  <si>
    <t>PC/05/2021/5248770/03</t>
  </si>
  <si>
    <t>GAIKE/05/24/INV-1000233</t>
  </si>
  <si>
    <t>GAIKE/05/24/RUF-1000015</t>
  </si>
  <si>
    <t>PC/05/2021/5249497/03</t>
  </si>
  <si>
    <t>GAIKE/05/24/INV-1000235</t>
  </si>
  <si>
    <t>PC/05/2021/5249497/01</t>
  </si>
  <si>
    <t>GAIKE/05/24/RUF-1000014</t>
  </si>
  <si>
    <t>2022-05-01</t>
  </si>
  <si>
    <t>2023-04-30</t>
  </si>
  <si>
    <t>PC/05/2021/5252547/03</t>
  </si>
  <si>
    <t>GAIKE/05/24/INV-1000234</t>
  </si>
  <si>
    <t>MR ANOOP GARG</t>
  </si>
  <si>
    <t>KEA1B/IC793/23/000061/02</t>
  </si>
  <si>
    <t>GAIKE/05/24/INV-1000215</t>
  </si>
  <si>
    <t>MRS JANE NJERI IHUGO</t>
  </si>
  <si>
    <t>KEA1B/IC832/24/000024/01</t>
  </si>
  <si>
    <t>GAIKE/05/24/INV-1000216</t>
  </si>
  <si>
    <t>RAAYAN EXPORTERS LIMITED</t>
  </si>
  <si>
    <t>PC/05/2021/5252880/03</t>
  </si>
  <si>
    <t>GAIKE/05/24/INV-1000232</t>
  </si>
  <si>
    <t>58552-02</t>
  </si>
  <si>
    <t>GAIKE/05/24/INV-1000249</t>
  </si>
  <si>
    <t>GAIKE/05/24/INV-1000212</t>
  </si>
  <si>
    <t>GAIKE/05/24/INV-1000248</t>
  </si>
  <si>
    <t>582259-00-01</t>
  </si>
  <si>
    <t>GAIKE/05/24/INV-1000227</t>
  </si>
  <si>
    <t>724104-00-02</t>
  </si>
  <si>
    <t>GAIKE/05/24/INV-1000245</t>
  </si>
  <si>
    <t>1221-02</t>
  </si>
  <si>
    <t>GAIKE/05/24/INV-1000219</t>
  </si>
  <si>
    <t>1222-02</t>
  </si>
  <si>
    <t>GAIKE/05/24/INV-1000220</t>
  </si>
  <si>
    <t>1343-02</t>
  </si>
  <si>
    <t>GAIKE/05/24/INV-1000221</t>
  </si>
  <si>
    <t>DILIPKUMAR SOMCHAND NAGDA</t>
  </si>
  <si>
    <t>PR/05/2022/7279175/02</t>
  </si>
  <si>
    <t>GAIKE/05/24/INV-1000238</t>
  </si>
  <si>
    <t>GAIKE/05/24/INV-1000225</t>
  </si>
  <si>
    <t>PC/05/2015/1040273/09</t>
  </si>
  <si>
    <t>GAIKE/05/24/INV-1000210</t>
  </si>
  <si>
    <t>2024-05-04</t>
  </si>
  <si>
    <t>2025-05-03</t>
  </si>
  <si>
    <t>GAIKE/05/24/INV-1000211</t>
  </si>
  <si>
    <t>IT Services &amp; Outsourcing</t>
  </si>
  <si>
    <t>MR ARIF ISMAIL AHMED</t>
  </si>
  <si>
    <t>KEA1B/IC830/23/000024/02</t>
  </si>
  <si>
    <t>GAIKE/05/24/INV-1000223</t>
  </si>
  <si>
    <t>MR ERICSSON EDEYANGWA BAND</t>
  </si>
  <si>
    <t>KEA1B/IC803/24/000002/01</t>
  </si>
  <si>
    <t>GAIKE/05/24/INV-1000214</t>
  </si>
  <si>
    <t>MR FIROZ ESMAIL AHMED</t>
  </si>
  <si>
    <t>KEA1B/IC830/23/000025/02</t>
  </si>
  <si>
    <t>GAIKE/05/24/INV-1000229</t>
  </si>
  <si>
    <t>MR HITESHKUMAR SOMCHAND NAGDA</t>
  </si>
  <si>
    <t>KEA1B/IC830/24/000018/01</t>
  </si>
  <si>
    <t>GAIKE/05/24/INV-1000236</t>
  </si>
  <si>
    <t xml:space="preserve">MS NIMISHABEN GIRISHKUMAR PATEL </t>
  </si>
  <si>
    <t>KEA1B/IC781/24/000036/01</t>
  </si>
  <si>
    <t>GAIKE/05/24/INV-1000246</t>
  </si>
  <si>
    <t>GAIKE/05/24/INV-1000244</t>
  </si>
  <si>
    <t>PC/05/2022/7184461/02</t>
  </si>
  <si>
    <t>HP INSURANCE BROKERS LIMITED</t>
  </si>
  <si>
    <t>GAIKE/05/24/INV-1000209</t>
  </si>
  <si>
    <t>GAIKE/05/24/INV-1000217</t>
  </si>
  <si>
    <t>GAIKE/05/24/INV-1000240</t>
  </si>
  <si>
    <t>GAIKE/05/24/RUF-1000017</t>
  </si>
  <si>
    <t>GAIKE/05/24/INV-1000226</t>
  </si>
  <si>
    <t>MALACHITE LIMITED</t>
  </si>
  <si>
    <t>PC/04/2015/1039402/08</t>
  </si>
  <si>
    <t>GAIKE/05/24/RUF-1000016</t>
  </si>
  <si>
    <t>GAIKE/05/24/INV-1000243</t>
  </si>
  <si>
    <t>2024-05-09</t>
  </si>
  <si>
    <t>GAIKE/05/24/INV-1000295</t>
  </si>
  <si>
    <t>PC/04/2015/1039402/09</t>
  </si>
  <si>
    <t>GAIKE/05/24/INV-1000258</t>
  </si>
  <si>
    <t>MR AYUSH SURESHBHAI PATEL</t>
  </si>
  <si>
    <t>KEA1B/IC832/24/000026/01</t>
  </si>
  <si>
    <t>GAIKE/05/24/INV-1000291</t>
  </si>
  <si>
    <t>MR LI MIAO</t>
  </si>
  <si>
    <t>KEA1B/IC832/24/000027/01</t>
  </si>
  <si>
    <t>GAIKE/05/24/INV-1000302</t>
  </si>
  <si>
    <t>MRS JOSEPHINE KEPKERI KIPROP</t>
  </si>
  <si>
    <t>KEA1B/IC897/24/000006/01</t>
  </si>
  <si>
    <t>GAIKE/05/24/INV-1000261</t>
  </si>
  <si>
    <t>NULL CHEN WUJIANG</t>
  </si>
  <si>
    <t>KEA1B/IC832/24/000025/01</t>
  </si>
  <si>
    <t>GAIKE/05/24/INV-1000289</t>
  </si>
  <si>
    <t>GAIKE/05/24/RUF-1000019</t>
  </si>
  <si>
    <t>NAKURU COUNTY</t>
  </si>
  <si>
    <t>PC/07/2022/7619355/01</t>
  </si>
  <si>
    <t>GAIKE/05/24/INV-1000296</t>
  </si>
  <si>
    <t>2023-07-18</t>
  </si>
  <si>
    <t>2024-07-17</t>
  </si>
  <si>
    <t>GAIKE/05/24/INV-1000300</t>
  </si>
  <si>
    <t>Retailers</t>
  </si>
  <si>
    <t>Automobile</t>
  </si>
  <si>
    <t>GAIKE/05/24/INV-1000298</t>
  </si>
  <si>
    <t>708920-00-02</t>
  </si>
  <si>
    <t>GAIKE/05/24/INV-1000259</t>
  </si>
  <si>
    <t>708921-00-02</t>
  </si>
  <si>
    <t>GAIKE/05/24/INV-1000260</t>
  </si>
  <si>
    <t>597628-00-02</t>
  </si>
  <si>
    <t>GAIKE/05/24/INV-1000262</t>
  </si>
  <si>
    <t>597656-00-02</t>
  </si>
  <si>
    <t>GAIKE/05/24/INV-1000263</t>
  </si>
  <si>
    <t>35545-02</t>
  </si>
  <si>
    <t>GAIKE/05/24/INV-1000290</t>
  </si>
  <si>
    <t>KE00002318800-01</t>
  </si>
  <si>
    <t>GAIKE/05/24/INV-1000297</t>
  </si>
  <si>
    <t>MR SATYAN HASMUKH GOHIL</t>
  </si>
  <si>
    <t>KEA1B/IC793/24/000083/01</t>
  </si>
  <si>
    <t>GAIKE/05/24/INV-1000284</t>
  </si>
  <si>
    <t>2025-05-02</t>
  </si>
  <si>
    <t>MS NEETA RAJESH SHARMA</t>
  </si>
  <si>
    <t>PR/05/2022/7219849/01</t>
  </si>
  <si>
    <t>GAIKE/05/24/INV-1000287</t>
  </si>
  <si>
    <t>2023-05-11</t>
  </si>
  <si>
    <t>2024-05-10</t>
  </si>
  <si>
    <t>PR/05/2022/7219849/02</t>
  </si>
  <si>
    <t>GAIKE/05/24/INV-1000301</t>
  </si>
  <si>
    <t>2024-05-11</t>
  </si>
  <si>
    <t>2025-05-10</t>
  </si>
  <si>
    <t>GAIKE/05/24/INV-1000285</t>
  </si>
  <si>
    <t>GAIKE/05/24/INV-1000293</t>
  </si>
  <si>
    <t>GAIKE/05/24/INV-1000294</t>
  </si>
  <si>
    <t>PC/05/2021/5237183/03</t>
  </si>
  <si>
    <t>GAIKE/05/24/INV-1000283</t>
  </si>
  <si>
    <t>2025-05-12</t>
  </si>
  <si>
    <t>PC/05/2019/3087336/05</t>
  </si>
  <si>
    <t>GAIKE/05/24/INV-1000303</t>
  </si>
  <si>
    <t>GAIKE/05/24/RUF-1000018</t>
  </si>
  <si>
    <t>11500478-01</t>
  </si>
  <si>
    <t>GAIKE/05/24/INV-1000317</t>
  </si>
  <si>
    <t>706769-02</t>
  </si>
  <si>
    <t>GAIKE/05/24/INV-1000306</t>
  </si>
  <si>
    <t>706771-02</t>
  </si>
  <si>
    <t>GAIKE/05/24/INV-1000307</t>
  </si>
  <si>
    <t>597303-02</t>
  </si>
  <si>
    <t>GAIKE/05/24/INV-1000308</t>
  </si>
  <si>
    <t>597297-02</t>
  </si>
  <si>
    <t>GAIKE/05/24/INV-1000309</t>
  </si>
  <si>
    <t>709107-02</t>
  </si>
  <si>
    <t>GAIKE/05/24/INV-1000310</t>
  </si>
  <si>
    <t>706786-02</t>
  </si>
  <si>
    <t>GAIKE/05/24/INV-1000311</t>
  </si>
  <si>
    <t>706790-02</t>
  </si>
  <si>
    <t>GAIKE/05/24/INV-1000312</t>
  </si>
  <si>
    <t>706792-02</t>
  </si>
  <si>
    <t>GAIKE/05/24/INV-1000313</t>
  </si>
  <si>
    <t>596281-02</t>
  </si>
  <si>
    <t>GAIKE/05/24/INV-1000314</t>
  </si>
  <si>
    <t>427573-02</t>
  </si>
  <si>
    <t>GAIKE/05/24/INV-1000315</t>
  </si>
  <si>
    <t>427575-02</t>
  </si>
  <si>
    <t>GAIKE/05/24/INV-1000316</t>
  </si>
  <si>
    <t>708922-02</t>
  </si>
  <si>
    <t>GAIKE/05/24/INV-1000305</t>
  </si>
  <si>
    <t>GAIKE/05/24/INV-1000304</t>
  </si>
  <si>
    <t>45-02</t>
  </si>
  <si>
    <t>GAIKE/05/24/INV-1000354</t>
  </si>
  <si>
    <t>46-02</t>
  </si>
  <si>
    <t>GAIKE/05/24/INV-1000355</t>
  </si>
  <si>
    <t>383241-00-01</t>
  </si>
  <si>
    <t>GAIKE/05/24/INV-1000364</t>
  </si>
  <si>
    <t>383241-01-01</t>
  </si>
  <si>
    <t>GAIKE/05/24/INV-1000366</t>
  </si>
  <si>
    <t>383243-00-01</t>
  </si>
  <si>
    <t>GAIKE/05/24/INV-1000367</t>
  </si>
  <si>
    <t>383244-00-01</t>
  </si>
  <si>
    <t>GAIKE/05/24/INV-1000368</t>
  </si>
  <si>
    <t>505619-00-01</t>
  </si>
  <si>
    <t>GAIKE/05/24/INV-1000369</t>
  </si>
  <si>
    <t>540724-00-01</t>
  </si>
  <si>
    <t>GAIKE/05/24/INV-1000370</t>
  </si>
  <si>
    <t>MR HARDIK HEMENDRAKUMAR DAVE</t>
  </si>
  <si>
    <t>KEA1B/IC793/24/000084/01</t>
  </si>
  <si>
    <t>GAIKE/05/24/INV-1000342</t>
  </si>
  <si>
    <t>MR SUKHWINDER SINGH SANDHU</t>
  </si>
  <si>
    <t>KEA1B/IC781/24/000037/01</t>
  </si>
  <si>
    <t>GAIKE/05/24/INV-1000327</t>
  </si>
  <si>
    <t>595296-01</t>
  </si>
  <si>
    <t>GAIKE/05/24/INV-1000333</t>
  </si>
  <si>
    <t>2023-03-02</t>
  </si>
  <si>
    <t>GAIKE/05/24/RUF-1000025</t>
  </si>
  <si>
    <t>PC/12/2021/6359942/01</t>
  </si>
  <si>
    <t>GAIKE/05/24/RUF-1000026</t>
  </si>
  <si>
    <t>2022-12-20</t>
  </si>
  <si>
    <t>BHARAT JAYANTILAL JAKHARIYA</t>
  </si>
  <si>
    <t>PR/03/2022/6930526/02</t>
  </si>
  <si>
    <t>GAIKE/05/24/INV-1000326</t>
  </si>
  <si>
    <t>GAIKE/05/24/INV-1000339</t>
  </si>
  <si>
    <t>KE00002318800-02</t>
  </si>
  <si>
    <t>GAIKE/05/24/INV-1000319</t>
  </si>
  <si>
    <t>EMSI &amp; ASSOCIATES ADVOCATES LLP</t>
  </si>
  <si>
    <t>KEA1B/CD276/23/000001/02</t>
  </si>
  <si>
    <t>GAIKE/05/24/INV-1000323</t>
  </si>
  <si>
    <t>KE00001968300-01</t>
  </si>
  <si>
    <t>GAIKE/05/24/INV-1000371</t>
  </si>
  <si>
    <t>MRS LYDIAH WAMBUI KIARIE</t>
  </si>
  <si>
    <t>KEA1B/IC793/23/000086/02</t>
  </si>
  <si>
    <t>GAIKE/05/24/INV-1000320</t>
  </si>
  <si>
    <t>2025-04-23</t>
  </si>
  <si>
    <t>MS PREMILABEN KANJI VELJI</t>
  </si>
  <si>
    <t>KEA1B/IC830/23/000015/02</t>
  </si>
  <si>
    <t>GAIKE/05/24/INV-1000330</t>
  </si>
  <si>
    <t>2025-05-18</t>
  </si>
  <si>
    <t>ODHIAMBO HILLARY JOSEPH</t>
  </si>
  <si>
    <t>PR/05/2021/5204120/03</t>
  </si>
  <si>
    <t>GAIKE/05/24/INV-1000329</t>
  </si>
  <si>
    <t>RONAK ASHVIN MEHTA</t>
  </si>
  <si>
    <t>PR/05/2021/5202839/03</t>
  </si>
  <si>
    <t>GAIKE/05/24/INV-1000328</t>
  </si>
  <si>
    <t>GAIKE/05/24/RUF-1000027</t>
  </si>
  <si>
    <t>Communications, Media &amp; Entertainment</t>
  </si>
  <si>
    <t>GAIKE/01/24/RUFR-1000202</t>
  </si>
  <si>
    <t>GAIKE/02/24/RUFR-1000077</t>
  </si>
  <si>
    <t>GAIKE/05/24/RUF-1000023</t>
  </si>
  <si>
    <t>GAIKE/05/24/RUF-1000020</t>
  </si>
  <si>
    <t>GAIKE/05/24/RUF-1000022</t>
  </si>
  <si>
    <t>GAIKE/05/24/RUF-1000021</t>
  </si>
  <si>
    <t>GAIKE/05/24/INV-1000382</t>
  </si>
  <si>
    <t>GAIKE/05/24/INV-1000384</t>
  </si>
  <si>
    <t>MR CHIRAG VINOD KHERGAMKAR</t>
  </si>
  <si>
    <t>KEA1B/IC832/24/000028/01</t>
  </si>
  <si>
    <t>GAIKE/05/24/INV-1000383</t>
  </si>
  <si>
    <t>MR HENRY NJUGUNA NYOIKE</t>
  </si>
  <si>
    <t>KEA1B/IC832/24/000030/01</t>
  </si>
  <si>
    <t>GAIKE/05/24/INV-1000386</t>
  </si>
  <si>
    <t>MR JIGNESHKUMAR CHHAGANLAL PITRODA</t>
  </si>
  <si>
    <t>KEA1B/IC832/23/000040/02</t>
  </si>
  <si>
    <t>GAIKE/05/24/INV-1000375</t>
  </si>
  <si>
    <t>MR RAJDEV SINGH</t>
  </si>
  <si>
    <t>KEA1B/IC793/23/000053/02</t>
  </si>
  <si>
    <t>GAIKE/05/24/INV-1000374</t>
  </si>
  <si>
    <t>MR TIM REDDING NGETSA</t>
  </si>
  <si>
    <t>KEA1B/IC905/24/000008/01</t>
  </si>
  <si>
    <t>GAIKE/05/24/INV-1000390</t>
  </si>
  <si>
    <t>2025-05-07</t>
  </si>
  <si>
    <t>MR WANG QINGLEI</t>
  </si>
  <si>
    <t>KEA1B/IC832/24/000029/01</t>
  </si>
  <si>
    <t>GAIKE/05/24/INV-1000385</t>
  </si>
  <si>
    <t>MRS KRISHNABEN JIGNESH PITRODA</t>
  </si>
  <si>
    <t>KEA1B/IC793/24/000085/01</t>
  </si>
  <si>
    <t>GAIKE/05/24/INV-1000381</t>
  </si>
  <si>
    <t>PC/05/2015/1048491/09</t>
  </si>
  <si>
    <t>GAIKE/05/24/INV-1000388</t>
  </si>
  <si>
    <t>2025-05-14</t>
  </si>
  <si>
    <t>MR LALJI GANGJI PATEL</t>
  </si>
  <si>
    <t>PR/02/2022/6584076/02</t>
  </si>
  <si>
    <t>GAIKE/05/24/INV-1000389</t>
  </si>
  <si>
    <t>GAIKE/05/24/INV-1000391</t>
  </si>
  <si>
    <t>GAIKE/05/24/INV-1000373</t>
  </si>
  <si>
    <t>GAIKE/05/24/INV-1000372</t>
  </si>
  <si>
    <t>GAIKE/05/24/INV-1000422</t>
  </si>
  <si>
    <t>GAIKE/05/24/INV-1000423</t>
  </si>
  <si>
    <t>GAIKE/05/24/INV-1000424</t>
  </si>
  <si>
    <t>GAIKE/05/24/INV-1000419</t>
  </si>
  <si>
    <t>GAIKE/05/24/INV-1000437</t>
  </si>
  <si>
    <t>GAIKE/05/24/INV-1000439</t>
  </si>
  <si>
    <t>GAIKE/05/24/INV-1000426</t>
  </si>
  <si>
    <t>KEA1B/CD489/23/000001/01</t>
  </si>
  <si>
    <t>INTERWEST INSURANCE AGENCY</t>
  </si>
  <si>
    <t>GAIKE/05/24/INV-1000420</t>
  </si>
  <si>
    <t>MANDERA COUNTY</t>
  </si>
  <si>
    <t>GAIKE/05/24/INV-1000411</t>
  </si>
  <si>
    <t>GAIKE/05/24/INV-1000431</t>
  </si>
  <si>
    <t>GAIKE/05/24/INV-1000421</t>
  </si>
  <si>
    <t>MR ANUPAM AGARWAL.</t>
  </si>
  <si>
    <t>KEA1B/IC815/23/000029/02</t>
  </si>
  <si>
    <t>GAIKE/05/24/INV-1000446</t>
  </si>
  <si>
    <t>MR NARENDRA RAISINGANI. PRITAMDAS</t>
  </si>
  <si>
    <t>KEA1B/IC793/23/000081/02</t>
  </si>
  <si>
    <t>GAIKE/05/24/INV-1000447</t>
  </si>
  <si>
    <t>MR NAVNITRAI KANAIYALAL. RAJAPARA</t>
  </si>
  <si>
    <t>KEA1B/IC793/23/000069/02</t>
  </si>
  <si>
    <t>GAIKE/05/24/INV-1000440</t>
  </si>
  <si>
    <t>GAIKE/05/24/RUF-1000037</t>
  </si>
  <si>
    <t>GAIKE/05/24/RUF-1000036</t>
  </si>
  <si>
    <t>GAIKE/05/24/INV-1000432</t>
  </si>
  <si>
    <t>GAIKE/05/24/INV-1000413</t>
  </si>
  <si>
    <t>GAIKE/05/24/INV-1000443</t>
  </si>
  <si>
    <t>GAIKE/05/24/INV-1000412</t>
  </si>
  <si>
    <t>587657-00-01</t>
  </si>
  <si>
    <t>GAIKE/05/24/INV-1000405</t>
  </si>
  <si>
    <t>541884-00-01</t>
  </si>
  <si>
    <t>GAIKE/05/24/INV-1000406</t>
  </si>
  <si>
    <t>GAIKE/05/24/INV-1000425</t>
  </si>
  <si>
    <t>GAIKE/05/24/INV-1000436</t>
  </si>
  <si>
    <t>KE00001966500-01</t>
  </si>
  <si>
    <t>GAIKE/05/24/INV-1000448</t>
  </si>
  <si>
    <t>GAIKE/05/24/INV-1000433</t>
  </si>
  <si>
    <t>GAIKE/05/24/INV-1000442</t>
  </si>
  <si>
    <t>GAIKE/05/24/INV-1000430</t>
  </si>
  <si>
    <t>GAIKE/05/24/RUF-1000033</t>
  </si>
  <si>
    <t>GAIKE/05/24/INV-1000435</t>
  </si>
  <si>
    <t>GAIKE/05/24/INV-1000408</t>
  </si>
  <si>
    <t>GAIKE/05/24/RUF-1000032</t>
  </si>
  <si>
    <t>GAIKE/05/24/RUF-1000030</t>
  </si>
  <si>
    <t>GAIKE/05/24/RUF-1000035</t>
  </si>
  <si>
    <t>GAIKE/05/24/INV-1000434</t>
  </si>
  <si>
    <t>GAIKE/05/24/INV-1000450</t>
  </si>
  <si>
    <t>GAIKE/05/24/INV-1000438</t>
  </si>
  <si>
    <t>2024-05-16</t>
  </si>
  <si>
    <t>GAIKE/05/24/INV-1000496</t>
  </si>
  <si>
    <t>GAIKE/05/24/INV-1000500</t>
  </si>
  <si>
    <t>42-02</t>
  </si>
  <si>
    <t>GAIKE/05/24/INV-1000501</t>
  </si>
  <si>
    <t>43-02</t>
  </si>
  <si>
    <t>GAIKE/05/24/INV-1000502</t>
  </si>
  <si>
    <t>44-02</t>
  </si>
  <si>
    <t>GAIKE/05/24/INV-1000503</t>
  </si>
  <si>
    <t>GAIKE/05/24/INV-1000504</t>
  </si>
  <si>
    <t>48-02</t>
  </si>
  <si>
    <t>GAIKE/05/24/INV-1000505</t>
  </si>
  <si>
    <t>49-02</t>
  </si>
  <si>
    <t>GAIKE/05/24/INV-1000506</t>
  </si>
  <si>
    <t>GAIKE/05/24/INV-1000507</t>
  </si>
  <si>
    <t>GAIKE/05/24/INV-1000508</t>
  </si>
  <si>
    <t>GAIKE/05/24/INV-1000509</t>
  </si>
  <si>
    <t>GAIKE/05/24/INV-1000510</t>
  </si>
  <si>
    <t>GAIKE/05/24/INV-1000511</t>
  </si>
  <si>
    <t>676616-00-01</t>
  </si>
  <si>
    <t>GAIKE/05/24/INV-1000512</t>
  </si>
  <si>
    <t>2023-02-15</t>
  </si>
  <si>
    <t>190101-01</t>
  </si>
  <si>
    <t>GAIKE/05/24/INV-1000462</t>
  </si>
  <si>
    <t>MR AGARWAL ARVIND FULCHAND</t>
  </si>
  <si>
    <t>KEA1B/IC781/24/000039/01</t>
  </si>
  <si>
    <t>GAIKE/05/24/INV-1000458</t>
  </si>
  <si>
    <t>MR BARHAM DEV VASISHT</t>
  </si>
  <si>
    <t>PR/05/2022/7326871/02</t>
  </si>
  <si>
    <t>GAIKE/05/24/INV-1000494</t>
  </si>
  <si>
    <t>2025-05-15</t>
  </si>
  <si>
    <t>KEA1B/IC895/24/000015/01</t>
  </si>
  <si>
    <t>GAIKE/05/24/INV-1000476</t>
  </si>
  <si>
    <t>MR MARTIN OLANDO WESONGA</t>
  </si>
  <si>
    <t>KEA1B/IC832/24/000021/01</t>
  </si>
  <si>
    <t>ELIZABETH NAKHUNGU MURUNGA</t>
  </si>
  <si>
    <t>GAIKE/05/24/INV-1000471</t>
  </si>
  <si>
    <t>MR XIE PENG</t>
  </si>
  <si>
    <t>KEA1B/IC832/24/000032/01</t>
  </si>
  <si>
    <t>GAIKE/05/24/INV-1000482</t>
  </si>
  <si>
    <t>MR YANG YUQING</t>
  </si>
  <si>
    <t>KEA1B/IC832/24/000031/01</t>
  </si>
  <si>
    <t>GAIKE/05/24/INV-1000478</t>
  </si>
  <si>
    <t>21-02</t>
  </si>
  <si>
    <t>GAIKE/05/24/INV-1000498</t>
  </si>
  <si>
    <t>KE00003337201-01</t>
  </si>
  <si>
    <t>GAIKE/05/24/INV-1000499</t>
  </si>
  <si>
    <t>KEA1B/CD296/23/000001/02</t>
  </si>
  <si>
    <t>PEJAM INSURANCE AGENCIES</t>
  </si>
  <si>
    <t>GAIKE/05/24/INV-1000451</t>
  </si>
  <si>
    <t>GAIKE/05/24/RUF-1000041</t>
  </si>
  <si>
    <t>KEA1B/CD621/24/000001/02</t>
  </si>
  <si>
    <t>GAIKE/05/24/INV-1000469</t>
  </si>
  <si>
    <t>BALRAJ SINGH VIRDI</t>
  </si>
  <si>
    <t>PR/06/2022/7351847/01</t>
  </si>
  <si>
    <t>GAIKE/05/24/INV-1000483</t>
  </si>
  <si>
    <t>2023-06-08</t>
  </si>
  <si>
    <t>2024-06-07</t>
  </si>
  <si>
    <t>GAIKE/05/24/INV-1000481</t>
  </si>
  <si>
    <t>GAIKE/05/24/INV-1000452</t>
  </si>
  <si>
    <t>GAIKE/05/24/INV-1000454</t>
  </si>
  <si>
    <t>GAIKE/05/24/INV-1000470</t>
  </si>
  <si>
    <t>GAIKE/05/24/INV-1000453</t>
  </si>
  <si>
    <t>KE02075700-01</t>
  </si>
  <si>
    <t>GAIKE/05/24/INV-1000473</t>
  </si>
  <si>
    <t>96669-01</t>
  </si>
  <si>
    <t>GAIKE/05/24/INV-1000485</t>
  </si>
  <si>
    <t>KE00005860000-01</t>
  </si>
  <si>
    <t>GAIKE/05/24/INV-1000486</t>
  </si>
  <si>
    <t>596664-00-01</t>
  </si>
  <si>
    <t>GAIKE/05/24/INV-1000487</t>
  </si>
  <si>
    <t>1447-01</t>
  </si>
  <si>
    <t>GAIKE/05/24/INV-1000490</t>
  </si>
  <si>
    <t>5000-01</t>
  </si>
  <si>
    <t>GAIKE/05/24/INV-1000484</t>
  </si>
  <si>
    <t>50-01</t>
  </si>
  <si>
    <t>GAIKE/05/24/INV-1000495</t>
  </si>
  <si>
    <t xml:space="preserve">HINDU COUNCIL OVERALL TWO MILLION SENIOR SIXTY FIVE TO  SEVENTYENTY </t>
  </si>
  <si>
    <t>66282-01</t>
  </si>
  <si>
    <t>GAIKE/05/24/INV-1000488</t>
  </si>
  <si>
    <t>636822-00-01</t>
  </si>
  <si>
    <t>GAIKE/05/24/INV-1000489</t>
  </si>
  <si>
    <t>749805-00-01</t>
  </si>
  <si>
    <t>GAIKE/05/24/INV-1000491</t>
  </si>
  <si>
    <t>72654-01</t>
  </si>
  <si>
    <t>GAIKE/05/24/INV-1000492</t>
  </si>
  <si>
    <t>500-01</t>
  </si>
  <si>
    <t>GAIKE/05/24/INV-1000493</t>
  </si>
  <si>
    <t>GAIKE/05/24/INV-1000457</t>
  </si>
  <si>
    <t>GAIKE/05/24/INV-1000456</t>
  </si>
  <si>
    <t>GAIKE/05/24/INV-1000455</t>
  </si>
  <si>
    <t>GAIKE/05/24/INV-1000477</t>
  </si>
  <si>
    <t>GAIKE/05/24/INV-1000479</t>
  </si>
  <si>
    <t>GAIKE/05/24/INV-1000463</t>
  </si>
  <si>
    <t>GAIKE/05/24/INV-1000472</t>
  </si>
  <si>
    <t>GAIKE/05/24/INV-1000466</t>
  </si>
  <si>
    <t>GAIKE/05/24/INV-1000474</t>
  </si>
  <si>
    <t>GAIKE/05/24/INV-1000480</t>
  </si>
  <si>
    <t>GAIKE/05/24/INV-1000461</t>
  </si>
  <si>
    <t>CAROLINE WAMBUI KURIA</t>
  </si>
  <si>
    <t>PR/05/2022/7225297/02</t>
  </si>
  <si>
    <t>BOME INSURANCE AGENCY</t>
  </si>
  <si>
    <t>GAIKE/05/24/INV-1000521</t>
  </si>
  <si>
    <t>GAIKE/05/24/INV-1000527</t>
  </si>
  <si>
    <t>638178-00-01</t>
  </si>
  <si>
    <t>GAIKE/05/24/INV-1000572</t>
  </si>
  <si>
    <t>6381899-01</t>
  </si>
  <si>
    <t>GAIKE/05/24/INV-1000573</t>
  </si>
  <si>
    <t>669555-02</t>
  </si>
  <si>
    <t>GAIKE/05/24/INV-1000537</t>
  </si>
  <si>
    <t>669548-02</t>
  </si>
  <si>
    <t>GAIKE/05/24/INV-1000538</t>
  </si>
  <si>
    <t>66956402-01</t>
  </si>
  <si>
    <t>GAIKE/05/24/INV-1000539</t>
  </si>
  <si>
    <t>709222-00-01</t>
  </si>
  <si>
    <t>GAIKE/05/24/INV-1000536</t>
  </si>
  <si>
    <t>GAIKE/05/24/INV-1000524</t>
  </si>
  <si>
    <t>MS JANET ATIENO OCHIENG</t>
  </si>
  <si>
    <t>PC/04/2021/5096454/03</t>
  </si>
  <si>
    <t>JAMASITA INSURANCE AGENCY</t>
  </si>
  <si>
    <t>GAIKE/05/24/INV-1000540</t>
  </si>
  <si>
    <t>GAIKE/05/24/INV-1000541</t>
  </si>
  <si>
    <t>GAIKE/05/24/INV-1000519</t>
  </si>
  <si>
    <t>2023-07-25</t>
  </si>
  <si>
    <t>2024-07-24</t>
  </si>
  <si>
    <t>GAIKE/05/24/INV-1000520</t>
  </si>
  <si>
    <t>379515-00-02</t>
  </si>
  <si>
    <t>GAIKE/05/24/INV-1000544</t>
  </si>
  <si>
    <t>677625-00-02</t>
  </si>
  <si>
    <t>GAIKE/05/24/INV-1000545</t>
  </si>
  <si>
    <t>587744-00-02</t>
  </si>
  <si>
    <t>GAIKE/05/24/INV-1000546</t>
  </si>
  <si>
    <t>80-02</t>
  </si>
  <si>
    <t>GAIKE/05/24/INV-1000547</t>
  </si>
  <si>
    <t>13260-02</t>
  </si>
  <si>
    <t>GAIKE/05/24/INV-1000548</t>
  </si>
  <si>
    <t>3894-01</t>
  </si>
  <si>
    <t>GAIKE/05/24/INV-1000549</t>
  </si>
  <si>
    <t>541886-00-02</t>
  </si>
  <si>
    <t>GAIKE/05/24/INV-1000550</t>
  </si>
  <si>
    <t>541890-00-02</t>
  </si>
  <si>
    <t>GAIKE/05/24/INV-1000551</t>
  </si>
  <si>
    <t>541892-00-02</t>
  </si>
  <si>
    <t>GAIKE/05/24/INV-1000552</t>
  </si>
  <si>
    <t>539000-00-02</t>
  </si>
  <si>
    <t>GAIKE/05/24/INV-1000553</t>
  </si>
  <si>
    <t>240-02</t>
  </si>
  <si>
    <t>GAIKE/05/24/INV-1000554</t>
  </si>
  <si>
    <t>477898-00-02</t>
  </si>
  <si>
    <t>GAIKE/05/24/INV-1000555</t>
  </si>
  <si>
    <t>713715-00-02</t>
  </si>
  <si>
    <t>GAIKE/05/24/INV-1000556</t>
  </si>
  <si>
    <t>703796-00-03</t>
  </si>
  <si>
    <t>GAIKE/05/24/INV-1000557</t>
  </si>
  <si>
    <t>2026-03-31</t>
  </si>
  <si>
    <t>47789500-02</t>
  </si>
  <si>
    <t>GAIKE/05/24/INV-1000558</t>
  </si>
  <si>
    <t>667063-00-01</t>
  </si>
  <si>
    <t>GAIKE/05/24/INV-1000559</t>
  </si>
  <si>
    <t>667085-00-01</t>
  </si>
  <si>
    <t>GAIKE/05/24/INV-1000560</t>
  </si>
  <si>
    <t>667068-00-01</t>
  </si>
  <si>
    <t>GAIKE/05/24/INV-1000561</t>
  </si>
  <si>
    <t>667074-00-01</t>
  </si>
  <si>
    <t>GAIKE/05/24/INV-1000562</t>
  </si>
  <si>
    <t>667078-00-01</t>
  </si>
  <si>
    <t>GAIKE/05/24/INV-1000563</t>
  </si>
  <si>
    <t>1332-02</t>
  </si>
  <si>
    <t>GAIKE/05/24/INV-1000564</t>
  </si>
  <si>
    <t>454509-02-01</t>
  </si>
  <si>
    <t>GAIKE/05/24/INV-1000565</t>
  </si>
  <si>
    <t>454509-00-01</t>
  </si>
  <si>
    <t>GAIKE/05/24/INV-1000566</t>
  </si>
  <si>
    <t>454507-00-01</t>
  </si>
  <si>
    <t>GAIKE/05/24/INV-1000567</t>
  </si>
  <si>
    <t>8800-01</t>
  </si>
  <si>
    <t>GAIKE/05/24/INV-1000568</t>
  </si>
  <si>
    <t>667082-00-01</t>
  </si>
  <si>
    <t>GAIKE/05/24/INV-1000569</t>
  </si>
  <si>
    <t>668146-00-01</t>
  </si>
  <si>
    <t>GAIKE/05/24/INV-1000570</t>
  </si>
  <si>
    <t>KE00005108300-01</t>
  </si>
  <si>
    <t>GAIKE/05/24/INV-1000571</t>
  </si>
  <si>
    <t>GUPTA KUSUM . TILAKRAJ</t>
  </si>
  <si>
    <t>PR/04/2021/5200266/02</t>
  </si>
  <si>
    <t>GAIKE/05/24/INV-1000533</t>
  </si>
  <si>
    <t>HARSH GUPTA SANJAY</t>
  </si>
  <si>
    <t>PR/01/2020/3717039/02</t>
  </si>
  <si>
    <t>GAIKE/05/24/INV-1000535</t>
  </si>
  <si>
    <t>2022-01-30</t>
  </si>
  <si>
    <t>714587-01</t>
  </si>
  <si>
    <t>GAIKE/05/24/INV-1000532</t>
  </si>
  <si>
    <t>354-01</t>
  </si>
  <si>
    <t>GAIKE/05/24/INV-1000531</t>
  </si>
  <si>
    <t>KE00003402100-01</t>
  </si>
  <si>
    <t>GAIKE/05/24/INV-1000523</t>
  </si>
  <si>
    <t>GAIKE/05/24/INV-1000542</t>
  </si>
  <si>
    <t>GAIKE/05/24/INV-1000543</t>
  </si>
  <si>
    <t>KEA1B/CD294/23/000001/02</t>
  </si>
  <si>
    <t>GAIKE/05/24/INV-1000518</t>
  </si>
  <si>
    <t>GAIKE/05/24/INV-1000525</t>
  </si>
  <si>
    <t>GAIKE/05/24/INV-1000534</t>
  </si>
  <si>
    <t>GAIKE/05/24/RUF-1000047</t>
  </si>
  <si>
    <t>GAIKE/05/24/RUF-1000046</t>
  </si>
  <si>
    <t>KEA1B/CC795/23/000001/02</t>
  </si>
  <si>
    <t>GAIKE/05/24/INV-1000515</t>
  </si>
  <si>
    <t>GAIKE/05/24/RUF-1000055</t>
  </si>
  <si>
    <t>GAIKE/05/24/RUF-1000051</t>
  </si>
  <si>
    <t>GAIKE/05/24/INV-1000578</t>
  </si>
  <si>
    <t>GAIKE/05/24/INV-1000589</t>
  </si>
  <si>
    <t>GAIKE/05/24/INV-1000597</t>
  </si>
  <si>
    <t>GAIKE/05/24/RUF-1000057</t>
  </si>
  <si>
    <t>KONARK FAMILY PRODUCT FEBRUARY- I</t>
  </si>
  <si>
    <t>PC/02/2018/2261273/05</t>
  </si>
  <si>
    <t>GAIKE/05/24/RUF-1000060</t>
  </si>
  <si>
    <t>KEA1B/IC781/24/000040/01</t>
  </si>
  <si>
    <t>GAIKE/05/24/INV-1000610</t>
  </si>
  <si>
    <t>GAIKE/05/24/RUF-1000054</t>
  </si>
  <si>
    <t>GAIKE/05/24/INV-1000581</t>
  </si>
  <si>
    <t>GAIKE/05/24/INV-1000608</t>
  </si>
  <si>
    <t>GAIKE/05/24/INV-1000599</t>
  </si>
  <si>
    <t>GAIKE/05/24/INV-1000580</t>
  </si>
  <si>
    <t>KE00001833300-01</t>
  </si>
  <si>
    <t>GAIKE/05/24/INV-1000576</t>
  </si>
  <si>
    <t>GAIKE/05/24/INV-1000603</t>
  </si>
  <si>
    <t>GAIKE/05/24/RUF-1000053</t>
  </si>
  <si>
    <t>2023-10-09</t>
  </si>
  <si>
    <t>2024-10-08</t>
  </si>
  <si>
    <t>GAIKE/05/24/INV-1000602</t>
  </si>
  <si>
    <t>GAIKE/05/24/INV-1000591</t>
  </si>
  <si>
    <t>GAIKE/05/24/INV-1000577</t>
  </si>
  <si>
    <t>GAIKE/05/24/INV-1000583</t>
  </si>
  <si>
    <t>GAIKE/05/24/RUF-1000056</t>
  </si>
  <si>
    <t>GAIKE/05/24/INV-1000586</t>
  </si>
  <si>
    <t>GAIKE/05/24/INV-1000587</t>
  </si>
  <si>
    <t>GAIKE/05/24/INV-1000584</t>
  </si>
  <si>
    <t>GAIKE/05/24/INV-1000604</t>
  </si>
  <si>
    <t>GAIKE/05/24/INV-1000592</t>
  </si>
  <si>
    <t>GAIKE/05/24/INV-1000594</t>
  </si>
  <si>
    <t>GAIKE/05/24/INV-1000607</t>
  </si>
  <si>
    <t>GAIKE/05/24/INV-1000605</t>
  </si>
  <si>
    <t>PC/11/2014/983381/09</t>
  </si>
  <si>
    <t>GAIKE/05/24/INV-1000595</t>
  </si>
  <si>
    <t>GAIKE/05/24/INV-1000582</t>
  </si>
  <si>
    <t>GAIKE/05/24/INV-1000579</t>
  </si>
  <si>
    <t>GAIKE/05/24/INV-1000585</t>
  </si>
  <si>
    <t>GAIKE/05/24/INV-1000596</t>
  </si>
  <si>
    <t>PC/05/2022/7275466/02</t>
  </si>
  <si>
    <t>2024-05-20</t>
  </si>
  <si>
    <t>GAIKE/05/24/INV-1000615</t>
  </si>
  <si>
    <t>2025-05-16</t>
  </si>
  <si>
    <t>PC/05/2021/5679597/03</t>
  </si>
  <si>
    <t>GAIKE/05/24/INV-1000628</t>
  </si>
  <si>
    <t>ASSOCIATED BEVERAGES LIMITED</t>
  </si>
  <si>
    <t>PC/05/2020/4055988/04</t>
  </si>
  <si>
    <t>GAIKE/05/24/INV-1000627</t>
  </si>
  <si>
    <t>GAIKE/05/24/RUF-1000064</t>
  </si>
  <si>
    <t>GAIKE/05/24/INV-1000626</t>
  </si>
  <si>
    <t>GAIKE/05/24/RUF-1000063</t>
  </si>
  <si>
    <t>GAIKE/05/24/INV-1000623</t>
  </si>
  <si>
    <t>GAIKE/05/24/INV-1000622</t>
  </si>
  <si>
    <t>PC/05/2021/5234429/03</t>
  </si>
  <si>
    <t>GAIKE/05/24/INV-1000612</t>
  </si>
  <si>
    <t>CIM CREDIT KENYA LIMITED</t>
  </si>
  <si>
    <t>KEA1B/CD693/24/000001/01</t>
  </si>
  <si>
    <t>GAIKE/05/24/INV-1000617</t>
  </si>
  <si>
    <t>GAIKE/05/24/INV-1000619</t>
  </si>
  <si>
    <t>59-01</t>
  </si>
  <si>
    <t>GAIKE/05/24/INV-1000620</t>
  </si>
  <si>
    <t>54-01</t>
  </si>
  <si>
    <t>GAIKE/05/24/INV-1000618</t>
  </si>
  <si>
    <t>GAIKE/05/24/INV-1000616</t>
  </si>
  <si>
    <t>GAIKE/05/24/INV-1000624</t>
  </si>
  <si>
    <t>GAIKE/05/24/INV-1000613</t>
  </si>
  <si>
    <t>DANIEL NGEI MUTHUVI</t>
  </si>
  <si>
    <t>PR/04/2022/7132776/02</t>
  </si>
  <si>
    <t>2024-05-21</t>
  </si>
  <si>
    <t>GAIKE/05/24/INV-1000702</t>
  </si>
  <si>
    <t>GAIKE/05/24/INV-1000686</t>
  </si>
  <si>
    <t>GAIKE/05/24/INV-1000677</t>
  </si>
  <si>
    <t>JONATHAN WAMBUA NGEI</t>
  </si>
  <si>
    <t>PR/04/2022/7135038/02</t>
  </si>
  <si>
    <t>GAIKE/05/24/INV-1000703</t>
  </si>
  <si>
    <t>GAIKE/05/24/INV-1000667</t>
  </si>
  <si>
    <t>MR MENON PRAMOD HARIDAS CHALISSERY</t>
  </si>
  <si>
    <t>KEA1B/IC793/24/000088/01</t>
  </si>
  <si>
    <t>GAIKE/05/24/INV-1000701</t>
  </si>
  <si>
    <t>2025-05-13</t>
  </si>
  <si>
    <t>MR STEPHEN NYAMAI MAKAU</t>
  </si>
  <si>
    <t>KEA1B/IC793/24/000089/01</t>
  </si>
  <si>
    <t>ELIKANAH WAMBUA MAITHYA</t>
  </si>
  <si>
    <t>GAIKE/05/24/INV-1000707</t>
  </si>
  <si>
    <t>MR ZABLON MUYONGA SHIKUKU</t>
  </si>
  <si>
    <t>KEA1B/IC785/24/000006/01</t>
  </si>
  <si>
    <t>FAMILY BANK BANCASSURANCE INTERMEDIARY LIMITED</t>
  </si>
  <si>
    <t>GAIKE/05/24/INV-1000691</t>
  </si>
  <si>
    <t>MRS MARGARET WAKHU AMBAISI</t>
  </si>
  <si>
    <t>KEA1B/IC785/24/000007/01</t>
  </si>
  <si>
    <t>GAIKE/05/24/INV-1000682</t>
  </si>
  <si>
    <t>KEA1B/CD332/23/000001/02</t>
  </si>
  <si>
    <t>GAIKE/05/24/INV-1000680</t>
  </si>
  <si>
    <t>2024-05-24</t>
  </si>
  <si>
    <t>2025-05-23</t>
  </si>
  <si>
    <t>TENDERSURE AFRICA SEZ LIMITED</t>
  </si>
  <si>
    <t>KEA1B/CD691/24/000001/01</t>
  </si>
  <si>
    <t>MAXINES INSURANCE AGENCY</t>
  </si>
  <si>
    <t>GAIKE/05/24/INV-1000683</t>
  </si>
  <si>
    <t>2025-05-20</t>
  </si>
  <si>
    <t>PC/04/2020/4347585/04</t>
  </si>
  <si>
    <t>GAIKE/05/24/INV-1000704</t>
  </si>
  <si>
    <t>GAIKE/05/24/INV-1000673</t>
  </si>
  <si>
    <t>GAIKE/05/24/INV-1000668</t>
  </si>
  <si>
    <t>GAIKE/05/24/INV-1000687</t>
  </si>
  <si>
    <t>GAIKE/05/24/RUF-1000071</t>
  </si>
  <si>
    <t>KE00007704102-01</t>
  </si>
  <si>
    <t>GAIKE/05/24/INV-1000697</t>
  </si>
  <si>
    <t>MR KAMLESH MULCHAND SHAH</t>
  </si>
  <si>
    <t>KEA1B/IC895/24/000016/01</t>
  </si>
  <si>
    <t>GAIKE/05/24/INV-1000705</t>
  </si>
  <si>
    <t>MS RASHMITA KAMLESH SHAH</t>
  </si>
  <si>
    <t>KEA1B/IC905/24/000009/01</t>
  </si>
  <si>
    <t>GAIKE/05/24/INV-1000694</t>
  </si>
  <si>
    <t>PC/05/2022/7214303/02</t>
  </si>
  <si>
    <t>GAIKE/05/24/INV-1000693</t>
  </si>
  <si>
    <t>GAIKE/05/24/INV-1000670</t>
  </si>
  <si>
    <t>GAIKE/05/24/INV-1000672</t>
  </si>
  <si>
    <t>GAIKE/05/24/INV-1000663</t>
  </si>
  <si>
    <t>PC/05/2021/5179276/03</t>
  </si>
  <si>
    <t>GAIKE/05/24/INV-1000688</t>
  </si>
  <si>
    <t>GAIKE/05/24/INV-1000664</t>
  </si>
  <si>
    <t>GAIKE/05/24/INV-1000666</t>
  </si>
  <si>
    <t>GAIKE/05/24/INV-1000661</t>
  </si>
  <si>
    <t>GAIKE/05/24/INV-1000662</t>
  </si>
  <si>
    <t>GAIKE/05/24/INV-1000689</t>
  </si>
  <si>
    <t>GAIKE/05/24/INV-1000685</t>
  </si>
  <si>
    <t>MISS MUSKAAN KASHIF SHAIKH</t>
  </si>
  <si>
    <t>KEA1B/IC793/24/000087/01</t>
  </si>
  <si>
    <t>GAIKE/05/24/INV-1000696</t>
  </si>
  <si>
    <t>MISS NATASHA KASHIF SHAIKH</t>
  </si>
  <si>
    <t>KEA1B/IC793/24/000086/01</t>
  </si>
  <si>
    <t>GAIKE/05/24/INV-1000692</t>
  </si>
  <si>
    <t>GAIKE/05/24/INV-1000671</t>
  </si>
  <si>
    <t>GAIKE/05/24/INV-1000684</t>
  </si>
  <si>
    <t>GAIKE/05/24/INV-1000665</t>
  </si>
  <si>
    <t>GAIKE/05/24/INV-1000675</t>
  </si>
  <si>
    <t>2024-05-22</t>
  </si>
  <si>
    <t>GAIKE/05/24/INV-1000743</t>
  </si>
  <si>
    <t>GAIKE/05/24/INV-1000714</t>
  </si>
  <si>
    <t>GAIKE/05/24/INV-1000715</t>
  </si>
  <si>
    <t>JAMES NYAMAI KILUNDA</t>
  </si>
  <si>
    <t>PR/05/2022/7317575/02</t>
  </si>
  <si>
    <t>GAIKE/05/24/INV-1000747</t>
  </si>
  <si>
    <t>2025-05-11</t>
  </si>
  <si>
    <t>GAIKE/05/24/INV-1000713</t>
  </si>
  <si>
    <t>GAIKE/05/24/INV-1000718</t>
  </si>
  <si>
    <t>GAIKE/05/24/INV-1000753</t>
  </si>
  <si>
    <t>KEA1B/CD360/23/000001/01</t>
  </si>
  <si>
    <t>GAIKE/05/24/RUF-1000072</t>
  </si>
  <si>
    <t>Other Foundation, Structure, and Building Exterior Contractors</t>
  </si>
  <si>
    <t>GAIKE/05/24/INV-1000716</t>
  </si>
  <si>
    <t>Community services</t>
  </si>
  <si>
    <t>GAIKE/05/24/INV-1000745</t>
  </si>
  <si>
    <t>MRS GLADYS BOSIBORI BICHANGA</t>
  </si>
  <si>
    <t>KEA1B/IC815/24/000016/01</t>
  </si>
  <si>
    <t>STARLED INSURANCE AGENCY</t>
  </si>
  <si>
    <t>GAIKE/05/24/INV-1000729</t>
  </si>
  <si>
    <t>GAIKE/05/24/INV-1000746</t>
  </si>
  <si>
    <t>GAIKE/05/24/INV-1000751</t>
  </si>
  <si>
    <t>GAIKE/05/24/INV-1000711</t>
  </si>
  <si>
    <t>PC/04/2021/5112029/03</t>
  </si>
  <si>
    <t>GAIKE/05/24/INV-1000728</t>
  </si>
  <si>
    <t>PC/04/2021/5136138/03</t>
  </si>
  <si>
    <t>GAIKE/05/24/INV-1000730</t>
  </si>
  <si>
    <t>PC/05/2021/5178191/03</t>
  </si>
  <si>
    <t>GAIKE/05/24/INV-1000731</t>
  </si>
  <si>
    <t>GAIKE/05/24/INV-1000710</t>
  </si>
  <si>
    <t>KE00002084400-01</t>
  </si>
  <si>
    <t>GAIKE/05/24/INV-1000723</t>
  </si>
  <si>
    <t>KE00002307900-01</t>
  </si>
  <si>
    <t>GAIKE/05/24/INV-1000724</t>
  </si>
  <si>
    <t>KE00002082800-01</t>
  </si>
  <si>
    <t>GAIKE/05/24/INV-1000725</t>
  </si>
  <si>
    <t>KE00008012800-01</t>
  </si>
  <si>
    <t>GAIKE/05/24/INV-1000726</t>
  </si>
  <si>
    <t>KE00001725500-01</t>
  </si>
  <si>
    <t>GAIKE/05/24/INV-1000727</t>
  </si>
  <si>
    <t>KE00002546100-01</t>
  </si>
  <si>
    <t>GAIKE/05/24/INV-1000712</t>
  </si>
  <si>
    <t>GAIKE/05/24/INV-1000717</t>
  </si>
  <si>
    <t>GAIKE/05/24/INV-1000748</t>
  </si>
  <si>
    <t>MR WAINAINA KIMANI</t>
  </si>
  <si>
    <t>PR/03/2015/1034688/09</t>
  </si>
  <si>
    <t>GAIKE/05/24/INV-1000722</t>
  </si>
  <si>
    <t>GAIKE/05/24/INV-1000719</t>
  </si>
  <si>
    <t xml:space="preserve">TECHPAK INDUSTRIES LIMITED </t>
  </si>
  <si>
    <t>PC/05/2015/1052529/09</t>
  </si>
  <si>
    <t>GAIKE/05/24/INV-1000720</t>
  </si>
  <si>
    <t>2025-05-19</t>
  </si>
  <si>
    <t>GAIKE/05/24/INV-1000708</t>
  </si>
  <si>
    <t>GAIKE/05/24/INV-1000750</t>
  </si>
  <si>
    <t>GAIKE/05/24/INV-1000752</t>
  </si>
  <si>
    <t>GAIKE/05/24/INV-1000754</t>
  </si>
  <si>
    <t>PC/10/2022/8228029/01</t>
  </si>
  <si>
    <t>GAIKE/05/24/INV-1000744</t>
  </si>
  <si>
    <t>GAIKE/05/24/RUF-1000074</t>
  </si>
  <si>
    <t>GAIKE/05/24/RUF-1000073</t>
  </si>
  <si>
    <t>GAIKE/05/24/INV-1000742</t>
  </si>
  <si>
    <t>GAIKE/05/24/INV-1000749</t>
  </si>
  <si>
    <t>GAIKE/05/24/RUF-1000081</t>
  </si>
  <si>
    <t>GAIKE/05/24/INV-1000838</t>
  </si>
  <si>
    <t>GAIKE/05/24/INV-1000864</t>
  </si>
  <si>
    <t>MARIAMU OMARI MURISA- HADHI PLAN</t>
  </si>
  <si>
    <t>PR/02/2021/4763101/03</t>
  </si>
  <si>
    <t>FORT INSURANCE AGENCY</t>
  </si>
  <si>
    <t>GAIKE/05/24/INV-1000839</t>
  </si>
  <si>
    <t>MS WINFRIDA WANGUI NJONJO</t>
  </si>
  <si>
    <t>KEA1B/IC895/23/000023/02</t>
  </si>
  <si>
    <t>GAIKE/05/24/INV-1000817</t>
  </si>
  <si>
    <t>PC/05/2017/1897325/07</t>
  </si>
  <si>
    <t>GAIKE/05/24/INV-1000827</t>
  </si>
  <si>
    <t>GAIKE/05/24/INV-1000873</t>
  </si>
  <si>
    <t>PC/05/2022/7271727/02</t>
  </si>
  <si>
    <t>GAIKE/05/24/INV-1000847</t>
  </si>
  <si>
    <t>GAIKE/05/24/INV-1000867</t>
  </si>
  <si>
    <t>GAIKE/05/24/INV-1000866</t>
  </si>
  <si>
    <t>331604-00-02</t>
  </si>
  <si>
    <t>GAIKE/05/24/INV-1000830</t>
  </si>
  <si>
    <t>KE00001725600-01</t>
  </si>
  <si>
    <t>GAIKE/05/24/INV-1000762</t>
  </si>
  <si>
    <t>KE00001967000-01</t>
  </si>
  <si>
    <t>GAIKE/05/24/INV-1000769</t>
  </si>
  <si>
    <t>KE00002079100-01</t>
  </si>
  <si>
    <t>GAIKE/05/24/INV-1000770</t>
  </si>
  <si>
    <t>KE00001966800-01</t>
  </si>
  <si>
    <t>GAIKE/05/24/INV-1000776</t>
  </si>
  <si>
    <t>KE00001967200-01</t>
  </si>
  <si>
    <t>GAIKE/05/24/INV-1000779</t>
  </si>
  <si>
    <t>KE00001967100-01</t>
  </si>
  <si>
    <t>GAIKE/05/24/INV-1000780</t>
  </si>
  <si>
    <t>KE00001967800-01</t>
  </si>
  <si>
    <t>GAIKE/05/24/INV-1000782</t>
  </si>
  <si>
    <t>KE00002079600-01</t>
  </si>
  <si>
    <t>GAIKE/05/24/INV-1000784</t>
  </si>
  <si>
    <t>KE00001966600-01</t>
  </si>
  <si>
    <t>GAIKE/05/24/INV-1000785</t>
  </si>
  <si>
    <t>KE00001966700-01</t>
  </si>
  <si>
    <t>GAIKE/05/24/INV-1000786</t>
  </si>
  <si>
    <t>KE00008028600-01</t>
  </si>
  <si>
    <t>GAIKE/05/24/INV-1000787</t>
  </si>
  <si>
    <t>KE00002079300-01</t>
  </si>
  <si>
    <t>GAIKE/05/24/INV-1000788</t>
  </si>
  <si>
    <t>KE00002079400-01</t>
  </si>
  <si>
    <t>GAIKE/05/24/INV-1000789</t>
  </si>
  <si>
    <t>KE00001966300-01</t>
  </si>
  <si>
    <t>GAIKE/05/24/INV-1000790</t>
  </si>
  <si>
    <t>KE00001968200-01</t>
  </si>
  <si>
    <t>GAIKE/05/24/INV-1000791</t>
  </si>
  <si>
    <t>KE00002079700-01</t>
  </si>
  <si>
    <t>GAIKE/05/24/INV-1000792</t>
  </si>
  <si>
    <t>KE00001966900-01</t>
  </si>
  <si>
    <t>GAIKE/05/24/INV-1000793</t>
  </si>
  <si>
    <t>KE00001967500-01</t>
  </si>
  <si>
    <t>GAIKE/05/24/INV-1000796</t>
  </si>
  <si>
    <t>KE00001967300-01</t>
  </si>
  <si>
    <t>GAIKE/05/24/INV-1000797</t>
  </si>
  <si>
    <t>KE00008039300-01</t>
  </si>
  <si>
    <t>GAIKE/05/24/INV-1000800</t>
  </si>
  <si>
    <t>KE00001966100-01</t>
  </si>
  <si>
    <t>GAIKE/05/24/INV-1000801</t>
  </si>
  <si>
    <t>KE00001967400-01</t>
  </si>
  <si>
    <t>GAIKE/05/24/INV-1000802</t>
  </si>
  <si>
    <t>KE00001966200-01</t>
  </si>
  <si>
    <t>GAIKE/05/24/INV-1000803</t>
  </si>
  <si>
    <t>KE00001968100-01</t>
  </si>
  <si>
    <t>GAIKE/05/24/INV-1000804</t>
  </si>
  <si>
    <t>KE00001968400-01</t>
  </si>
  <si>
    <t>GAIKE/05/24/INV-1000805</t>
  </si>
  <si>
    <t>KE00001967700-01</t>
  </si>
  <si>
    <t>GAIKE/05/24/INV-1000808</t>
  </si>
  <si>
    <t>KE00001831400-01</t>
  </si>
  <si>
    <t>GAIKE/05/24/INV-1000809</t>
  </si>
  <si>
    <t>KE00001968600-01</t>
  </si>
  <si>
    <t>GAIKE/05/24/INV-1000810</t>
  </si>
  <si>
    <t>KE00001999300-01</t>
  </si>
  <si>
    <t>GAIKE/05/24/INV-1000811</t>
  </si>
  <si>
    <t>KE00001999200-01</t>
  </si>
  <si>
    <t>GAIKE/05/24/INV-1000812</t>
  </si>
  <si>
    <t>KE00002079900-01</t>
  </si>
  <si>
    <t>GAIKE/05/24/INV-1000813</t>
  </si>
  <si>
    <t>KE00001965900-01</t>
  </si>
  <si>
    <t>GAIKE/05/24/INV-1000814</t>
  </si>
  <si>
    <t>KE00002079800-01</t>
  </si>
  <si>
    <t>GAIKE/05/24/INV-1000815</t>
  </si>
  <si>
    <t>KE00001966400-01</t>
  </si>
  <si>
    <t>GAIKE/05/24/INV-1000766</t>
  </si>
  <si>
    <t>KE00001968000-01</t>
  </si>
  <si>
    <t>GAIKE/05/24/INV-1000768</t>
  </si>
  <si>
    <t>KE00003061100-01</t>
  </si>
  <si>
    <t>GAIKE/05/24/INV-1000781</t>
  </si>
  <si>
    <t>KE00002308300-01</t>
  </si>
  <si>
    <t>GAIKE/05/24/INV-1000799</t>
  </si>
  <si>
    <t>KE00002084900-01</t>
  </si>
  <si>
    <t>GAIKE/05/24/INV-1000806</t>
  </si>
  <si>
    <t>KE00002456600-01</t>
  </si>
  <si>
    <t>GAIKE/05/24/INV-1000832</t>
  </si>
  <si>
    <t>KE00002538600-01</t>
  </si>
  <si>
    <t>GAIKE/05/24/INV-1000844</t>
  </si>
  <si>
    <t>KE00002404500-01</t>
  </si>
  <si>
    <t>GAIKE/05/24/INV-1000845</t>
  </si>
  <si>
    <t>KE00003763500-01</t>
  </si>
  <si>
    <t>GAIKE/05/24/INV-1000846</t>
  </si>
  <si>
    <t>KE00002538900-01</t>
  </si>
  <si>
    <t>GAIKE/05/24/INV-1000848</t>
  </si>
  <si>
    <t>KE00002539200-01</t>
  </si>
  <si>
    <t>GAIKE/05/24/INV-1000849</t>
  </si>
  <si>
    <t>KE00002538800-01</t>
  </si>
  <si>
    <t>GAIKE/05/24/INV-1000850</t>
  </si>
  <si>
    <t>KE00002539600-01</t>
  </si>
  <si>
    <t>GAIKE/05/24/INV-1000851</t>
  </si>
  <si>
    <t>KE00002539100-01</t>
  </si>
  <si>
    <t>GAIKE/05/24/INV-1000852</t>
  </si>
  <si>
    <t>KE00002539300-01</t>
  </si>
  <si>
    <t>GAIKE/05/24/INV-1000853</t>
  </si>
  <si>
    <t>KE00002539400-01</t>
  </si>
  <si>
    <t>GAIKE/05/24/INV-1000854</t>
  </si>
  <si>
    <t>KE00002539500-01</t>
  </si>
  <si>
    <t>GAIKE/05/24/INV-1000857</t>
  </si>
  <si>
    <t>KE00002539000-01</t>
  </si>
  <si>
    <t>GAIKE/05/24/INV-1000858</t>
  </si>
  <si>
    <t>KE00002538700-01</t>
  </si>
  <si>
    <t>GAIKE/05/24/INV-1000859</t>
  </si>
  <si>
    <t>KE00002538300-01</t>
  </si>
  <si>
    <t>GAIKE/05/24/INV-1000881</t>
  </si>
  <si>
    <t>KE00004429200-01</t>
  </si>
  <si>
    <t>GAIKE/05/24/INV-1000794</t>
  </si>
  <si>
    <t>KE00002263300-01</t>
  </si>
  <si>
    <t>GAIKE/05/24/INV-1000807</t>
  </si>
  <si>
    <t>KE00002448400-01</t>
  </si>
  <si>
    <t>GAIKE/05/24/INV-1000833</t>
  </si>
  <si>
    <t>KE00002082900-01</t>
  </si>
  <si>
    <t>GAIKE/05/24/INV-1000764</t>
  </si>
  <si>
    <t>KE00002537000-01</t>
  </si>
  <si>
    <t>GAIKE/05/24/INV-1000834</t>
  </si>
  <si>
    <t>KE00002537200-01</t>
  </si>
  <si>
    <t>GAIKE/05/24/INV-1000835</t>
  </si>
  <si>
    <t>KE00002537100-01</t>
  </si>
  <si>
    <t>GAIKE/05/24/INV-1000836</t>
  </si>
  <si>
    <t>KE00002536802-01</t>
  </si>
  <si>
    <t>GAIKE/05/24/INV-1000841</t>
  </si>
  <si>
    <t>KE00002537300-01</t>
  </si>
  <si>
    <t>GAIKE/05/24/INV-1000842</t>
  </si>
  <si>
    <t>KE00002141000-01</t>
  </si>
  <si>
    <t>GAIKE/05/24/INV-1000798</t>
  </si>
  <si>
    <t>KE00002141800-01</t>
  </si>
  <si>
    <t>GAIKE/05/24/INV-1000816</t>
  </si>
  <si>
    <t>KE00002141300-01</t>
  </si>
  <si>
    <t>GAIKE/05/24/INV-1000818</t>
  </si>
  <si>
    <t>KE00002141400-01</t>
  </si>
  <si>
    <t>GAIKE/05/24/INV-1000819</t>
  </si>
  <si>
    <t>KE00002140900-01</t>
  </si>
  <si>
    <t>GAIKE/05/24/INV-1000820</t>
  </si>
  <si>
    <t>KE00002306800-01</t>
  </si>
  <si>
    <t>GAIKE/05/24/INV-1000821</t>
  </si>
  <si>
    <t>KE00002306900-01</t>
  </si>
  <si>
    <t>GAIKE/05/24/INV-1000822</t>
  </si>
  <si>
    <t>KE00002140700-01</t>
  </si>
  <si>
    <t>GAIKE/05/24/INV-1000823</t>
  </si>
  <si>
    <t>KE00002141600-01</t>
  </si>
  <si>
    <t>GAIKE/05/24/INV-1000824</t>
  </si>
  <si>
    <t>KE00001841600-01</t>
  </si>
  <si>
    <t>GAIKE/05/24/INV-1000825</t>
  </si>
  <si>
    <t>KE00002140800-01</t>
  </si>
  <si>
    <t>GAIKE/05/24/INV-1000826</t>
  </si>
  <si>
    <t>GAIKE/05/24/INV-1000837</t>
  </si>
  <si>
    <t>KE00002536800-01</t>
  </si>
  <si>
    <t>GAIKE/05/24/INV-1000840</t>
  </si>
  <si>
    <t>KE00002545400-01</t>
  </si>
  <si>
    <t>GAIKE/05/24/INV-1000879</t>
  </si>
  <si>
    <t>KE00002545700-01</t>
  </si>
  <si>
    <t>GAIKE/05/24/INV-1000880</t>
  </si>
  <si>
    <t>KE00002546200-01</t>
  </si>
  <si>
    <t>GAIKE/05/24/INV-1000882</t>
  </si>
  <si>
    <t>KE00002864600-01</t>
  </si>
  <si>
    <t>GAIKE/05/24/INV-1000883</t>
  </si>
  <si>
    <t>KE00002546500-01</t>
  </si>
  <si>
    <t>GAIKE/05/24/INV-1000884</t>
  </si>
  <si>
    <t>KE00002456500-01</t>
  </si>
  <si>
    <t>GAIKE/05/24/INV-1000885</t>
  </si>
  <si>
    <t>KE00002546000-01</t>
  </si>
  <si>
    <t>GAIKE/05/24/INV-1000886</t>
  </si>
  <si>
    <t>KE00002545600-01</t>
  </si>
  <si>
    <t>GAIKE/05/24/INV-1000887</t>
  </si>
  <si>
    <t>KE00006405100-01</t>
  </si>
  <si>
    <t>GAIKE/05/24/INV-1000888</t>
  </si>
  <si>
    <t>KE00002546700-01</t>
  </si>
  <si>
    <t>GAIKE/05/24/INV-1000889</t>
  </si>
  <si>
    <t>KE00002545100-01</t>
  </si>
  <si>
    <t>GAIKE/05/24/INV-1000890</t>
  </si>
  <si>
    <t>KE00002546400-01</t>
  </si>
  <si>
    <t>GAIKE/05/24/INV-1000891</t>
  </si>
  <si>
    <t>KE00002447700-01</t>
  </si>
  <si>
    <t>GAIKE/05/24/INV-1000892</t>
  </si>
  <si>
    <t>KE00002447800-01</t>
  </si>
  <si>
    <t>GAIKE/05/24/INV-1000893</t>
  </si>
  <si>
    <t>KE00002547000-01</t>
  </si>
  <si>
    <t>GAIKE/05/24/INV-1000894</t>
  </si>
  <si>
    <t>KE00002545500-01</t>
  </si>
  <si>
    <t>GAIKE/05/24/INV-1000895</t>
  </si>
  <si>
    <t>KE00002546800-01</t>
  </si>
  <si>
    <t>GAIKE/05/24/INV-1000896</t>
  </si>
  <si>
    <t>KE00002545800-01</t>
  </si>
  <si>
    <t>GAIKE/05/24/INV-1000897</t>
  </si>
  <si>
    <t>KE00002545300-01</t>
  </si>
  <si>
    <t>GAIKE/05/24/INV-1000898</t>
  </si>
  <si>
    <t>KE00002447900-01</t>
  </si>
  <si>
    <t>GAIKE/05/24/INV-1000899</t>
  </si>
  <si>
    <t>KE00002263200-01</t>
  </si>
  <si>
    <t>GAIKE/05/24/INV-1000772</t>
  </si>
  <si>
    <t>KE00002263000-01</t>
  </si>
  <si>
    <t>GAIKE/05/24/INV-1000773</t>
  </si>
  <si>
    <t>KE00008020200-01</t>
  </si>
  <si>
    <t>GAIKE/05/24/INV-1000774</t>
  </si>
  <si>
    <t>KE00002262900-01</t>
  </si>
  <si>
    <t>GAIKE/05/24/INV-1000775</t>
  </si>
  <si>
    <t>KE00002263100-01</t>
  </si>
  <si>
    <t>GAIKE/05/24/INV-1000795</t>
  </si>
  <si>
    <t>KE00002591200-01</t>
  </si>
  <si>
    <t>GAIKE/05/24/INV-1000877</t>
  </si>
  <si>
    <t>KE00002598100-01</t>
  </si>
  <si>
    <t>GAIKE/05/24/INV-1000878</t>
  </si>
  <si>
    <t>GAIKE/05/24/INV-1000861</t>
  </si>
  <si>
    <t>GAIKE/05/24/INV-1000870</t>
  </si>
  <si>
    <t>GAIKE/05/24/INV-1000868</t>
  </si>
  <si>
    <t>GAIKE/05/24/INV-1000862</t>
  </si>
  <si>
    <t>GAIKE/05/24/INV-1000843</t>
  </si>
  <si>
    <t>GAIKE/05/24/INV-1000855</t>
  </si>
  <si>
    <t>GAIKE/05/24/RUF-1000078</t>
  </si>
  <si>
    <t>GAIKE/05/24/INV-1000863</t>
  </si>
  <si>
    <t>MR RAJESH PREMCHAD POPAT SHAH</t>
  </si>
  <si>
    <t>KEA1B/IC830/23/000014/02</t>
  </si>
  <si>
    <t>GAIKE/05/24/INV-1000831</t>
  </si>
  <si>
    <t>GAIKE/05/24/INV-1000869</t>
  </si>
  <si>
    <t>GAIKE/05/24/INV-1000971</t>
  </si>
  <si>
    <t>GAIKE/05/24/RUF-1000096</t>
  </si>
  <si>
    <t>GAIKE/05/24/INV-1000977</t>
  </si>
  <si>
    <t>GAIKE/05/24/INV-1000976</t>
  </si>
  <si>
    <t>GAIKE/05/24/INV-1000919</t>
  </si>
  <si>
    <t>GAIKE/05/24/INV-1000965</t>
  </si>
  <si>
    <t>PC/05/2022/7312413/02</t>
  </si>
  <si>
    <t>GAIKE/05/24/INV-1000945</t>
  </si>
  <si>
    <t>2024-05-26</t>
  </si>
  <si>
    <t>2025-05-25</t>
  </si>
  <si>
    <t>MR WALIA ROOPINDER SINGH</t>
  </si>
  <si>
    <t>KEA1B/IC905/24/000010/01</t>
  </si>
  <si>
    <t>GAIKE/05/24/INV-1000925</t>
  </si>
  <si>
    <t>GAIKE/05/24/INV-1000922</t>
  </si>
  <si>
    <t>NULL RAVINDER SINGH BHARJ</t>
  </si>
  <si>
    <t>KEA1B/IC793/24/000091/01</t>
  </si>
  <si>
    <t>GAIKE/05/24/INV-1000938</t>
  </si>
  <si>
    <t>KEA1B/CD352/23/000001/01</t>
  </si>
  <si>
    <t>GAIKE/05/24/INV-1000968</t>
  </si>
  <si>
    <t>GAIKE/05/24/INV-1000990</t>
  </si>
  <si>
    <t>GAIKE/05/24/INV-1000967</t>
  </si>
  <si>
    <t>GAIKE/05/24/INV-1000980</t>
  </si>
  <si>
    <t>GAIKE/05/24/RUF-1000098</t>
  </si>
  <si>
    <t>708919-00-02</t>
  </si>
  <si>
    <t>GAIKE/05/24/INV-1000929</t>
  </si>
  <si>
    <t>597653-00-02</t>
  </si>
  <si>
    <t>GAIKE/05/24/INV-1000931</t>
  </si>
  <si>
    <t>597654-00-02</t>
  </si>
  <si>
    <t>GAIKE/05/24/INV-1000932</t>
  </si>
  <si>
    <t>597634-02</t>
  </si>
  <si>
    <t>GAIKE/05/24/INV-1000939</t>
  </si>
  <si>
    <t>598456-00-02</t>
  </si>
  <si>
    <t>GAIKE/05/24/INV-1000956</t>
  </si>
  <si>
    <t>597655-00-02</t>
  </si>
  <si>
    <t>GAIKE/05/24/INV-1000958</t>
  </si>
  <si>
    <t>GAIKE/05/24/INV-1000969</t>
  </si>
  <si>
    <t>440437-00-01</t>
  </si>
  <si>
    <t>GAIKE/05/24/INV-1000940</t>
  </si>
  <si>
    <t>PC/08/2021/5645172/02</t>
  </si>
  <si>
    <t>GAIKE/05/24/INV-1000991</t>
  </si>
  <si>
    <t>2023-08-25</t>
  </si>
  <si>
    <t>2024-08-24</t>
  </si>
  <si>
    <t>GAIKE/05/24/RUF-1000097</t>
  </si>
  <si>
    <t>KE00002454600-01</t>
  </si>
  <si>
    <t>GAIKE/05/24/INV-1000951</t>
  </si>
  <si>
    <t>KE00002455000-01</t>
  </si>
  <si>
    <t>GAIKE/05/24/INV-1000955</t>
  </si>
  <si>
    <t>KE00004199400-01</t>
  </si>
  <si>
    <t>GAIKE/05/24/INV-1000959</t>
  </si>
  <si>
    <t>KE00001689900-01</t>
  </si>
  <si>
    <t>GAIKE/05/24/INV-1000933</t>
  </si>
  <si>
    <t>626028-00-01</t>
  </si>
  <si>
    <t>GAIKE/05/24/INV-1000921</t>
  </si>
  <si>
    <t>MR MANISHKUMAR HARIBHAI PATEL</t>
  </si>
  <si>
    <t>KEA1B/IC781/24/000042/01</t>
  </si>
  <si>
    <t>GAIKE/05/24/INV-1000927</t>
  </si>
  <si>
    <t>MR SHILPAN MANISHKUMAR PATEL</t>
  </si>
  <si>
    <t>KEA1B/IC793/24/000090/01</t>
  </si>
  <si>
    <t>GAIKE/05/24/INV-1000926</t>
  </si>
  <si>
    <t>GAIKE/05/24/INV-1000920</t>
  </si>
  <si>
    <t>GAIKE/05/24/INV-1000962</t>
  </si>
  <si>
    <t>PC/10/2021/5829061/01</t>
  </si>
  <si>
    <t>GAIKE/05/24/RUF-1000099</t>
  </si>
  <si>
    <t>2022-10-08</t>
  </si>
  <si>
    <t>GAIKE/05/24/INV-1000975</t>
  </si>
  <si>
    <t>GAIKE/05/24/INV-1000993</t>
  </si>
  <si>
    <t>GAIKE/05/24/RUF-1000094</t>
  </si>
  <si>
    <t>GAIKE/05/24/INV-1000979</t>
  </si>
  <si>
    <t>GAIKE/05/24/RUF-1000095</t>
  </si>
  <si>
    <t>GAIKE/05/24/INV-1000972</t>
  </si>
  <si>
    <t>GAIKE/05/24/INV-1000987</t>
  </si>
  <si>
    <t>GAIKE/05/24/RUF-1000085</t>
  </si>
  <si>
    <t>GAIKE/05/24/RUF-1000092</t>
  </si>
  <si>
    <t>GAIKE/05/24/RUF-1000087</t>
  </si>
  <si>
    <t>GAIKE/05/24/RUF-1000086</t>
  </si>
  <si>
    <t>GAIKE/05/24/RUF-1000091</t>
  </si>
  <si>
    <t>GAIKE/05/24/INV-1000935</t>
  </si>
  <si>
    <t>GAIKE/05/24/INV-1000992</t>
  </si>
  <si>
    <t>717475-00-01</t>
  </si>
  <si>
    <t>GAIKE/05/24/INV-1000995</t>
  </si>
  <si>
    <t>717474-00-01</t>
  </si>
  <si>
    <t>GAIKE/05/24/INV-1000996</t>
  </si>
  <si>
    <t>716323-02</t>
  </si>
  <si>
    <t>GAIKE/05/24/INV-1000997</t>
  </si>
  <si>
    <t>KE00007143900-01</t>
  </si>
  <si>
    <t>GAIKE/05/24/INV-1000998</t>
  </si>
  <si>
    <t>KE00002454500-01</t>
  </si>
  <si>
    <t>GAIKE/05/24/INV-1001001</t>
  </si>
  <si>
    <t>KE00002454900-01</t>
  </si>
  <si>
    <t>GAIKE/05/24/INV-1001002</t>
  </si>
  <si>
    <t>KE00002538400-01</t>
  </si>
  <si>
    <t>GAIKE/05/24/INV-1000999</t>
  </si>
  <si>
    <t>KE00002538500-01</t>
  </si>
  <si>
    <t>GAIKE/05/24/INV-1001000</t>
  </si>
  <si>
    <t>AVOAFRICA OIL INDUSTRIES LIMITED</t>
  </si>
  <si>
    <t>KEA1B/C1697/24/000002/01</t>
  </si>
  <si>
    <t>2024-05-27</t>
  </si>
  <si>
    <t>GAIKE/05/24/INV-1001101</t>
  </si>
  <si>
    <t>GAIKE/05/24/INV-1001113</t>
  </si>
  <si>
    <t>GAIKE/05/24/INV-1001116</t>
  </si>
  <si>
    <t>GAIKE/05/24/INV-1001117</t>
  </si>
  <si>
    <t>KEA1B/CD346/23/000001/02</t>
  </si>
  <si>
    <t>GAIKE/05/24/INV-1001090</t>
  </si>
  <si>
    <t>Technology Hardware and Equipment</t>
  </si>
  <si>
    <t>GAIKE/05/24/RUF-1000104</t>
  </si>
  <si>
    <t>GAIKE/05/24/INV-1001082</t>
  </si>
  <si>
    <t>GAIKE/05/24/INV-1001079</t>
  </si>
  <si>
    <t>GAIKE/05/24/INV-1001120</t>
  </si>
  <si>
    <t>GAIKE/05/24/INVR-1000925</t>
  </si>
  <si>
    <t>GAIKE/05/24/INV-1001100</t>
  </si>
  <si>
    <t>GAIKE/05/24/INVR-1000922</t>
  </si>
  <si>
    <t>GAIKE/05/24/INV-1001110</t>
  </si>
  <si>
    <t>GAIKE/05/24/INV-1001085</t>
  </si>
  <si>
    <t>GAIKE/05/24/INV-1001109</t>
  </si>
  <si>
    <t>PC/04/2015/1042763/08</t>
  </si>
  <si>
    <t>GAIKE/05/24/RUF-1000107</t>
  </si>
  <si>
    <t>GAIKE/05/24/INV-1001115</t>
  </si>
  <si>
    <t>2023-06-17</t>
  </si>
  <si>
    <t>2024-06-16</t>
  </si>
  <si>
    <t>GAIKE/05/24/INV-1001106</t>
  </si>
  <si>
    <t>1349-02</t>
  </si>
  <si>
    <t>GAIKE/05/24/INV-1001012</t>
  </si>
  <si>
    <t>1342-02</t>
  </si>
  <si>
    <t>GAIKE/05/24/INV-1001013</t>
  </si>
  <si>
    <t>457701-00-02</t>
  </si>
  <si>
    <t>GAIKE/05/24/INV-1001014</t>
  </si>
  <si>
    <t>717353-00-02</t>
  </si>
  <si>
    <t>GAIKE/05/24/INV-1001015</t>
  </si>
  <si>
    <t>2025-05-31</t>
  </si>
  <si>
    <t>KE00003732902-01</t>
  </si>
  <si>
    <t>GAIKE/05/24/INV-1001016</t>
  </si>
  <si>
    <t>717242-00-02</t>
  </si>
  <si>
    <t>GAIKE/05/24/INV-1001017</t>
  </si>
  <si>
    <t>717049-00-02</t>
  </si>
  <si>
    <t>GAIKE/05/24/INV-1001018</t>
  </si>
  <si>
    <t>1266-02</t>
  </si>
  <si>
    <t>GAIKE/05/24/INV-1001019</t>
  </si>
  <si>
    <t>428453-00-01</t>
  </si>
  <si>
    <t>GAIKE/05/24/INV-1001020</t>
  </si>
  <si>
    <t>203-02</t>
  </si>
  <si>
    <t>GAIKE/05/24/INV-1001021</t>
  </si>
  <si>
    <t>198780-01</t>
  </si>
  <si>
    <t>GAIKE/05/24/INV-1001022</t>
  </si>
  <si>
    <t>31775-01</t>
  </si>
  <si>
    <t>GAIKE/05/24/INV-1001023</t>
  </si>
  <si>
    <t>543023-00-02</t>
  </si>
  <si>
    <t>GAIKE/05/24/INV-1001024</t>
  </si>
  <si>
    <t>717352-00-02</t>
  </si>
  <si>
    <t>GAIKE/05/24/INV-1001025</t>
  </si>
  <si>
    <t>428145-00-02</t>
  </si>
  <si>
    <t>GAIKE/05/24/INV-1001026</t>
  </si>
  <si>
    <t>428141-00-02</t>
  </si>
  <si>
    <t>GAIKE/05/24/INV-1001027</t>
  </si>
  <si>
    <t>KE00003448601-01</t>
  </si>
  <si>
    <t>GAIKE/05/24/INV-1001028</t>
  </si>
  <si>
    <t>597533-00-02</t>
  </si>
  <si>
    <t>GAIKE/05/24/INV-1001029</t>
  </si>
  <si>
    <t>429430-00-02</t>
  </si>
  <si>
    <t>GAIKE/05/24/INV-1001030</t>
  </si>
  <si>
    <t>587657-00-02</t>
  </si>
  <si>
    <t>GAIKE/05/24/INV-1001031</t>
  </si>
  <si>
    <t>477891-00-02</t>
  </si>
  <si>
    <t>GAIKE/05/24/INV-1001032</t>
  </si>
  <si>
    <t>477343-00-02</t>
  </si>
  <si>
    <t>GAIKE/05/24/INV-1001033</t>
  </si>
  <si>
    <t>477342-00-02</t>
  </si>
  <si>
    <t>GAIKE/05/24/INV-1001034</t>
  </si>
  <si>
    <t>597570-00-02</t>
  </si>
  <si>
    <t>GAIKE/05/24/INV-1001035</t>
  </si>
  <si>
    <t>253-02</t>
  </si>
  <si>
    <t>GAIKE/05/24/INV-1001036</t>
  </si>
  <si>
    <t>597578-00-02</t>
  </si>
  <si>
    <t>GAIKE/05/24/INV-1001037</t>
  </si>
  <si>
    <t>150-02</t>
  </si>
  <si>
    <t>GAIKE/05/24/INV-1001038</t>
  </si>
  <si>
    <t>1347-02</t>
  </si>
  <si>
    <t>GAIKE/05/24/INV-1001040</t>
  </si>
  <si>
    <t>717276-00-02</t>
  </si>
  <si>
    <t>GAIKE/05/24/INV-1001041</t>
  </si>
  <si>
    <t>1236-02</t>
  </si>
  <si>
    <t>GAIKE/05/24/INV-1001043</t>
  </si>
  <si>
    <t>11282-02</t>
  </si>
  <si>
    <t>GAIKE/05/24/INV-1001044</t>
  </si>
  <si>
    <t>KE00003369003-01</t>
  </si>
  <si>
    <t>GAIKE/05/24/INV-1001045</t>
  </si>
  <si>
    <t>477336-00-02</t>
  </si>
  <si>
    <t>GAIKE/05/24/INV-1001046</t>
  </si>
  <si>
    <t>477339-00-02</t>
  </si>
  <si>
    <t>GAIKE/05/24/INV-1001047</t>
  </si>
  <si>
    <t>597574-00-02</t>
  </si>
  <si>
    <t>GAIKE/05/24/INV-1001048</t>
  </si>
  <si>
    <t>652222-00-01</t>
  </si>
  <si>
    <t>GAIKE/05/24/INV-1001050</t>
  </si>
  <si>
    <t>733466-00-01</t>
  </si>
  <si>
    <t>GAIKE/05/24/INV-1001051</t>
  </si>
  <si>
    <t>733293-00-01</t>
  </si>
  <si>
    <t>GAIKE/05/24/INV-1001052</t>
  </si>
  <si>
    <t>542610-00-02</t>
  </si>
  <si>
    <t>GAIKE/05/24/INV-1001053</t>
  </si>
  <si>
    <t>2378-01</t>
  </si>
  <si>
    <t>GAIKE/05/24/INV-1001054</t>
  </si>
  <si>
    <t>239-02</t>
  </si>
  <si>
    <t>GAIKE/05/24/INV-1001055</t>
  </si>
  <si>
    <t>1280-02</t>
  </si>
  <si>
    <t>GAIKE/05/24/INV-1001056</t>
  </si>
  <si>
    <t>1281-02</t>
  </si>
  <si>
    <t>GAIKE/05/24/INV-1001057</t>
  </si>
  <si>
    <t>1282-02</t>
  </si>
  <si>
    <t>GAIKE/05/24/INV-1001058</t>
  </si>
  <si>
    <t>1283-02</t>
  </si>
  <si>
    <t>GAIKE/05/24/INV-1001059</t>
  </si>
  <si>
    <t>715966-00-02</t>
  </si>
  <si>
    <t>GAIKE/05/24/INV-1001060</t>
  </si>
  <si>
    <t>8552584-02</t>
  </si>
  <si>
    <t>GAIKE/05/24/INV-1001061</t>
  </si>
  <si>
    <t>2025-01-01</t>
  </si>
  <si>
    <t>2025-12-31</t>
  </si>
  <si>
    <t>597597-00-03</t>
  </si>
  <si>
    <t>GAIKE/05/24/INV-1001062</t>
  </si>
  <si>
    <t>2026-04-30</t>
  </si>
  <si>
    <t>597599-00-02</t>
  </si>
  <si>
    <t>GAIKE/05/24/INV-1001063</t>
  </si>
  <si>
    <t>597600-00-02</t>
  </si>
  <si>
    <t>GAIKE/05/24/INV-1001064</t>
  </si>
  <si>
    <t>713706-00-02</t>
  </si>
  <si>
    <t>GAIKE/05/24/INV-1001065</t>
  </si>
  <si>
    <t>KE00002062200-02</t>
  </si>
  <si>
    <t>GAIKE/05/24/INV-1001066</t>
  </si>
  <si>
    <t>KE00002062300-02</t>
  </si>
  <si>
    <t>GAIKE/05/24/INV-1001067</t>
  </si>
  <si>
    <t>KE00002062500-02</t>
  </si>
  <si>
    <t>GAIKE/05/24/INV-1001068</t>
  </si>
  <si>
    <t>KE00002062600-02</t>
  </si>
  <si>
    <t>GAIKE/05/24/INV-1001069</t>
  </si>
  <si>
    <t>717341-00-01</t>
  </si>
  <si>
    <t>GAIKE/05/24/INV-1001070</t>
  </si>
  <si>
    <t>98889655-02</t>
  </si>
  <si>
    <t>GAIKE/05/24/INV-1001071</t>
  </si>
  <si>
    <t>9788892-02</t>
  </si>
  <si>
    <t>GAIKE/05/24/INV-1001072</t>
  </si>
  <si>
    <t>978858-02</t>
  </si>
  <si>
    <t>GAIKE/05/24/INV-1001073</t>
  </si>
  <si>
    <t>2785958-02</t>
  </si>
  <si>
    <t>GAIKE/05/24/INV-1001074</t>
  </si>
  <si>
    <t>8788411-02</t>
  </si>
  <si>
    <t>GAIKE/05/24/INV-1001075</t>
  </si>
  <si>
    <t>GAIKE/05/24/RUF-1000105</t>
  </si>
  <si>
    <t>GAIKE/05/24/INV-1001114</t>
  </si>
  <si>
    <t>GAIKE/05/24/INV-1001105</t>
  </si>
  <si>
    <t>GAIKE/05/24/RUF-1000103</t>
  </si>
  <si>
    <t>KE00002403400-01</t>
  </si>
  <si>
    <t>GAIKE/05/24/INV-1001119</t>
  </si>
  <si>
    <t>KE00002403700-01</t>
  </si>
  <si>
    <t>GAIKE/05/24/INV-1001121</t>
  </si>
  <si>
    <t>GAIKE/05/24/INV-1001123</t>
  </si>
  <si>
    <t>KSEMBI INS BROKERS LTD STAFF</t>
  </si>
  <si>
    <t>KEA1B/CD703/24/000001/01</t>
  </si>
  <si>
    <t>GAIKE/05/24/INV-1001124</t>
  </si>
  <si>
    <t>MR DIPESH MANSUKHLAL GOSRANI</t>
  </si>
  <si>
    <t>KEA1B/IC793/24/000092/01</t>
  </si>
  <si>
    <t>GAIKE/05/24/INV-1001039</t>
  </si>
  <si>
    <t>2025-05-08</t>
  </si>
  <si>
    <t>TRADEWINDS LOGISTICS LIMITED</t>
  </si>
  <si>
    <t>KEA1B/CD701/24/000001/01</t>
  </si>
  <si>
    <t>GAIKE/05/24/INV-1001112</t>
  </si>
  <si>
    <t>GAIKE/05/24/RUF-1000106</t>
  </si>
  <si>
    <t>GAIKE/05/24/INV-1001107</t>
  </si>
  <si>
    <t>GAIKE/05/24/INV-1001081</t>
  </si>
  <si>
    <t>GAIKE/05/24/INV-1001087</t>
  </si>
  <si>
    <t>GAIKE/05/24/INV-1001103</t>
  </si>
  <si>
    <t>2024-05-28</t>
  </si>
  <si>
    <t>GAIKE/05/24/INVR-1001101</t>
  </si>
  <si>
    <t>GAIKE/05/24/INV-1001157</t>
  </si>
  <si>
    <t>GAIKE/05/24/INV-1001138</t>
  </si>
  <si>
    <t>GAIKE/05/24/INVR-1000235</t>
  </si>
  <si>
    <t>GAIKE/05/24/INV-1001194</t>
  </si>
  <si>
    <t>GAIKE/05/24/INVR-1000839</t>
  </si>
  <si>
    <t>GAIKE/05/24/INV-1001160</t>
  </si>
  <si>
    <t>MRS MARGARET OTANGO BWANA</t>
  </si>
  <si>
    <t>KEA1B/IC785/24/000008/01</t>
  </si>
  <si>
    <t>GAIKE/05/24/INV-1001163</t>
  </si>
  <si>
    <t>REBECCA GICHERU</t>
  </si>
  <si>
    <t>PR/05/2021/5223489/03</t>
  </si>
  <si>
    <t>JACKLINE W N NJERU</t>
  </si>
  <si>
    <t>GAIKE/05/24/INV-1001191</t>
  </si>
  <si>
    <t>GAIKE/05/24/INV-1001142</t>
  </si>
  <si>
    <t>GAIKE/05/24/INV-1001139</t>
  </si>
  <si>
    <t>GAIKE/05/24/INV-1001162</t>
  </si>
  <si>
    <t>UNITED FREIGHT LOGISTICS LIMITED</t>
  </si>
  <si>
    <t>KEA1B/C1697/24/000003/01</t>
  </si>
  <si>
    <t>GAIKE/05/24/INV-1001145</t>
  </si>
  <si>
    <t>GAIKE/05/24/INV-1001195</t>
  </si>
  <si>
    <t>GAIKE/05/24/INV-1001196</t>
  </si>
  <si>
    <t>GAIKE/05/24/INV-1001197</t>
  </si>
  <si>
    <t>GAIKE/05/24/RUF-1000113</t>
  </si>
  <si>
    <t>GAIKE/05/24/RUF-1000115</t>
  </si>
  <si>
    <t>GAIKE/05/24/RUF-1000117</t>
  </si>
  <si>
    <t>PC/04/2015/1042763/09</t>
  </si>
  <si>
    <t>GAIKE/05/24/INV-1001186</t>
  </si>
  <si>
    <t>GAIKE/05/24/INV-1001158</t>
  </si>
  <si>
    <t>GAIKE/05/24/INV-1001141</t>
  </si>
  <si>
    <t>195-01</t>
  </si>
  <si>
    <t>GAIKE/05/24/INV-1001168</t>
  </si>
  <si>
    <t>194-01</t>
  </si>
  <si>
    <t>GAIKE/05/24/INV-1001178</t>
  </si>
  <si>
    <t>192-01</t>
  </si>
  <si>
    <t>GAIKE/05/24/INV-1001180</t>
  </si>
  <si>
    <t>196-01</t>
  </si>
  <si>
    <t>GAIKE/05/24/INV-1001181</t>
  </si>
  <si>
    <t>193-01</t>
  </si>
  <si>
    <t>GAIKE/05/24/INV-1001183</t>
  </si>
  <si>
    <t>KE00002403600-01</t>
  </si>
  <si>
    <t>GAIKE/05/24/INV-1001187</t>
  </si>
  <si>
    <t>178-01</t>
  </si>
  <si>
    <t>GAIKE/05/24/INV-1001148</t>
  </si>
  <si>
    <t>177-01</t>
  </si>
  <si>
    <t>GAIKE/05/24/INV-1001182</t>
  </si>
  <si>
    <t>176-01</t>
  </si>
  <si>
    <t>GAIKE/05/24/INV-1001185</t>
  </si>
  <si>
    <t>94-01</t>
  </si>
  <si>
    <t>GAIKE/05/24/INV-1001169</t>
  </si>
  <si>
    <t>93-01</t>
  </si>
  <si>
    <t>GAIKE/05/24/INV-1001175</t>
  </si>
  <si>
    <t>92-01</t>
  </si>
  <si>
    <t>GAIKE/05/24/INV-1001177</t>
  </si>
  <si>
    <t>91-01</t>
  </si>
  <si>
    <t>GAIKE/05/24/INV-1001179</t>
  </si>
  <si>
    <t>30-01</t>
  </si>
  <si>
    <t>GAIKE/05/24/INV-1001173</t>
  </si>
  <si>
    <t>29-01</t>
  </si>
  <si>
    <t>GAIKE/05/24/INV-1001174</t>
  </si>
  <si>
    <t>MR HIRANI DIPESH KALYAN</t>
  </si>
  <si>
    <t>PC/04/2020/4003100/04</t>
  </si>
  <si>
    <t>GAIKE/05/24/INV-1001136</t>
  </si>
  <si>
    <t>2025-04-29</t>
  </si>
  <si>
    <t>MR HITENDRAKUMAR AMBALAL PATEL</t>
  </si>
  <si>
    <t>PC/05/2020/4052582/04</t>
  </si>
  <si>
    <t>GAIKE/05/24/INV-1001156</t>
  </si>
  <si>
    <t>MR JAYESHKUMAR VINUBHAI PATEL</t>
  </si>
  <si>
    <t>PC/05/2020/4052635/04</t>
  </si>
  <si>
    <t>GAIKE/05/24/INV-1001154</t>
  </si>
  <si>
    <t>MR RAMESH NARANJI  HALAI</t>
  </si>
  <si>
    <t>PC/01/2021/4720021/03</t>
  </si>
  <si>
    <t>GAIKE/05/24/INV-1001149</t>
  </si>
  <si>
    <t>MR URVASHI KAUSHIK  PATEL</t>
  </si>
  <si>
    <t>PC/05/2020/4006204/04</t>
  </si>
  <si>
    <t>GAIKE/05/24/INV-1001147</t>
  </si>
  <si>
    <t>2025-05-21</t>
  </si>
  <si>
    <t>GAIKE/05/24/INVR-1001147</t>
  </si>
  <si>
    <t>MR VARSANI PARBAT  KUVARJI</t>
  </si>
  <si>
    <t>PC/04/2021/5136541/03</t>
  </si>
  <si>
    <t>GAIKE/05/24/INV-1001135</t>
  </si>
  <si>
    <t>GAIKE/05/24/INV-1001143</t>
  </si>
  <si>
    <t>GAIKE/05/24/INV-1001159</t>
  </si>
  <si>
    <t>PANKAJ MANSUKHLAL NAKAR</t>
  </si>
  <si>
    <t>PC/05/2021/5228242/03</t>
  </si>
  <si>
    <t>GAIKE/05/24/INV-1001137</t>
  </si>
  <si>
    <t>GAIKE/05/24/INV-1001144</t>
  </si>
  <si>
    <t>VISHAL HITENDRA BHOJANI</t>
  </si>
  <si>
    <t>PC/05/2020/4053769/04</t>
  </si>
  <si>
    <t>GAIKE/05/24/INV-1001146</t>
  </si>
  <si>
    <t>GAIKE/05/24/INV-1001140</t>
  </si>
  <si>
    <t>GAIKE/05/24/INV-1001161</t>
  </si>
  <si>
    <t>GAIKE/05/24/INV-1001166</t>
  </si>
  <si>
    <t>2024-05-29</t>
  </si>
  <si>
    <t>GAIKE/05/24/INV-1001228</t>
  </si>
  <si>
    <t>GAIKE/05/24/INV-1001229</t>
  </si>
  <si>
    <t>GAIKE/05/24/INV-1001230</t>
  </si>
  <si>
    <t>GAIKE/05/24/INV-1001204</t>
  </si>
  <si>
    <t>GAIKE/05/24/RUF-1000119</t>
  </si>
  <si>
    <t>MR KARTIKEYA PRAMOD JOSHI</t>
  </si>
  <si>
    <t>KEA1B/IC781/24/000043/01</t>
  </si>
  <si>
    <t>GAIKE/05/24/INV-1001220</t>
  </si>
  <si>
    <t>GAIKE/05/24/INV-1001232</t>
  </si>
  <si>
    <t>GAIKE/05/24/INVR-1000540</t>
  </si>
  <si>
    <t>AFRAH BALALA</t>
  </si>
  <si>
    <t>PR/05/2021/5176721/03</t>
  </si>
  <si>
    <t>GAIKE/05/24/INV-1001211</t>
  </si>
  <si>
    <t>GAIKE/05/24/INV-1001207</t>
  </si>
  <si>
    <t>GAIKE/05/24/INV-1001225</t>
  </si>
  <si>
    <t>GAIKE/05/24/RUF-1000121</t>
  </si>
  <si>
    <t>GAIKE/05/24/INV-1001237</t>
  </si>
  <si>
    <t>GAIKE/05/24/INV-1001201</t>
  </si>
  <si>
    <t>DAVINDER SINGH  KALSI</t>
  </si>
  <si>
    <t>PR/04/2022/7018602/02</t>
  </si>
  <si>
    <t>GACHICHIO INSURANCE  BROKERS LIMITED</t>
  </si>
  <si>
    <t>GAIKE/05/24/INV-1001234</t>
  </si>
  <si>
    <t>PR/04/2021/5200266/03</t>
  </si>
  <si>
    <t>GAIKE/05/24/INV-1001236</t>
  </si>
  <si>
    <t>KE00001627200-01</t>
  </si>
  <si>
    <t>GAIKE/05/24/INV-1001247</t>
  </si>
  <si>
    <t>206-01</t>
  </si>
  <si>
    <t>GAIKE/05/24/INV-1001248</t>
  </si>
  <si>
    <t>207-01</t>
  </si>
  <si>
    <t>GAIKE/05/24/INV-1001249</t>
  </si>
  <si>
    <t>208-01</t>
  </si>
  <si>
    <t>GAIKE/05/24/INV-1001250</t>
  </si>
  <si>
    <t>209-01</t>
  </si>
  <si>
    <t>GAIKE/05/24/INV-1001251</t>
  </si>
  <si>
    <t>210-01</t>
  </si>
  <si>
    <t>GAIKE/05/24/INV-1001252</t>
  </si>
  <si>
    <t>211-01</t>
  </si>
  <si>
    <t>GAIKE/05/24/INV-1001253</t>
  </si>
  <si>
    <t>212-01</t>
  </si>
  <si>
    <t>GAIKE/05/24/INV-1001254</t>
  </si>
  <si>
    <t>213-01</t>
  </si>
  <si>
    <t>GAIKE/05/24/INV-1001255</t>
  </si>
  <si>
    <t>219-01</t>
  </si>
  <si>
    <t>GAIKE/05/24/INV-1001256</t>
  </si>
  <si>
    <t>KE00003410100-01</t>
  </si>
  <si>
    <t>GAIKE/05/24/INV-1001246</t>
  </si>
  <si>
    <t>GAIKE/05/24/INVR-1001135</t>
  </si>
  <si>
    <t>NULL HARSH SANJAY GUPTA</t>
  </si>
  <si>
    <t>KEA1B/IC799/24/000001/01</t>
  </si>
  <si>
    <t>GAIKE/05/24/INV-1001235</t>
  </si>
  <si>
    <t>KEA1B/IC799/24/000001/02</t>
  </si>
  <si>
    <t>GAIKE/05/24/INV-1001240</t>
  </si>
  <si>
    <t>GAIKE/05/24/INV-1001222</t>
  </si>
  <si>
    <t>GAIKE/05/24/INV-1001224</t>
  </si>
  <si>
    <t>GAIKE/05/24/RUF-1000123</t>
  </si>
  <si>
    <t>GAIKE/05/24/INV-1001227</t>
  </si>
  <si>
    <t>GAIKE/05/24/INV-1001238</t>
  </si>
  <si>
    <t>GAIKE/05/24/INV-1001223</t>
  </si>
  <si>
    <t>GAIKE/05/24/INV-1001233</t>
  </si>
  <si>
    <t>GAIKE/05/24/INV-1001239</t>
  </si>
  <si>
    <t>GAIKE/05/24/INV-1001231</t>
  </si>
  <si>
    <t>UNITED WOMEN SACCO</t>
  </si>
  <si>
    <t>KEA1B/CD707/24/000001/01</t>
  </si>
  <si>
    <t>GAIKE/05/24/INV-1001205</t>
  </si>
  <si>
    <t>2025-05-27</t>
  </si>
  <si>
    <t>318-02</t>
  </si>
  <si>
    <t>GAIKE/05/24/INV-1001304</t>
  </si>
  <si>
    <t>317-02</t>
  </si>
  <si>
    <t>GAIKE/05/24/INV-1001305</t>
  </si>
  <si>
    <t>309-02</t>
  </si>
  <si>
    <t>GAIKE/05/24/INV-1001306</t>
  </si>
  <si>
    <t>311-02</t>
  </si>
  <si>
    <t>GAIKE/05/24/INV-1001307</t>
  </si>
  <si>
    <t>308-02</t>
  </si>
  <si>
    <t>GAIKE/05/24/INV-1001308</t>
  </si>
  <si>
    <t>711346-00-01</t>
  </si>
  <si>
    <t>GAIKE/05/24/INV-1001309</t>
  </si>
  <si>
    <t>GAIKE/05/24/INV-1001340</t>
  </si>
  <si>
    <t>GAIKE/05/24/INV-1001390</t>
  </si>
  <si>
    <t>GAIKE/05/24/RUF-1000138</t>
  </si>
  <si>
    <t>MISS EMMA NAMUMA CHERUTO.</t>
  </si>
  <si>
    <t>KEA1B/IC821/24/000005/01</t>
  </si>
  <si>
    <t>GAIKE/05/24/INV-1001377</t>
  </si>
  <si>
    <t>MRS SHEIKHA MOHAMMED LUGOGO</t>
  </si>
  <si>
    <t>KEA1B/IC830/24/000019/01</t>
  </si>
  <si>
    <t>GAIKE/05/24/INV-1001352</t>
  </si>
  <si>
    <t>2025-05-28</t>
  </si>
  <si>
    <t>GAIKE/05/24/RUF-1000131</t>
  </si>
  <si>
    <t>87-02</t>
  </si>
  <si>
    <t>GAIKE/05/24/INV-1001310</t>
  </si>
  <si>
    <t>685-02</t>
  </si>
  <si>
    <t>GAIKE/05/24/INV-1001311</t>
  </si>
  <si>
    <t>KE00006923500-01</t>
  </si>
  <si>
    <t>GAIKE/05/24/INV-1001298</t>
  </si>
  <si>
    <t>KE00006923700-01</t>
  </si>
  <si>
    <t>GAIKE/05/24/INV-1001299</t>
  </si>
  <si>
    <t>KE00006924800-01</t>
  </si>
  <si>
    <t>GAIKE/05/24/INV-1001300</t>
  </si>
  <si>
    <t>KE00006931300-01</t>
  </si>
  <si>
    <t>GAIKE/05/24/INV-1001301</t>
  </si>
  <si>
    <t>KE00006928500-01</t>
  </si>
  <si>
    <t>GAIKE/05/24/INV-1001302</t>
  </si>
  <si>
    <t>KE00006930200-01</t>
  </si>
  <si>
    <t>GAIKE/05/24/INV-1001303</t>
  </si>
  <si>
    <t>GAIKE/05/24/INV-1001388</t>
  </si>
  <si>
    <t>GAIKE/05/24/INV-1001393</t>
  </si>
  <si>
    <t>GAIKE/05/24/RUF-1000134</t>
  </si>
  <si>
    <t>GAIKE/05/24/RUF-1000129</t>
  </si>
  <si>
    <t>GAIKE/05/24/RUF-1000132</t>
  </si>
  <si>
    <t>GAIKE/05/24/RUF-1000135</t>
  </si>
  <si>
    <t>717476-00-01</t>
  </si>
  <si>
    <t>GAIKE/05/24/INV-1001320</t>
  </si>
  <si>
    <t>GAIKE/05/24/RUF-1000130</t>
  </si>
  <si>
    <t>GAIKE/05/24/INV-1001335</t>
  </si>
  <si>
    <t>PC/01/2020/4064362/04</t>
  </si>
  <si>
    <t>GAIKE/05/24/INV-1001344</t>
  </si>
  <si>
    <t>717363-00-02</t>
  </si>
  <si>
    <t>GAIKE/05/24/INV-1001345</t>
  </si>
  <si>
    <t>717365-00-02</t>
  </si>
  <si>
    <t>GAIKE/05/24/INV-1001346</t>
  </si>
  <si>
    <t>1370-02</t>
  </si>
  <si>
    <t>GAIKE/05/24/INV-1001347</t>
  </si>
  <si>
    <t>1390-02</t>
  </si>
  <si>
    <t>GAIKE/05/24/INV-1001348</t>
  </si>
  <si>
    <t>2982-01</t>
  </si>
  <si>
    <t>GAIKE/05/24/INV-1001349</t>
  </si>
  <si>
    <t>189-02</t>
  </si>
  <si>
    <t>GAIKE/05/24/INV-1001350</t>
  </si>
  <si>
    <t>331608-00-02</t>
  </si>
  <si>
    <t>GAIKE/05/24/INV-1001351</t>
  </si>
  <si>
    <t>477326-00-02</t>
  </si>
  <si>
    <t>GAIKE/05/24/INV-1001353</t>
  </si>
  <si>
    <t>717234-00-02</t>
  </si>
  <si>
    <t>GAIKE/05/24/INV-1001354</t>
  </si>
  <si>
    <t>261-02</t>
  </si>
  <si>
    <t>GAIKE/05/24/INV-1001355</t>
  </si>
  <si>
    <t>733306-00-01</t>
  </si>
  <si>
    <t>GAIKE/05/24/INV-1001356</t>
  </si>
  <si>
    <t>717325-00-02</t>
  </si>
  <si>
    <t>GAIKE/05/24/INV-1001357</t>
  </si>
  <si>
    <t>210-02</t>
  </si>
  <si>
    <t>GAIKE/05/24/INV-1001358</t>
  </si>
  <si>
    <t>717321-00-02</t>
  </si>
  <si>
    <t>GAIKE/05/24/INV-1001359</t>
  </si>
  <si>
    <t>1228-02</t>
  </si>
  <si>
    <t>GAIKE/05/24/INV-1001360</t>
  </si>
  <si>
    <t>540075-00-01</t>
  </si>
  <si>
    <t>GAIKE/05/24/INV-1001361</t>
  </si>
  <si>
    <t>1361-02</t>
  </si>
  <si>
    <t>GAIKE/05/24/INV-1001362</t>
  </si>
  <si>
    <t>717092-00-02</t>
  </si>
  <si>
    <t>GAIKE/05/24/INV-1001363</t>
  </si>
  <si>
    <t>KE00002298500-01</t>
  </si>
  <si>
    <t>GAIKE/05/24/INV-1001364</t>
  </si>
  <si>
    <t>457693-00-02</t>
  </si>
  <si>
    <t>GAIKE/05/24/INV-1001365</t>
  </si>
  <si>
    <t>457695-00-02</t>
  </si>
  <si>
    <t>GAIKE/05/24/INV-1001366</t>
  </si>
  <si>
    <t>101-02</t>
  </si>
  <si>
    <t>GAIKE/05/24/INV-1001367</t>
  </si>
  <si>
    <t>102-02</t>
  </si>
  <si>
    <t>GAIKE/05/24/INV-1001368</t>
  </si>
  <si>
    <t>717355-00-01</t>
  </si>
  <si>
    <t>GAIKE/05/24/INV-1001369</t>
  </si>
  <si>
    <t>588797-00-01</t>
  </si>
  <si>
    <t>GAIKE/05/24/INV-1001370</t>
  </si>
  <si>
    <t>157-02</t>
  </si>
  <si>
    <t>GAIKE/05/24/INV-1001371</t>
  </si>
  <si>
    <t>248-02</t>
  </si>
  <si>
    <t>GAIKE/05/24/INV-1001372</t>
  </si>
  <si>
    <t>713711-00-02</t>
  </si>
  <si>
    <t>GAIKE/05/24/INV-1001373</t>
  </si>
  <si>
    <t>713713-00-02</t>
  </si>
  <si>
    <t>GAIKE/05/24/INV-1001374</t>
  </si>
  <si>
    <t>713714-00-02</t>
  </si>
  <si>
    <t>GAIKE/05/24/INV-1001376</t>
  </si>
  <si>
    <t>538916-00-02</t>
  </si>
  <si>
    <t>GAIKE/05/24/INV-1001378</t>
  </si>
  <si>
    <t>538927-00-02</t>
  </si>
  <si>
    <t>GAIKE/05/24/INV-1001379</t>
  </si>
  <si>
    <t>541897-00-02</t>
  </si>
  <si>
    <t>GAIKE/05/24/INV-1001380</t>
  </si>
  <si>
    <t>KE00002957901-01</t>
  </si>
  <si>
    <t>GAIKE/05/24/INV-1001381</t>
  </si>
  <si>
    <t>543013-00-02</t>
  </si>
  <si>
    <t>GAIKE/05/24/INV-1001382</t>
  </si>
  <si>
    <t>543017-00-02</t>
  </si>
  <si>
    <t>GAIKE/05/24/INV-1001383</t>
  </si>
  <si>
    <t>543020-00-02</t>
  </si>
  <si>
    <t>GAIKE/05/24/INV-1001384</t>
  </si>
  <si>
    <t>543022-00-02</t>
  </si>
  <si>
    <t>GAIKE/05/24/INV-1001385</t>
  </si>
  <si>
    <t>KE00001626800-01</t>
  </si>
  <si>
    <t>GAIKE/05/24/INV-1001263</t>
  </si>
  <si>
    <t>557412-00-01</t>
  </si>
  <si>
    <t>GAIKE/05/24/INV-1001267</t>
  </si>
  <si>
    <t>494199-00-01</t>
  </si>
  <si>
    <t>GAIKE/05/24/INV-1001268</t>
  </si>
  <si>
    <t>197-01</t>
  </si>
  <si>
    <t>GAIKE/05/24/INV-1001275</t>
  </si>
  <si>
    <t>198-01</t>
  </si>
  <si>
    <t>GAIKE/05/24/INV-1001276</t>
  </si>
  <si>
    <t>199-01</t>
  </si>
  <si>
    <t>GAIKE/05/24/INV-1001288</t>
  </si>
  <si>
    <t>205-01</t>
  </si>
  <si>
    <t>GAIKE/05/24/INV-1001289</t>
  </si>
  <si>
    <t>KE00001628900-01</t>
  </si>
  <si>
    <t>GAIKE/05/24/INV-1001292</t>
  </si>
  <si>
    <t>KE00001629200-01</t>
  </si>
  <si>
    <t>GAIKE/05/24/INV-1001293</t>
  </si>
  <si>
    <t>KE00001324100-01</t>
  </si>
  <si>
    <t>GAIKE/05/24/INV-1001295</t>
  </si>
  <si>
    <t>KE00001645802-01</t>
  </si>
  <si>
    <t>GAIKE/05/24/INV-1001265</t>
  </si>
  <si>
    <t>179-01</t>
  </si>
  <si>
    <t>GAIKE/05/24/INV-1001285</t>
  </si>
  <si>
    <t>180-01</t>
  </si>
  <si>
    <t>GAIKE/05/24/INV-1001287</t>
  </si>
  <si>
    <t>69-01</t>
  </si>
  <si>
    <t>GAIKE/05/24/INV-1001279</t>
  </si>
  <si>
    <t>70-01</t>
  </si>
  <si>
    <t>GAIKE/05/24/INV-1001291</t>
  </si>
  <si>
    <t>KE00001641600-01</t>
  </si>
  <si>
    <t>GAIKE/05/24/INV-1001264</t>
  </si>
  <si>
    <t>GAIKE/05/24/INV-1001269</t>
  </si>
  <si>
    <t>GAIKE/05/24/INV-1001270</t>
  </si>
  <si>
    <t>95-01</t>
  </si>
  <si>
    <t>GAIKE/05/24/INV-1001272</t>
  </si>
  <si>
    <t>96-01</t>
  </si>
  <si>
    <t>GAIKE/05/24/INV-1001278</t>
  </si>
  <si>
    <t>GAIKE/05/24/INV-1001280</t>
  </si>
  <si>
    <t>98-01</t>
  </si>
  <si>
    <t>GAIKE/05/24/INV-1001283</t>
  </si>
  <si>
    <t>99-01</t>
  </si>
  <si>
    <t>GAIKE/05/24/INV-1001284</t>
  </si>
  <si>
    <t>GAIKE/05/24/INV-1001286</t>
  </si>
  <si>
    <t>GAIKE/05/24/INV-1001290</t>
  </si>
  <si>
    <t>KE00001640800-01</t>
  </si>
  <si>
    <t>GAIKE/05/24/INV-1001294</t>
  </si>
  <si>
    <t>31-01</t>
  </si>
  <si>
    <t>GAIKE/05/24/INV-1001273</t>
  </si>
  <si>
    <t>32-01</t>
  </si>
  <si>
    <t>GAIKE/05/24/INV-1001274</t>
  </si>
  <si>
    <t>GAIKE/05/24/INV-1001297</t>
  </si>
  <si>
    <t>GAIKE/05/24/INV-1001296</t>
  </si>
  <si>
    <t>GAIKE/05/24/INV-1001330</t>
  </si>
  <si>
    <t>GAIKE/05/24/INV-1001326</t>
  </si>
  <si>
    <t>GAIKE/05/24/INV-1001332</t>
  </si>
  <si>
    <t>GAIKE/05/24/INV-1001331</t>
  </si>
  <si>
    <t>GAIKE/05/24/INV-1001334</t>
  </si>
  <si>
    <t>GAIKE/05/24/INV-1001333</t>
  </si>
  <si>
    <t>GAIKE/05/24/INV-1001327</t>
  </si>
  <si>
    <t>GAIKE/05/24/INV-1001328</t>
  </si>
  <si>
    <t>GAIKE/05/24/INV-1001329</t>
  </si>
  <si>
    <t>GAIKE/05/24/INV-1001387</t>
  </si>
  <si>
    <t>GAIKE/05/24/INV-1001341</t>
  </si>
  <si>
    <t>GAIKE/05/24/INV-1001338</t>
  </si>
  <si>
    <t>GAIKE/05/24/INV-1001413</t>
  </si>
  <si>
    <t>PC/05/2015/1063222/09</t>
  </si>
  <si>
    <t>GAIKE/05/24/INV-1001448</t>
  </si>
  <si>
    <t>DANIEL KILUNDA NYAMAI</t>
  </si>
  <si>
    <t>PR/05/2022/7317766/02</t>
  </si>
  <si>
    <t>GAIKE/05/24/INV-1001428</t>
  </si>
  <si>
    <t>FARDIN ESMAIL ALI MOHAMED</t>
  </si>
  <si>
    <t>PR/05/2017/1889720/07</t>
  </si>
  <si>
    <t>GAIKE/05/24/INV-1001445</t>
  </si>
  <si>
    <t>GAIKE/05/24/INV-1001419</t>
  </si>
  <si>
    <t>GAIKE/05/24/INV-1001423</t>
  </si>
  <si>
    <t>JANE MBECHA NDUNGU</t>
  </si>
  <si>
    <t>PR/05/2021/5250089/03</t>
  </si>
  <si>
    <t>DIAMOND BRIDGE INSURANCE AGENCY</t>
  </si>
  <si>
    <t>GAIKE/05/24/INV-1001431</t>
  </si>
  <si>
    <t>GAIKE/05/24/INV-1001410</t>
  </si>
  <si>
    <t>GAIKE/05/24/INV-1001422</t>
  </si>
  <si>
    <t>JULIA WAIRIMU CHEGE</t>
  </si>
  <si>
    <t>PR/05/2021/5250011/03</t>
  </si>
  <si>
    <t>GAIKE/05/24/INV-1001432</t>
  </si>
  <si>
    <t>GAIKE/05/24/INVR-1001377</t>
  </si>
  <si>
    <t>MISS NOREEN RIAZ</t>
  </si>
  <si>
    <t>KEA1B/IC832/23/000073/02</t>
  </si>
  <si>
    <t>GAIKE/05/24/INV-1001429</t>
  </si>
  <si>
    <t>MR ASHOK DHANJIBHAI PANCHAL</t>
  </si>
  <si>
    <t>KEA1B/IC793/23/000094/02</t>
  </si>
  <si>
    <t>NOBLE VENTURES INSURANCE AGENCY LTD</t>
  </si>
  <si>
    <t>GAIKE/05/24/INV-1001408</t>
  </si>
  <si>
    <t>MR ASHOK H PATEL</t>
  </si>
  <si>
    <t>KEA1B/IC781/23/000041/02</t>
  </si>
  <si>
    <t>NAVEAH CAPITAL INSURANCE AGENCY LTD</t>
  </si>
  <si>
    <t>GAIKE/05/24/INV-1001398</t>
  </si>
  <si>
    <t>MR RASHID ABDUL SALIM</t>
  </si>
  <si>
    <t>KEA1B/IC793/24/000093/01</t>
  </si>
  <si>
    <t>GAIKE/05/24/INV-1001430</t>
  </si>
  <si>
    <t>MR TILAK ASHOK PATEL</t>
  </si>
  <si>
    <t>KEA1B/IC793/23/000102/02</t>
  </si>
  <si>
    <t>GAIKE/05/24/INV-1001399</t>
  </si>
  <si>
    <t>MRS AMITA ASHOKKUMAR PATEL</t>
  </si>
  <si>
    <t>KEA1B/IC781/23/000040/02</t>
  </si>
  <si>
    <t>GAIKE/05/24/INV-1001396</t>
  </si>
  <si>
    <t>MS MUMINAH ABDUL SALIM</t>
  </si>
  <si>
    <t>KEA1B/IC793/24/000094/01</t>
  </si>
  <si>
    <t>GAIKE/05/24/INV-1001435</t>
  </si>
  <si>
    <t>MS PURITY KAGURE NDIRANGU</t>
  </si>
  <si>
    <t>KEA1B/IC830/23/000019/02</t>
  </si>
  <si>
    <t>GAIKE/05/24/INV-1001400</t>
  </si>
  <si>
    <t>CENTRAL</t>
  </si>
  <si>
    <t>PC/05/2022/7367794/02</t>
  </si>
  <si>
    <t>GAIKE/05/24/INV-1001405</t>
  </si>
  <si>
    <t>539022-00-01</t>
  </si>
  <si>
    <t>GAIKE/05/24/INV-1001420</t>
  </si>
  <si>
    <t>103-02</t>
  </si>
  <si>
    <t>GAIKE/05/24/INV-1001421</t>
  </si>
  <si>
    <t>GAIKE/05/24/RUF-1000140</t>
  </si>
  <si>
    <t>DIPAL PRAFUL SHAH</t>
  </si>
  <si>
    <t>PR/05/2021/5197792/03</t>
  </si>
  <si>
    <t>GAIKE/05/24/INV-1001444</t>
  </si>
  <si>
    <t>KE00002538100-01</t>
  </si>
  <si>
    <t>GAIKE/05/24/INV-1001441</t>
  </si>
  <si>
    <t>GAIKE/05/24/INV-1001417</t>
  </si>
  <si>
    <t>KEA1B/CD703/24/000002/01</t>
  </si>
  <si>
    <t>GAIKE/05/24/INV-1001407</t>
  </si>
  <si>
    <t>GAIKE/05/24/INVR-1001124</t>
  </si>
  <si>
    <t>MR AJAYKUMAR BHAGWANJI D PATTNI</t>
  </si>
  <si>
    <t>KEA1B/IC832/23/000052/02</t>
  </si>
  <si>
    <t>GAIKE/05/24/INV-1001439</t>
  </si>
  <si>
    <t>2025-05-09</t>
  </si>
  <si>
    <t>KEA1B/IC832/23/000079/01</t>
  </si>
  <si>
    <t>GAIKE/05/24/RUF-1000141</t>
  </si>
  <si>
    <t>2023-05-10</t>
  </si>
  <si>
    <t>MR ARVIND PREMJI BHUDIA</t>
  </si>
  <si>
    <t>KEA1B/IC793/23/000088/02</t>
  </si>
  <si>
    <t>GAIKE/05/24/INV-1001440</t>
  </si>
  <si>
    <t>MR ASFA SULTAN KHOKHER</t>
  </si>
  <si>
    <t>KEA1B/IC895/23/000035/02</t>
  </si>
  <si>
    <t>GAIKE/05/24/INV-1001438</t>
  </si>
  <si>
    <t>MR DEEPAK MANSUKHLAL NAKAR</t>
  </si>
  <si>
    <t>PC/05/2021/5228248/03</t>
  </si>
  <si>
    <t>GAIKE/05/24/INV-1001447</t>
  </si>
  <si>
    <t>MR ELIAS GIKUNDI GERALD</t>
  </si>
  <si>
    <t>KEA1B/IC832/23/000028/02</t>
  </si>
  <si>
    <t>GAIKE/05/24/INV-1001437</t>
  </si>
  <si>
    <t>MERU COUNTY</t>
  </si>
  <si>
    <t>MR HARJINDER SINGH PLAHE</t>
  </si>
  <si>
    <t>KEA1B/IC895/23/000033/02</t>
  </si>
  <si>
    <t>GAIKE/05/24/INV-1001436</t>
  </si>
  <si>
    <t>MR JAFFAR HAFIZ MUGHAL</t>
  </si>
  <si>
    <t>KEA1B/IC897/23/000007/02</t>
  </si>
  <si>
    <t>GAIKE/05/24/INV-1001434</t>
  </si>
  <si>
    <t>MR MARVIN OBINDI SISSEY</t>
  </si>
  <si>
    <t>KEA1B/IC832/23/000046/02</t>
  </si>
  <si>
    <t>GAIKE/05/24/INV-1001433</t>
  </si>
  <si>
    <t>MR MAYUSHKUMAR GORDHANBHAI PATEL</t>
  </si>
  <si>
    <t>PC/05/2020/4052792/04</t>
  </si>
  <si>
    <t>GAIKE/05/24/INV-1001446</t>
  </si>
  <si>
    <t>KEA1B/IC895/23/000049/02</t>
  </si>
  <si>
    <t>GAIKE/05/24/INV-1001442</t>
  </si>
  <si>
    <t>MR SUKHWINDER SINGH PANESAR</t>
  </si>
  <si>
    <t>PR/04/2022/7199772/02</t>
  </si>
  <si>
    <t>GAIKE/05/24/INV-1001426</t>
  </si>
  <si>
    <t>NULL ASP COMPANY LIMITED</t>
  </si>
  <si>
    <t>KEA1B/ID710/24/000001/01</t>
  </si>
  <si>
    <t>CHESTER INSURANCE BROKERS LIMITED-MOMBASA</t>
  </si>
  <si>
    <t>GAIKE/05/24/INV-1001395</t>
  </si>
  <si>
    <t>KEA1B/ID710/24/000002/01</t>
  </si>
  <si>
    <t>GAIKE/05/24/INV-1001425</t>
  </si>
  <si>
    <t>GAIKE/05/24/INVR-1001395</t>
  </si>
  <si>
    <t>GAIKE/05/24/INV-1001416</t>
  </si>
  <si>
    <t>PRAFUL PANACHAND SHAH</t>
  </si>
  <si>
    <t>PR/05/2021/5177887/03</t>
  </si>
  <si>
    <t>GAIKE/05/24/INV-1001443</t>
  </si>
  <si>
    <t>GAIKE/05/24/INV-1001411</t>
  </si>
  <si>
    <t>GAIKE/05/24/INV-1001418</t>
  </si>
  <si>
    <t>GAIKE/05/24/INV-1001415</t>
  </si>
  <si>
    <t>ELIZABETH ESPERANCA AGAPITA FERNANDES</t>
  </si>
  <si>
    <t>PR/05/2015/1033525/09</t>
  </si>
  <si>
    <t>GAIKE/05/24/INV-1001427</t>
  </si>
  <si>
    <t>GAIKE/05/24/INV-1001412</t>
  </si>
  <si>
    <t>GAIKE/05/24/INV-1001414</t>
  </si>
  <si>
    <t>MRS SHEILA MUTHONI MWAI</t>
  </si>
  <si>
    <t>KEA1B/IC785/23/000007/03</t>
  </si>
  <si>
    <t>GAIKE/05/24/INV-1001424</t>
  </si>
  <si>
    <t>GAIKE/01/24/INVR-1000841</t>
  </si>
  <si>
    <t>2024-11-15</t>
  </si>
  <si>
    <t>2025-11-14</t>
  </si>
  <si>
    <t>GAIKE/09/23/INV-1001059</t>
  </si>
  <si>
    <t>2023-09-29</t>
  </si>
  <si>
    <t>LALJI GANGJI PATEL</t>
  </si>
  <si>
    <t xml:space="preserve">PR/02/2022/6584076/01 </t>
  </si>
  <si>
    <t xml:space="preserve">IMAGE INSURANCE BROKERS LTD </t>
  </si>
  <si>
    <t>GAIKE/07/23/INV-1000325</t>
  </si>
  <si>
    <t>2023-07-12</t>
  </si>
  <si>
    <t>ILOGIX LIMITED</t>
  </si>
  <si>
    <t xml:space="preserve">PC/07/2021/5512650/02 </t>
  </si>
  <si>
    <t xml:space="preserve"> IMAGE INSURANCE BROKERS LTD </t>
  </si>
  <si>
    <t>GAIKE/08/23/INV-1000580</t>
  </si>
  <si>
    <t>KEA1B/C1697/24/000001/01</t>
  </si>
  <si>
    <t>GAIKE/05/24/INV-1001102</t>
  </si>
  <si>
    <t>GAIKE/05/24/INVR-1001102</t>
  </si>
  <si>
    <t>204-05-28</t>
  </si>
  <si>
    <t>CLAUDIA MUENI MUTUNGI</t>
  </si>
  <si>
    <t>PR/03/2022/6890227/02</t>
  </si>
  <si>
    <t>GAIKE/05/24/INV-1001218</t>
  </si>
  <si>
    <t>PC/09/2022/8111792/02</t>
  </si>
  <si>
    <t>GAIKE/05/24/INV-1001151</t>
  </si>
  <si>
    <t>2024-09-26</t>
  </si>
  <si>
    <t>2025-09-25</t>
  </si>
  <si>
    <t>MR LILESH NANJI GORASIYA</t>
  </si>
  <si>
    <t>PC/05/2020/4052675/04</t>
  </si>
  <si>
    <t>GAIKE/05/24/INV-1001189</t>
  </si>
  <si>
    <t>GAIKE/05/24/INVR-1001151</t>
  </si>
  <si>
    <t>ANGLICAN DEVELOMENT SERVICES NORTH RIFT REGION LTD</t>
  </si>
  <si>
    <t>PC/03/2022/6872794/00</t>
  </si>
  <si>
    <t>425/2024</t>
  </si>
  <si>
    <t>2022-04-22</t>
  </si>
  <si>
    <t>2023-04-03</t>
  </si>
  <si>
    <t>PC/04/2020/3899664/04</t>
  </si>
  <si>
    <t>GAIKE/05/24/INV-1000732</t>
  </si>
  <si>
    <t>GAIKE/05/24/INVR-1000732</t>
  </si>
  <si>
    <t>DANIEL KAMAU GATHECHA</t>
  </si>
  <si>
    <t>PR/04/2022/7079053/02</t>
  </si>
  <si>
    <t>GAIKE/05/24/INV-1001176</t>
  </si>
  <si>
    <t>GAIKE/05/24/INVR-1001176</t>
  </si>
  <si>
    <t>GRAND TOTAL</t>
  </si>
  <si>
    <t xml:space="preserve">RI </t>
  </si>
  <si>
    <t>prm tax</t>
  </si>
  <si>
    <t>commision</t>
  </si>
  <si>
    <t>RI</t>
  </si>
  <si>
    <t>KEA1B/CD352/23/000001/02</t>
  </si>
  <si>
    <t>GAIKE/06/24/INV-1000013</t>
  </si>
  <si>
    <t>2024-06-03</t>
  </si>
  <si>
    <t>PC/06/2021/5279436/03</t>
  </si>
  <si>
    <t>GAIKE/06/24/INV-1000016</t>
  </si>
  <si>
    <t>MR ANWAR AHMED SHEIKH OMAR</t>
  </si>
  <si>
    <t>KEA1B/IC793/23/000091/02</t>
  </si>
  <si>
    <t>GAIKE/06/24/INV-1000021</t>
  </si>
  <si>
    <t>PC/06/2016/1480031/08</t>
  </si>
  <si>
    <t>GAIKE/06/24/INV-1000033</t>
  </si>
  <si>
    <t>GAIKE/06/24/INV-1000057</t>
  </si>
  <si>
    <t>2024-06-04</t>
  </si>
  <si>
    <t>PC/06/2021/5297077/03</t>
  </si>
  <si>
    <t>GAIKE/06/24/INV-1000062</t>
  </si>
  <si>
    <t>UTOPIAN WELFARE ASSOCIATION</t>
  </si>
  <si>
    <t>PC/08/2019/3401286/05</t>
  </si>
  <si>
    <t>GAIKE/06/24/INV-1000073</t>
  </si>
  <si>
    <t>MR KHUSHIT NEPUL SHAH.</t>
  </si>
  <si>
    <t>KEA1B/IC813/23/000002/02</t>
  </si>
  <si>
    <t>GAIKE/06/24/INV-1000001</t>
  </si>
  <si>
    <t>ANISH DINESHKUMAR JOSHI</t>
  </si>
  <si>
    <t>PR/04/2022/7150453/02</t>
  </si>
  <si>
    <t>DENIS INSURANCE AGENCY</t>
  </si>
  <si>
    <t>GAIKE/06/24/INV-1000054</t>
  </si>
  <si>
    <t>GIVEDIRECTLY KENYA- FARAJA</t>
  </si>
  <si>
    <t>KEA1B/CC801/23/000001/02</t>
  </si>
  <si>
    <t>GAIKE/06/24/INV-1000090</t>
  </si>
  <si>
    <t>2024-06-05</t>
  </si>
  <si>
    <t>MR ABHISHEK NARAN VARSANI</t>
  </si>
  <si>
    <t>KEA1B/IC821/24/000006/01</t>
  </si>
  <si>
    <t>GAIKE/06/24/INV-1000091</t>
  </si>
  <si>
    <t>MR NARAN PARBAT VARSANI</t>
  </si>
  <si>
    <t>KEA1B/IC830/24/000021/01</t>
  </si>
  <si>
    <t>GAIKE/06/24/INV-1000092</t>
  </si>
  <si>
    <t>GAIKE/06/24/INV-1000095</t>
  </si>
  <si>
    <t>GAIKE/06/24/INV-1000096</t>
  </si>
  <si>
    <t>GAIKE/06/24/INV-1000097</t>
  </si>
  <si>
    <t>PC/06/2022/7319007/02</t>
  </si>
  <si>
    <t>GAIKE/06/24/INV-1000113</t>
  </si>
  <si>
    <t>2024-06-02</t>
  </si>
  <si>
    <t>2025-06-01</t>
  </si>
  <si>
    <t>MR RAJESH R. GADHIA</t>
  </si>
  <si>
    <t>PR/05/2020/4064569/04</t>
  </si>
  <si>
    <t>GAIKE/06/24/INV-1000117</t>
  </si>
  <si>
    <t>GAIKE/06/24/INV-1000124</t>
  </si>
  <si>
    <t>2024-06-06</t>
  </si>
  <si>
    <t>GAIKE/06/24/INV-1000129</t>
  </si>
  <si>
    <t>GAIKE/06/24/INV-1000137</t>
  </si>
  <si>
    <t>MS MARCIA JOY WANJIKU MBUGUA</t>
  </si>
  <si>
    <t>KEA1B/IC815/22/000001/02</t>
  </si>
  <si>
    <t>GAIKE/06/24/INV-1000142</t>
  </si>
  <si>
    <t>GAIKE/06/24/INV-1000156</t>
  </si>
  <si>
    <t>GAIKE/06/24/INV-1000158</t>
  </si>
  <si>
    <t>WONDER FEEDS LIMITED</t>
  </si>
  <si>
    <t>PC/06/2021/5324144/03</t>
  </si>
  <si>
    <t>GAIKE/06/24/INV-1000160</t>
  </si>
  <si>
    <t>2025-06-03</t>
  </si>
  <si>
    <t>GAIKE/06/24/INV-1000167</t>
  </si>
  <si>
    <t>GAIKE/06/24/INV-1000168</t>
  </si>
  <si>
    <t>GAIKE/06/24/INV-1000169</t>
  </si>
  <si>
    <t>PC/07/2016/1528162/07</t>
  </si>
  <si>
    <t>GAIKE/06/24/INV-1000171</t>
  </si>
  <si>
    <t>GAIKE/06/24/INV-1000173</t>
  </si>
  <si>
    <t>GAIKE/06/24/INV-1000175</t>
  </si>
  <si>
    <t>PC/05/2017/1885125/07</t>
  </si>
  <si>
    <t>GAIKE/06/24/INV-1000170</t>
  </si>
  <si>
    <t>MR GABRIEL NAFULLA WAFUBWA</t>
  </si>
  <si>
    <t>KEA1B/IC895/24/000017/01</t>
  </si>
  <si>
    <t>GAIKE/06/24/INV-1000232</t>
  </si>
  <si>
    <t>GAIKE/06/24/INV-1000467</t>
  </si>
  <si>
    <t>2024-06-10</t>
  </si>
  <si>
    <t>GAIKE/06/24/INV-1000469</t>
  </si>
  <si>
    <t>MR PAYYATIL VIPINKUMAR</t>
  </si>
  <si>
    <t>KEA1B/IC793/23/000101/02</t>
  </si>
  <si>
    <t>GAIKE/06/24/INV-1000443</t>
  </si>
  <si>
    <t>2025-06-09</t>
  </si>
  <si>
    <t>MR SIJU KAVIL VADAKKE VEETTIL</t>
  </si>
  <si>
    <t>KEA1B/IC793/23/000097/02</t>
  </si>
  <si>
    <t>GAIKE/06/24/INV-1000491</t>
  </si>
  <si>
    <t>2025-06-06</t>
  </si>
  <si>
    <t>KHIMJI KARSANI CHHABHADIA</t>
  </si>
  <si>
    <t>GAIKE/06/24/INV-1000545</t>
  </si>
  <si>
    <t>GAIKE/06/24/INV-1000595</t>
  </si>
  <si>
    <t>KEA1B/CD316/23/000001/02</t>
  </si>
  <si>
    <t>GAIKE/06/24/INV-1000475</t>
  </si>
  <si>
    <t>PC/06/2021/5306230/03</t>
  </si>
  <si>
    <t>KISIMA MEDICAL &amp; GENERAL INSURANCE AGENCY LTD</t>
  </si>
  <si>
    <t>GAIKE/06/24/INV-1000513</t>
  </si>
  <si>
    <t>MUDHER CRANKSHAFT GRINDERS LTD</t>
  </si>
  <si>
    <t>KEA1B/ID717/24/000001/01</t>
  </si>
  <si>
    <t>GAIKE/06/24/INV-1000524</t>
  </si>
  <si>
    <t>MRS VANITABEN PRAFUL HALAI</t>
  </si>
  <si>
    <t>KEA1B/IC781/24/000048/01</t>
  </si>
  <si>
    <t>GAIKE/06/24/INV-1000552</t>
  </si>
  <si>
    <t>2025-06-13</t>
  </si>
  <si>
    <t>MR PRAFUL KANJI HALAI</t>
  </si>
  <si>
    <t>KEA1B/IC781/24/000047/01</t>
  </si>
  <si>
    <t>GAIKE/06/24/INV-1000553</t>
  </si>
  <si>
    <t>FONTANA LIMITED</t>
  </si>
  <si>
    <t>KEA1B/ID714/24/000001/01</t>
  </si>
  <si>
    <t>GAIKE/06/24/INV-1000569</t>
  </si>
  <si>
    <t>MR RAJALINGAM ILANGOVAN</t>
  </si>
  <si>
    <t>KEA1B/IC897/23/000008/02</t>
  </si>
  <si>
    <t>GAIKE/06/24/INV-1000604</t>
  </si>
  <si>
    <t>2025-05-24</t>
  </si>
  <si>
    <t>2024-06-12</t>
  </si>
  <si>
    <t>CANTON BUILDING &amp; CONSTRUCTION LIMITED</t>
  </si>
  <si>
    <t>KEA1B/CD624/24/000001/01</t>
  </si>
  <si>
    <t>GAIKE/06/24/INV-1000605</t>
  </si>
  <si>
    <t>GAIKE/06/24/INV-1000607</t>
  </si>
  <si>
    <t>AMIT CHAUHAN</t>
  </si>
  <si>
    <t>GAIKE/06/24/INV-1000608</t>
  </si>
  <si>
    <t>KAMALDIP BHACHU</t>
  </si>
  <si>
    <t>GAIKE/06/24/INV-1000609</t>
  </si>
  <si>
    <t>ELI MWANGI</t>
  </si>
  <si>
    <t>GAIKE/06/24/INV-1000610</t>
  </si>
  <si>
    <t>MANOJKUMAR RABADIA</t>
  </si>
  <si>
    <t>GAIKE/06/24/INV-1000611</t>
  </si>
  <si>
    <t>ALOISE OGOLA</t>
  </si>
  <si>
    <t>GAIKE/06/24/INV-1000612</t>
  </si>
  <si>
    <t>KARTIK SHAH</t>
  </si>
  <si>
    <t>GAIKE/06/24/INV-1000613</t>
  </si>
  <si>
    <t>DAVE HARSUKHBAI</t>
  </si>
  <si>
    <t>GAIKE/06/24/INV-1000614</t>
  </si>
  <si>
    <t>MANJIT KAUR</t>
  </si>
  <si>
    <t>GAIKE/06/24/INV-1000616</t>
  </si>
  <si>
    <t>ANNE NDUNGU</t>
  </si>
  <si>
    <t>GAIKE/06/24/INV-1000617</t>
  </si>
  <si>
    <t>MOHSIN SUMAR</t>
  </si>
  <si>
    <t>GAIKE/06/24/INV-1000618</t>
  </si>
  <si>
    <t>MANDALIA BABULAL</t>
  </si>
  <si>
    <t>GAIKE/06/24/INV-1000619</t>
  </si>
  <si>
    <t>MOHAMMED NASSAR</t>
  </si>
  <si>
    <t>GAIKE/06/24/INV-1000620</t>
  </si>
  <si>
    <t>NAUM MUTISYA</t>
  </si>
  <si>
    <t>GAIKE/06/24/INV-1000621</t>
  </si>
  <si>
    <t>2024-04-1</t>
  </si>
  <si>
    <t>2025-03-30</t>
  </si>
  <si>
    <t>GAIKE/06/24/INV-1000642</t>
  </si>
  <si>
    <t>GAIKE/06/24/INV-1000643</t>
  </si>
  <si>
    <t>GAIKE/06/24/INV-1000645</t>
  </si>
  <si>
    <t>GAIKE/06/24/INV-1000646</t>
  </si>
  <si>
    <t>GAIKE/06/24/INV-1000648</t>
  </si>
  <si>
    <t>HINA PARIKH</t>
  </si>
  <si>
    <t>GAIKE/06/24/INV-1000652</t>
  </si>
  <si>
    <t>TARABEN CHAUHAN</t>
  </si>
  <si>
    <t>GAIKE/06/24/INV-1000653</t>
  </si>
  <si>
    <t>SASHIKANT CHAUHAN</t>
  </si>
  <si>
    <t>GAIKE/06/24/INV-1000654</t>
  </si>
  <si>
    <t>DIPAKKUMAR PATEL</t>
  </si>
  <si>
    <t>GAIKE/06/24/INV-1000655</t>
  </si>
  <si>
    <t>HANSA JETHWA</t>
  </si>
  <si>
    <t>GAIKE/06/24/INV-1000656</t>
  </si>
  <si>
    <t>RAJESHKUMAR PATEL</t>
  </si>
  <si>
    <t>GAIKE/06/24/INV-1000657</t>
  </si>
  <si>
    <t>FAITH NGONORI</t>
  </si>
  <si>
    <t>GAIKE/06/24/INV-1000658</t>
  </si>
  <si>
    <t>GUILLAUME MICHAEL</t>
  </si>
  <si>
    <t>GAIKE/06/24/INV-1000659</t>
  </si>
  <si>
    <t>GIRISHKUMAR LALJI MALDE</t>
  </si>
  <si>
    <t>GAIKE/06/24/INV-1000660</t>
  </si>
  <si>
    <t>SHREYA GIRISHKUMAR MALDE</t>
  </si>
  <si>
    <t>GAIKE/06/24/INV-1000661</t>
  </si>
  <si>
    <t>BHARATKUMAR KESHAVLAL BHATT</t>
  </si>
  <si>
    <t>GAIKE/06/24/INV-1000662</t>
  </si>
  <si>
    <t>NARAN PARBAT VARSANI</t>
  </si>
  <si>
    <t>GAIKE/06/24/INV-1000663</t>
  </si>
  <si>
    <t>PRANLAL JAYANTILAL JOSHI</t>
  </si>
  <si>
    <t>GAIKE/06/24/INV-1000664</t>
  </si>
  <si>
    <t>CHANDRAKANT JERAMBHAI BHAGWAGAR</t>
  </si>
  <si>
    <t>GAIKE/06/24/INV-1000665</t>
  </si>
  <si>
    <t>RAJENDRAKUMAR GANATRA</t>
  </si>
  <si>
    <t>GAIKE/06/24/INV-1000666</t>
  </si>
  <si>
    <t>PC/07/2022/7614964/02</t>
  </si>
  <si>
    <t>GAIKE/06/24/INV-1000672</t>
  </si>
  <si>
    <t>KEA1B/CD624/24/000001/02</t>
  </si>
  <si>
    <t>GAIKE/06/24/INV-1000673</t>
  </si>
  <si>
    <t>GAIKE/06/24/INV-1000677</t>
  </si>
  <si>
    <t>GAIKE/06/24/INV-1000679</t>
  </si>
  <si>
    <t>KRISHNA PHARMACY LIMITED</t>
  </si>
  <si>
    <t>PC/05/2022/7318073/02</t>
  </si>
  <si>
    <t>GAIKE/06/24/INV-1000681</t>
  </si>
  <si>
    <t>2025-05-29</t>
  </si>
  <si>
    <t>GAIKE/06/24/INV-1000683</t>
  </si>
  <si>
    <t>GAIKE/06/24/INV-1000692</t>
  </si>
  <si>
    <t>NASIB INDUSTRIAL PRODUCTS LTD</t>
  </si>
  <si>
    <t>PC/10/2022/8388076/01</t>
  </si>
  <si>
    <t>GAIKE/06/24/INV-1000695</t>
  </si>
  <si>
    <t>GAIKE/06/24/INV-1000698</t>
  </si>
  <si>
    <t>GAIKE/06/24/INV-1000699</t>
  </si>
  <si>
    <t>GAIKE/06/24/INV-1000700</t>
  </si>
  <si>
    <t>GAIKE/06/24/INV-1000702</t>
  </si>
  <si>
    <t>SAMI PRAKASH JAYANTILAL SHETH</t>
  </si>
  <si>
    <t>PR/06/2022/7487770/02</t>
  </si>
  <si>
    <t>GAIKE/06/24/INV-1000596</t>
  </si>
  <si>
    <t>MR SAMI PRAKASH JAYANTILAL</t>
  </si>
  <si>
    <t>KEA1B/IC781/24/000049/01</t>
  </si>
  <si>
    <t>GAIKE/06/24/INV-1000597</t>
  </si>
  <si>
    <t>MR VEELESH PRABHUDA GOHIL</t>
  </si>
  <si>
    <t>KEA1B/IC805/23/000007/02</t>
  </si>
  <si>
    <t>GAIKE/06/24/INV-1000623</t>
  </si>
  <si>
    <t>2025-06-11</t>
  </si>
  <si>
    <t>MR VISHAL VEELESH GOHIL</t>
  </si>
  <si>
    <t>KEA1B/IC830/23/000022/02</t>
  </si>
  <si>
    <t>GAIKE/06/24/INV-1000624</t>
  </si>
  <si>
    <t>VIJAYAKUMAR NARAYANAN</t>
  </si>
  <si>
    <t>PR/04/2021/5079188/03</t>
  </si>
  <si>
    <t>GAIKE/06/24/INV-1000625</t>
  </si>
  <si>
    <t>MR JEET VEELESH GOHIL</t>
  </si>
  <si>
    <t>KEA1B/IC830/23/000023/02</t>
  </si>
  <si>
    <t>GAIKE/06/24/INV-1000626</t>
  </si>
  <si>
    <t>KEA1B/CD368/23/000001/02</t>
  </si>
  <si>
    <t>GAIKE/06/24/INV-1000668</t>
  </si>
  <si>
    <t>MR SUNNY KURJI KANJI</t>
  </si>
  <si>
    <t>KEA1B/IC815/23/000025/02</t>
  </si>
  <si>
    <t>GAIKE/06/24/INV-1000670</t>
  </si>
  <si>
    <t>MR DINESH HARJI RABADIYA</t>
  </si>
  <si>
    <t>KEA1B/IC793/23/000075/02</t>
  </si>
  <si>
    <t>GAIKE/06/24/INV-1000671</t>
  </si>
  <si>
    <t>MR KURJI KARJI KARSAN PATEL</t>
  </si>
  <si>
    <t>KEA1B/IC793/23/000073/02</t>
  </si>
  <si>
    <t>GAIKE/06/24/INV-1000693</t>
  </si>
  <si>
    <t>HILESH CHANDRAKANT VELJI</t>
  </si>
  <si>
    <t>GAIKE/06/24/INV-1000742</t>
  </si>
  <si>
    <t>2024-06-13</t>
  </si>
  <si>
    <t>GAIKE/06/24/INV-1000743</t>
  </si>
  <si>
    <t>GAIKE/06/24/INV-1000763</t>
  </si>
  <si>
    <t>MR JAGDEV SINGH</t>
  </si>
  <si>
    <t>KEA1B/IC781/23/000012/02</t>
  </si>
  <si>
    <t>GAIKE/06/24/INV-1000792</t>
  </si>
  <si>
    <t>MR NIMISHABEN JAGDISHKUMAR PATEL</t>
  </si>
  <si>
    <t>KEA1B/IC793/23/000106/02</t>
  </si>
  <si>
    <t>GAIKE/06/24/INV-1000800</t>
  </si>
  <si>
    <t>2025-06-14</t>
  </si>
  <si>
    <t>KEA1B/CD378/23/000001/02</t>
  </si>
  <si>
    <t>SARAH MGHOI MWAKERA</t>
  </si>
  <si>
    <t>GAIKE/06/24/INV-1000808</t>
  </si>
  <si>
    <t>GAIKE/06/24/INV-1000813</t>
  </si>
  <si>
    <t>HAJ HAMOUD MBARAK</t>
  </si>
  <si>
    <t>PR/06/2022/7425881/02</t>
  </si>
  <si>
    <t>GAIKE/06/24/INV-1000746</t>
  </si>
  <si>
    <t>2024-06-09</t>
  </si>
  <si>
    <t>2025-06-08</t>
  </si>
  <si>
    <t>WARDA ALY ABDULKADIR</t>
  </si>
  <si>
    <t>PR/06/2022/7426210/02</t>
  </si>
  <si>
    <t>GAIKE/06/24/INV-1000752</t>
  </si>
  <si>
    <t>MS NARIMAN ABDUL RAHIM MOHAMED</t>
  </si>
  <si>
    <t>KEA1B/IC897/24/000007/01</t>
  </si>
  <si>
    <t>GAIKE/06/24/INV-1000734</t>
  </si>
  <si>
    <t>2025-06-04</t>
  </si>
  <si>
    <t>GAIKE/06/24/INV-1000828</t>
  </si>
  <si>
    <t>2024-06-18</t>
  </si>
  <si>
    <t>GAIKE/06/24/INV-1000841</t>
  </si>
  <si>
    <t>GAIKE/06/24/INV-1000842</t>
  </si>
  <si>
    <t>GAIKE/06/24/INV-1000843</t>
  </si>
  <si>
    <t>GAIKE/06/24/INV-1000848</t>
  </si>
  <si>
    <t>GAIKE/06/24/INV-1000857</t>
  </si>
  <si>
    <t>GAIKE/06/24/INV-1000858</t>
  </si>
  <si>
    <t>GAIKE/06/24/INV-1000860</t>
  </si>
  <si>
    <t>ONFON MEDIA LIMITED.</t>
  </si>
  <si>
    <t>KEA1B/CD705/24/000001/01</t>
  </si>
  <si>
    <t>GAIKE/06/24/INV-1000825</t>
  </si>
  <si>
    <t>SATYAN BHALLA</t>
  </si>
  <si>
    <t>PR/06/2022/7383988/02</t>
  </si>
  <si>
    <t>GAIKE/06/24/INV-1000826</t>
  </si>
  <si>
    <t>MR AKIL AHMEDALI KHOKHRI</t>
  </si>
  <si>
    <t>KEA1B/IC781/24/000050/01</t>
  </si>
  <si>
    <t>GAIKE/06/24/INV-1000840</t>
  </si>
  <si>
    <t>BRIDGIT MUTHIKE KILONZO</t>
  </si>
  <si>
    <t>KEA1B/IC821/24/000007/01</t>
  </si>
  <si>
    <t>NIGEL DSOUZA</t>
  </si>
  <si>
    <t>GAIKE/06/24/INV-1000850</t>
  </si>
  <si>
    <t>2025-06-12</t>
  </si>
  <si>
    <t>PC/06/2021/5352545/03</t>
  </si>
  <si>
    <t>WHITELINK INSURANCE AGENCY LIMITED</t>
  </si>
  <si>
    <t>GAIKE/06/24/INV-1000863</t>
  </si>
  <si>
    <t>MRS ANITA HARJI MEPANI</t>
  </si>
  <si>
    <t>KEA1B/IC793/24/000117/01</t>
  </si>
  <si>
    <t>GAIKE/06/24/INV-1000868</t>
  </si>
  <si>
    <t>GAIKE/06/24/INV-1000902</t>
  </si>
  <si>
    <t>2024-06-20</t>
  </si>
  <si>
    <t>BHARAT MUKESH SHETH</t>
  </si>
  <si>
    <t>PR/06/2022/7487946/02</t>
  </si>
  <si>
    <t>GAIKE/06/24/INV-1000904</t>
  </si>
  <si>
    <t>2025-06-15</t>
  </si>
  <si>
    <t>GAIKE/06/24/INV-1000905</t>
  </si>
  <si>
    <t>GAIKE/06/24/INV-1000909</t>
  </si>
  <si>
    <t>GAIKE/06/24/INV-1000915</t>
  </si>
  <si>
    <t>GAIKE/06/24/INV-1000933</t>
  </si>
  <si>
    <t>GAIKE/06/24/INV-1000943</t>
  </si>
  <si>
    <t>KEA1B/CD173/23/000001/02</t>
  </si>
  <si>
    <t>GAIKE/06/24/INV-1000878</t>
  </si>
  <si>
    <t>SHIVRAJ BHALLA</t>
  </si>
  <si>
    <t>PR/06/2022/7383943/02</t>
  </si>
  <si>
    <t>GAIKE/06/24/INV-1000899</t>
  </si>
  <si>
    <t>MANRAJ BHALLA</t>
  </si>
  <si>
    <t>PR/06/2022/7384040/02</t>
  </si>
  <si>
    <t>GAIKE/06/24/INV-1000900</t>
  </si>
  <si>
    <t>NARAVINDER KAUR KALSI BHALLA</t>
  </si>
  <si>
    <t>PR/06/2022/7384043/02</t>
  </si>
  <si>
    <t>GAIKE/06/24/INV-1000907</t>
  </si>
  <si>
    <t>EMMILY KWAMBOKA SIMI</t>
  </si>
  <si>
    <t>PR/06/2022/7507145/02</t>
  </si>
  <si>
    <t>SUREWEALTH INSURANCE AGENCY LTD</t>
  </si>
  <si>
    <t>GAIKE/06/24/INV-1000947</t>
  </si>
  <si>
    <t>2024-06-21</t>
  </si>
  <si>
    <t>GAIKE/06/24/INV-1000948</t>
  </si>
  <si>
    <t>GAIKE/06/24/INV-1000950</t>
  </si>
  <si>
    <t>VINCENT CHILLAH MOTANYA</t>
  </si>
  <si>
    <t>PR/06/2022/7507142/02</t>
  </si>
  <si>
    <t>GAIKE/06/24/INV-1000951</t>
  </si>
  <si>
    <t>TIMOTHY ATEI MOTANYA</t>
  </si>
  <si>
    <t>PR/06/2022/7507140/02</t>
  </si>
  <si>
    <t>GAIKE/06/24/INV-1000953</t>
  </si>
  <si>
    <t>GAIKE/06/24/INV-1000956</t>
  </si>
  <si>
    <t>GAIKE/06/24/INV-1000965</t>
  </si>
  <si>
    <t>GAIKE/06/24/INV-1000968</t>
  </si>
  <si>
    <t>GAIKE/06/24/INV-1000972</t>
  </si>
  <si>
    <t>GAIKE/06/24/INV-1000974</t>
  </si>
  <si>
    <t>GAIKE/06/24/INV-1000975</t>
  </si>
  <si>
    <t>GAIKE/06/24/INV-1000976</t>
  </si>
  <si>
    <t>GAIKE/06/24/INV-1000981</t>
  </si>
  <si>
    <t>KEA1B/CD360/23/000001/02</t>
  </si>
  <si>
    <t>GAIKE/06/24/INV-1000987</t>
  </si>
  <si>
    <t>MS YVONNE AKINYI OCHIENG</t>
  </si>
  <si>
    <t>KEA1B/IC793/24/000118/01</t>
  </si>
  <si>
    <t>GAIKE/06/24/INV-1000990</t>
  </si>
  <si>
    <t>KEA1B/IC785/24/000009/01</t>
  </si>
  <si>
    <t>GAIKE/06/24/INV-1000991</t>
  </si>
  <si>
    <t>MRS ANN GAKII MUTUNGA</t>
  </si>
  <si>
    <t>KEA1B/IC830/24/000024/01</t>
  </si>
  <si>
    <t>GAIKE/06/24/INV-1000997</t>
  </si>
  <si>
    <t>2025-06-21</t>
  </si>
  <si>
    <t>MR RISHI PRAKASH AGGARWAL</t>
  </si>
  <si>
    <t>KEA1B/IC793/23/000046/02</t>
  </si>
  <si>
    <t>GAIKE/06/24/INV-1001001</t>
  </si>
  <si>
    <t>PR/01/2022/6606211/02</t>
  </si>
  <si>
    <t>GAIKE/06/24/INV-1001003</t>
  </si>
  <si>
    <t>GAIKE/06/24/INV-1001016</t>
  </si>
  <si>
    <t>GAIKE/06/24/INV-1001017</t>
  </si>
  <si>
    <t>RAVISH VARSANI</t>
  </si>
  <si>
    <t>GAIKE/06/24/INV-1001020</t>
  </si>
  <si>
    <t>STANLEY GITHUKU</t>
  </si>
  <si>
    <t>GAIKE/06/24/INV-1001021</t>
  </si>
  <si>
    <t>SHAMIN YUSUF</t>
  </si>
  <si>
    <t>GAIKE/06/24/INV-1001022</t>
  </si>
  <si>
    <t>ANOOP JABBAL</t>
  </si>
  <si>
    <t>GAIKE/06/24/INV-1001023</t>
  </si>
  <si>
    <t>KAMLESH H. PARMAR PARMAR</t>
  </si>
  <si>
    <t>GAIKE/06/24/INV-1001024</t>
  </si>
  <si>
    <t>GAIKE/06/24/INV-1001026</t>
  </si>
  <si>
    <t>GAIKE/06/24/INV-1001027</t>
  </si>
  <si>
    <t>GAIKE/06/24/INV-1001031</t>
  </si>
  <si>
    <t>2024-06-25</t>
  </si>
  <si>
    <t>KAVRAJ SINGH BIRDI</t>
  </si>
  <si>
    <t>GAIKE/06/24/INV-1001038</t>
  </si>
  <si>
    <t>MR HARSH MILAN SHAH</t>
  </si>
  <si>
    <t>KEA1B/IC781/24/000051/01</t>
  </si>
  <si>
    <t>GAIKE/06/24/INV-1001039</t>
  </si>
  <si>
    <t>GAIKE/06/24/INV-1001061</t>
  </si>
  <si>
    <t>GAIKE/06/24/INV-1001063</t>
  </si>
  <si>
    <t>GAIKE/06/24/INV-1001067</t>
  </si>
  <si>
    <t>GAIKE/06/24/INV-1001068</t>
  </si>
  <si>
    <t>GAIKE/06/24/INV-1001072</t>
  </si>
  <si>
    <t>GAIKE/06/24/INV-1001073</t>
  </si>
  <si>
    <t>GAIKE/06/24/INV-1001074</t>
  </si>
  <si>
    <t>GAIKE/06/24/INV-1001076</t>
  </si>
  <si>
    <t>GAIKE/06/24/INV-1001121</t>
  </si>
  <si>
    <t>2024-06-27</t>
  </si>
  <si>
    <t>GAIKE/06/24/INV-1001169</t>
  </si>
  <si>
    <t>GAIKE/06/24/INV-1001197</t>
  </si>
  <si>
    <t>2024-06-28</t>
  </si>
  <si>
    <t>GAIKE/06/24/INV-1001198</t>
  </si>
  <si>
    <t>KAREN WAMWITHA NYAGA</t>
  </si>
  <si>
    <t>PR/01/2022/6530192/02</t>
  </si>
  <si>
    <t>GAIKE/06/24/INV-1001037</t>
  </si>
  <si>
    <t>MR MANAL ALI SAID</t>
  </si>
  <si>
    <t>KEA1B/IC830/23/000026/02</t>
  </si>
  <si>
    <t>GAIKE/06/24/INV-1001181</t>
  </si>
  <si>
    <t>2025-06-20</t>
  </si>
  <si>
    <t>MRS JYOTI PANKAJ SHAH</t>
  </si>
  <si>
    <t>KEA1B/IC793/23/000104/02</t>
  </si>
  <si>
    <t>GAIKE/06/24/INV-1001185</t>
  </si>
  <si>
    <t>MR PRIT SHAH JATISH</t>
  </si>
  <si>
    <t>KEA1B/IC793/23/000077/02</t>
  </si>
  <si>
    <t>GAIKE/06/24/INV-1001187</t>
  </si>
  <si>
    <t>BENARD LANGAT KIPRONO</t>
  </si>
  <si>
    <t>KEA1B/IC805/24/000008/01</t>
  </si>
  <si>
    <t>GAIKE/06/24/INV-1001188</t>
  </si>
  <si>
    <t>GAIKE/06/24/INV-1001204</t>
  </si>
  <si>
    <t>2024-06-29</t>
  </si>
  <si>
    <t>GAIKE/06/24/INV-1001208</t>
  </si>
  <si>
    <t>GAIKE/06/24/INV-1001209</t>
  </si>
  <si>
    <t>GAIKE/06/24/INV-1001210</t>
  </si>
  <si>
    <t>JACKLINE ATIENO OGAL</t>
  </si>
  <si>
    <t>GAIKE/06/24/INV-1001215</t>
  </si>
  <si>
    <t>SHAHID YAKUB</t>
  </si>
  <si>
    <t>GAIKE/06/24/INV-1001217</t>
  </si>
  <si>
    <t>MOHAMED SHAKIR AHMED YAKUB</t>
  </si>
  <si>
    <t>GAIKE/06/24/INV-1001218</t>
  </si>
  <si>
    <t>VASANTBEN KANTILAL  DHAKAN</t>
  </si>
  <si>
    <t>GAIKE/06/24/INV-1001219</t>
  </si>
  <si>
    <t>KHETANI VALJI  PREMJI</t>
  </si>
  <si>
    <t>GAIKE/06/24/INV-1001220</t>
  </si>
  <si>
    <t>HARISH DAMJI  FATANIA</t>
  </si>
  <si>
    <t>GAIKE/06/24/INV-1001221</t>
  </si>
  <si>
    <t>KALPESH KUMAR RAMESHBHAI PATEL</t>
  </si>
  <si>
    <t>GAIKE/06/24/INV-1001222</t>
  </si>
  <si>
    <t>DEEPAK SURINDER  SINGH ARORA</t>
  </si>
  <si>
    <t>GAIKE/06/24/INV-1001223</t>
  </si>
  <si>
    <t>PARESHKUMAR RATILAL  PATEL</t>
  </si>
  <si>
    <t>GAIKE/06/24/INV-1001224</t>
  </si>
  <si>
    <t>NEEL PARESHKUMAR  PATEL</t>
  </si>
  <si>
    <t>GAIKE/06/24/INV-1001225</t>
  </si>
  <si>
    <t>BHARATKUMAR ISHWERBHAI  PATEL</t>
  </si>
  <si>
    <t>GAIKE/06/24/INV-1001226</t>
  </si>
  <si>
    <t>ALPESHKUMAR PUNABHAI  PATEL</t>
  </si>
  <si>
    <t>GAIKE/06/24/INV-1001227</t>
  </si>
  <si>
    <t>KISHORE JAYANT  MIRCHANDANI</t>
  </si>
  <si>
    <t>GAIKE/06/24/INV-1001228</t>
  </si>
  <si>
    <t>SAVITABEN PRAJAPATI</t>
  </si>
  <si>
    <t>GAIKE/06/24/INV-1001229</t>
  </si>
  <si>
    <t>AMBALAL PRAJAPATI</t>
  </si>
  <si>
    <t>GAIKE/06/24/INV-1001230</t>
  </si>
  <si>
    <t>RAMJI DEVJI PATEL</t>
  </si>
  <si>
    <t>GAIKE/06/24/INV-1001231</t>
  </si>
  <si>
    <t>MANU SARACHANDRAN</t>
  </si>
  <si>
    <t>KEA1B/IC793/24/000107/01</t>
  </si>
  <si>
    <t>GAIKE/06/24/INV-1001234</t>
  </si>
  <si>
    <t>2025-06-19</t>
  </si>
  <si>
    <t>GAIKE/06/24/INV-1001240</t>
  </si>
  <si>
    <t>GAIKE/06/24/INV-1001245</t>
  </si>
  <si>
    <t>GAIKE/06/24/INV-1001246</t>
  </si>
  <si>
    <t>MR RAHMTULLAH M D</t>
  </si>
  <si>
    <t>KEA1B/IC793/24/000123/01</t>
  </si>
  <si>
    <t>GAIKE/06/24/INV-1001257</t>
  </si>
  <si>
    <t>PRANAVKUMAR JAYENDRABHAI PATEL</t>
  </si>
  <si>
    <t>KEA1B/IC793/24/000122/01</t>
  </si>
  <si>
    <t>GAIKE/06/24/INV-1001258</t>
  </si>
  <si>
    <t>PR/06/2021/5269883/03</t>
  </si>
  <si>
    <t>GAIKE/06/24/INV-1001262</t>
  </si>
  <si>
    <t>INDIRA DINESHKUMAR GULABRAI THAKER</t>
  </si>
  <si>
    <t>PR/06/2021/5269413/03</t>
  </si>
  <si>
    <t>GAIKE/06/24/INV-1001263</t>
  </si>
  <si>
    <t>MRS WILFRIDA NEKES NAFULA</t>
  </si>
  <si>
    <t>KEA1B/IC905/24/000011/01</t>
  </si>
  <si>
    <t>GAIKE/06/24/INV-1000288</t>
  </si>
  <si>
    <t>MR UDAY SOMCHAND SHAH</t>
  </si>
  <si>
    <t>PR/06/2022/7388392/02</t>
  </si>
  <si>
    <t>KUTOTO GILBERT OWINO</t>
  </si>
  <si>
    <t>GAIKE/06/24/INV-1001268</t>
  </si>
  <si>
    <t>MR CHARLES WAINANA NGANGA</t>
  </si>
  <si>
    <t>KEA1B/IC793/23/000090/02</t>
  </si>
  <si>
    <t>REINVENTURE INSURANCE AGENCY</t>
  </si>
  <si>
    <t>GAIKE/06/24/INV-1001273</t>
  </si>
  <si>
    <t>KEA1B/CD316/23/000001/01</t>
  </si>
  <si>
    <t>GAIKE/06/24/RUF-1000032</t>
  </si>
  <si>
    <t>PC/06/2022/7319007/01</t>
  </si>
  <si>
    <t>GAIKE/06/24/RUF-1000022</t>
  </si>
  <si>
    <t>GAIKE/06/24/RUF-1000054</t>
  </si>
  <si>
    <t>URVASHIBEN CHETANKUMAR PATEL</t>
  </si>
  <si>
    <t>GAIKE/06/24/RUF-1000077</t>
  </si>
  <si>
    <t>GAIKE/06/24/RUF-1000076</t>
  </si>
  <si>
    <t>GAIKE/06/24/RUF-1000033</t>
  </si>
  <si>
    <t>2024-06-08</t>
  </si>
  <si>
    <t>MR KAVRAJ SINGH BIRDI</t>
  </si>
  <si>
    <t>GAIKE/06/24/RUF-1000083</t>
  </si>
  <si>
    <t>GAIKE/06/24/RUF-1000057</t>
  </si>
  <si>
    <t>GAIKE/06/24/RUF-1000100</t>
  </si>
  <si>
    <t>GAIKE/06/24/RUF-1000006</t>
  </si>
  <si>
    <t>GAIKE/06/24/RUF-1000067</t>
  </si>
  <si>
    <t>GAIKE/06/24/RUF-1000075</t>
  </si>
  <si>
    <t>GAIKE/06/24/INVR-1000605</t>
  </si>
  <si>
    <t>GAIKE/06/24/RUF-1000038</t>
  </si>
  <si>
    <t>GAIKE/06/24/RUF-1000040</t>
  </si>
  <si>
    <t>KENYA ORDNANCE FACTORIES CORPORATION (KOFC)</t>
  </si>
  <si>
    <t>KEA1B/CD712/24/000001/01</t>
  </si>
  <si>
    <t>GAIKE/06/24/INV-1000009</t>
  </si>
  <si>
    <t>Metals and metal products</t>
  </si>
  <si>
    <t>PC/06/2015/1060867/09</t>
  </si>
  <si>
    <t>GAIKE/06/24/INV-1000020</t>
  </si>
  <si>
    <t>DANIYAL HUZEFA KARACHIWALLA</t>
  </si>
  <si>
    <t>PR/05/2020/4028034/04</t>
  </si>
  <si>
    <t>GAIKE/06/24/INV-1000029</t>
  </si>
  <si>
    <t>GAIKE/06/24/INV-1000036</t>
  </si>
  <si>
    <t>GAIKE/06/24/INV-1000037</t>
  </si>
  <si>
    <t>GAIKE/06/24/INV-1000039</t>
  </si>
  <si>
    <t>GAIKE/06/24/INV-1000040</t>
  </si>
  <si>
    <t>GAIKE/06/24/INV-1000041</t>
  </si>
  <si>
    <t>GAIKE/06/24/INV-1000046</t>
  </si>
  <si>
    <t>GAIKE/06/24/INV-1000047</t>
  </si>
  <si>
    <t>MR SHIVAM DEWADI</t>
  </si>
  <si>
    <t>GAIKE/06/24/INV-1000049</t>
  </si>
  <si>
    <t>MS FRANCISCA PHILUMENA FERNANDES</t>
  </si>
  <si>
    <t>GAIKE/06/24/INV-1000050</t>
  </si>
  <si>
    <t>GAIKE/06/24/INV-1000056</t>
  </si>
  <si>
    <t>GAIKE/06/24/INV-1000058</t>
  </si>
  <si>
    <t>ODDS AND ENDS LIMITED</t>
  </si>
  <si>
    <t>PC/06/2022/7331894/02</t>
  </si>
  <si>
    <t>GAIKE/06/24/INV-1000072</t>
  </si>
  <si>
    <t>MR KIRITKUMAR MANSUKHLAL GOSRANI</t>
  </si>
  <si>
    <t>KEA1B/IC793/24/000097/01</t>
  </si>
  <si>
    <t>GAIKE/06/24/INV-1000066</t>
  </si>
  <si>
    <t>EMBU COUNTY</t>
  </si>
  <si>
    <t>MR DHIRENKUMAR JAYESHBHAI SHAH</t>
  </si>
  <si>
    <t>KEA1B/IC793/24/000098/01</t>
  </si>
  <si>
    <t>GAIKE/06/24/INV-1000074</t>
  </si>
  <si>
    <t>PC/06/2018/2489377/06</t>
  </si>
  <si>
    <t>VEFIS INSURANCE BROKERS (K) LIMITED</t>
  </si>
  <si>
    <t>GAIKE/06/24/INV-1000082</t>
  </si>
  <si>
    <t>GAIKE/06/24/INV-1000083</t>
  </si>
  <si>
    <t>HALAR INDUSTRIES LIMITED</t>
  </si>
  <si>
    <t>PR/03/2022/6860239/02</t>
  </si>
  <si>
    <t>GAIKE/06/24/INV-1000085</t>
  </si>
  <si>
    <t>KEA1B/CD343/23/000001/02</t>
  </si>
  <si>
    <t>LIAISON GROUP LIMITED</t>
  </si>
  <si>
    <t>GAIKE/06/24/INV-1000101</t>
  </si>
  <si>
    <t>All Other Specialty Trade Contractors</t>
  </si>
  <si>
    <t>BALBIR SINGH</t>
  </si>
  <si>
    <t>GAIKE/06/24/INV-1000102</t>
  </si>
  <si>
    <t>MANJI NARAN RABADIA</t>
  </si>
  <si>
    <t>GAIKE/06/24/INV-1000103</t>
  </si>
  <si>
    <t>MAHESH HIMATLAL SANGANI</t>
  </si>
  <si>
    <t>GAIKE/06/24/INV-1000104</t>
  </si>
  <si>
    <t>MICHAELA PRISCILLA NICHOLLS</t>
  </si>
  <si>
    <t>GAIKE/06/24/INV-1000105</t>
  </si>
  <si>
    <t>SANVEER PANDHAL</t>
  </si>
  <si>
    <t>GAIKE/06/24/INV-1000120</t>
  </si>
  <si>
    <t>BALJIT PANDHAL</t>
  </si>
  <si>
    <t>GAIKE/06/24/INV-1000121</t>
  </si>
  <si>
    <t>TAJINDER PANDAL</t>
  </si>
  <si>
    <t>GAIKE/06/24/INV-1000122</t>
  </si>
  <si>
    <t>MR HETAL SHANTILAL SAVLA</t>
  </si>
  <si>
    <t>KEA1B/IC781/24/000044/01</t>
  </si>
  <si>
    <t>GAIKE/06/24/INV-1000109</t>
  </si>
  <si>
    <t>MR KRANTHI KANCHERLA</t>
  </si>
  <si>
    <t>KEA1B/IC781/24/000045/01</t>
  </si>
  <si>
    <t>GAIKE/06/24/INV-1000110</t>
  </si>
  <si>
    <t>MR BHARATKUMAR KESHAVLAL BHATT</t>
  </si>
  <si>
    <t>KEA1B/IC793/24/000102/01</t>
  </si>
  <si>
    <t>GAIKE/06/24/INV-1000111</t>
  </si>
  <si>
    <t>MR ANAND VINODRAI SHAH</t>
  </si>
  <si>
    <t>KEA1B/IC805/24/000006/01</t>
  </si>
  <si>
    <t>GAIKE/06/24/INV-1000114</t>
  </si>
  <si>
    <t>PC/06/2015/1075692/09</t>
  </si>
  <si>
    <t>GAIKE/06/24/INV-1000123</t>
  </si>
  <si>
    <t>KEA1B/CD461/23/000001/01</t>
  </si>
  <si>
    <t>GAIKE/06/24/INV-1000125</t>
  </si>
  <si>
    <t>Other chemicals, rubber and plastics</t>
  </si>
  <si>
    <t>IMA HAULIERS LIMITED</t>
  </si>
  <si>
    <t>PC/06/2021/5368788/03</t>
  </si>
  <si>
    <t>GAIKE/06/24/INV-1000133</t>
  </si>
  <si>
    <t>MR NIPUL NEMCHAND HARIA</t>
  </si>
  <si>
    <t>KEA1B/IC809/24/000001/01</t>
  </si>
  <si>
    <t>GAIKE/06/24/INV-1000136</t>
  </si>
  <si>
    <t>AVOIL INDUSTRIES LTD</t>
  </si>
  <si>
    <t>PC/06/2020/4117225/04</t>
  </si>
  <si>
    <t>GAIKE/06/24/INV-1000138</t>
  </si>
  <si>
    <t>DEVEER DEVELOPERS LIMITED</t>
  </si>
  <si>
    <t>PC/06/2020/4114940/04</t>
  </si>
  <si>
    <t>GAIKE/06/24/INV-1000139</t>
  </si>
  <si>
    <t>BHAILALBHAI MANGALBHAI PATEL</t>
  </si>
  <si>
    <t>KEA1B/MC946/23/000001/01</t>
  </si>
  <si>
    <t>GAIKE/06/24/INV-1000140</t>
  </si>
  <si>
    <t>GAIKE/06/24/INV-1000141</t>
  </si>
  <si>
    <t>SETA SHAH</t>
  </si>
  <si>
    <t>GAIKE/06/24/INV-1000143</t>
  </si>
  <si>
    <t>DHIMANT RAVJI CHHABHADIA</t>
  </si>
  <si>
    <t>GAIKE/06/24/INV-1000144</t>
  </si>
  <si>
    <t>PARESH NATWRLAL MORJARIA</t>
  </si>
  <si>
    <t>GAIKE/06/24/INV-1000145</t>
  </si>
  <si>
    <t>HANSABEN MANSUKHLAL RAICHAND GUDKA</t>
  </si>
  <si>
    <t>GAIKE/06/24/INV-1000147</t>
  </si>
  <si>
    <t>DAKSHA PARESH MORJARIA</t>
  </si>
  <si>
    <t>GAIKE/06/24/INV-1000148</t>
  </si>
  <si>
    <t>BHAVESHKUMAR NAYI</t>
  </si>
  <si>
    <t>GAIKE/06/24/INV-1000149</t>
  </si>
  <si>
    <t>PURSHOTAM HIRANI</t>
  </si>
  <si>
    <t>GAIKE/06/24/INV-1000150</t>
  </si>
  <si>
    <t>HITESHKUMAR MANDALIA</t>
  </si>
  <si>
    <t>GAIKE/06/24/INV-1000151</t>
  </si>
  <si>
    <t>KAUSHIK PARMAR</t>
  </si>
  <si>
    <t>GAIKE/06/24/INV-1000152</t>
  </si>
  <si>
    <t>GAIKE/06/24/INV-1000154</t>
  </si>
  <si>
    <t>GAIKE/06/24/INV-1000155</t>
  </si>
  <si>
    <t>GAIKE/06/24/INV-1000157</t>
  </si>
  <si>
    <t>GAIKE/06/24/INV-1000163</t>
  </si>
  <si>
    <t>PC/05/2020/4055394/02</t>
  </si>
  <si>
    <t>GAIKE/06/24/INV-1000164</t>
  </si>
  <si>
    <t>GAIKE/06/24/INV-1000166</t>
  </si>
  <si>
    <t>GAIKE/06/24/INV-1000172</t>
  </si>
  <si>
    <t>GAIKE/06/24/INV-1000174</t>
  </si>
  <si>
    <t>DIVYABALA NAVNITBHAI PATEL</t>
  </si>
  <si>
    <t>GAIKE/06/24/INV-1000176</t>
  </si>
  <si>
    <t>GAIKE/06/24/INV-1000177</t>
  </si>
  <si>
    <t>BHARATKUMAR BHAGWANJI HANSRAJ</t>
  </si>
  <si>
    <t>GAIKE/06/24/INV-1000178</t>
  </si>
  <si>
    <t>MRADULA AMRITLAL AGRAVAT</t>
  </si>
  <si>
    <t>GAIKE/06/24/INV-1000179</t>
  </si>
  <si>
    <t>RANJAN BHAGWANJI PARMAR</t>
  </si>
  <si>
    <t>GAIKE/06/24/INV-1000180</t>
  </si>
  <si>
    <t>NATWARLAL BALKRISHNA SUCHAK</t>
  </si>
  <si>
    <t>GAIKE/06/24/INV-1000181</t>
  </si>
  <si>
    <t>MUKESHKUMAR SOJPAL</t>
  </si>
  <si>
    <t>GAIKE/06/24/INV-1000182</t>
  </si>
  <si>
    <t>SIDDHARTH JATINKUMAR PATEL</t>
  </si>
  <si>
    <t>GAIKE/06/24/INV-1000183</t>
  </si>
  <si>
    <t>BHARAT TANK</t>
  </si>
  <si>
    <t>GAIKE/06/24/INV-1000184</t>
  </si>
  <si>
    <t>JAYANTILAL SAMANI</t>
  </si>
  <si>
    <t>GAIKE/06/24/INV-1000187</t>
  </si>
  <si>
    <t>DHIRAJBEN SAMANI</t>
  </si>
  <si>
    <t>GAIKE/06/24/INV-1000188</t>
  </si>
  <si>
    <t>GAIKE/06/24/INV-1000189</t>
  </si>
  <si>
    <t>JAYANTILAL SAMANI  </t>
  </si>
  <si>
    <t>GAIKE/06/24/INV-1000190</t>
  </si>
  <si>
    <t>DARSHAN SINGH LOTAY</t>
  </si>
  <si>
    <t>GAIKE/06/24/INV-1000191</t>
  </si>
  <si>
    <t>BALJIT SINGH JANDU</t>
  </si>
  <si>
    <t>GAIKE/06/24/INV-1000192</t>
  </si>
  <si>
    <t>SURJIT LOTAY</t>
  </si>
  <si>
    <t>GAIKE/06/24/INV-1000193</t>
  </si>
  <si>
    <t>GAIKE/06/24/INV-1000194</t>
  </si>
  <si>
    <t>GAIKE/06/24/INV-1000196</t>
  </si>
  <si>
    <t>KAUSHIK KANTILAL VYAS</t>
  </si>
  <si>
    <t>GAIKE/06/24/INV-1000198</t>
  </si>
  <si>
    <t>GURNAM SINGH SABHARWAL</t>
  </si>
  <si>
    <t>GAIKE/06/24/INV-1000199</t>
  </si>
  <si>
    <t>GAIKE/06/24/INV-1000201</t>
  </si>
  <si>
    <t>HARISHKUMAR H RAWAL</t>
  </si>
  <si>
    <t>GAIKE/06/24/INV-1000202</t>
  </si>
  <si>
    <t>DHIRAJLAL LAKHANI</t>
  </si>
  <si>
    <t>GAIKE/06/24/INV-1000203</t>
  </si>
  <si>
    <t>ZAKHEEM JAGDISH</t>
  </si>
  <si>
    <t>GAIKE/06/24/INV-1000204</t>
  </si>
  <si>
    <t>JASVINDER SINGH GHATAHORA</t>
  </si>
  <si>
    <t>GAIKE/06/24/INV-1000205</t>
  </si>
  <si>
    <t>DHRUWANG PATTANI PATTANI</t>
  </si>
  <si>
    <t>GAIKE/06/24/INV-1000206</t>
  </si>
  <si>
    <t>NILAY SHARADKUMAR CHALLA</t>
  </si>
  <si>
    <t>GAIKE/06/24/INV-1000207</t>
  </si>
  <si>
    <t>GAIKE/06/24/INV-1000208</t>
  </si>
  <si>
    <t>NARASIMHAM KUCHIMANCHI</t>
  </si>
  <si>
    <t>GAIKE/06/24/INV-1000209</t>
  </si>
  <si>
    <t>NARENDRA HANSRAJ PARMAR</t>
  </si>
  <si>
    <t>GAIKE/06/24/INV-1000210</t>
  </si>
  <si>
    <t>RAJPREET SINGH BRAR</t>
  </si>
  <si>
    <t>GAIKE/06/24/INV-1000212</t>
  </si>
  <si>
    <t>RANCHHODLAL BHIMJI POPAT </t>
  </si>
  <si>
    <t>GAIKE/06/24/INV-1000213</t>
  </si>
  <si>
    <t>SCHERAZADE RITA GORI </t>
  </si>
  <si>
    <t>GAIKE/06/24/INV-1000215</t>
  </si>
  <si>
    <t>ARVINDKUMAR VANARAVA JOBANPUTRA</t>
  </si>
  <si>
    <t>GAIKE/06/24/INV-1000216</t>
  </si>
  <si>
    <t>KERIS KUMAR KANANI </t>
  </si>
  <si>
    <t>GAIKE/06/24/INV-1000217</t>
  </si>
  <si>
    <t>ASHOK KAPOOR</t>
  </si>
  <si>
    <t>GAIKE/06/24/INV-1000218</t>
  </si>
  <si>
    <t>NAGARAJA B NARAYASWAMY</t>
  </si>
  <si>
    <t>GAIKE/06/24/INV-1000219</t>
  </si>
  <si>
    <t>AMAY KUMAR NARENDRA BHAI PATEL</t>
  </si>
  <si>
    <t>GAIKE/06/24/INV-1000220</t>
  </si>
  <si>
    <t>NARENDRA KUMAR RAOJIBHAI PATEL</t>
  </si>
  <si>
    <t>GAIKE/06/24/INV-1000221</t>
  </si>
  <si>
    <t>PALL SINGH  BHACHU </t>
  </si>
  <si>
    <t>GAIKE/06/24/INV-1000222</t>
  </si>
  <si>
    <t>HARJI LAXMAN KHETANI               </t>
  </si>
  <si>
    <t>GAIKE/06/24/INV-1000223</t>
  </si>
  <si>
    <t>DHIRENDRA RAICHAND SHAH</t>
  </si>
  <si>
    <t>GAIKE/06/24/INV-1000224</t>
  </si>
  <si>
    <t>MS RASHI NIPUL HARIA</t>
  </si>
  <si>
    <t>KEA1B/IC830/24/000022/01</t>
  </si>
  <si>
    <t>GAIKE/06/24/INV-1000135</t>
  </si>
  <si>
    <t>PC/06/2022/7373667/02</t>
  </si>
  <si>
    <t>GAIKE/06/24/INV-1000225</t>
  </si>
  <si>
    <t>2025-06-05</t>
  </si>
  <si>
    <t>MR JIGNESHKUMAR HARIBHAI PATEL</t>
  </si>
  <si>
    <t>KEA1B/IC793/24/000100/01</t>
  </si>
  <si>
    <t>GAIKE/06/24/INV-1000230</t>
  </si>
  <si>
    <t>MS NISHA JIGNESHKUMAR PATEL</t>
  </si>
  <si>
    <t>KEA1B/IC830/24/000020/01</t>
  </si>
  <si>
    <t>GAIKE/06/24/INV-1000231</t>
  </si>
  <si>
    <t>MR ANAND NARSINGH BAPTAY</t>
  </si>
  <si>
    <t>KEA1B/IC793/24/000103/01</t>
  </si>
  <si>
    <t>GAIKE/06/24/INV-1000233</t>
  </si>
  <si>
    <t>MR SHANTILAL FULCHAND NAGADA</t>
  </si>
  <si>
    <t>KEA1B/IC793/24/000104/01</t>
  </si>
  <si>
    <t>GAIKE/06/24/INV-1000234</t>
  </si>
  <si>
    <t>JYOTI MOTICHAND SHAH</t>
  </si>
  <si>
    <t>GAIKE/06/24/INV-1000236</t>
  </si>
  <si>
    <t>GAIKE/06/24/INV-1000237</t>
  </si>
  <si>
    <t>DIPAKKUMAR PRIYAKANT SHAH</t>
  </si>
  <si>
    <t>GAIKE/06/24/INV-1000238</t>
  </si>
  <si>
    <t>GAIKE/06/24/INV-1000239</t>
  </si>
  <si>
    <t>MR SAVANI SHANTILAL NAGADA</t>
  </si>
  <si>
    <t>KEA1B/IC793/24/000106/01</t>
  </si>
  <si>
    <t>GAIKE/06/24/INV-1000240</t>
  </si>
  <si>
    <t>BHAGVAT MITESHKUMAR MEHTA</t>
  </si>
  <si>
    <t>GAIKE/06/24/INV-1000241</t>
  </si>
  <si>
    <t>MR KIRANKUMAR MADHURSHI J BHATIA</t>
  </si>
  <si>
    <t>KEA1B/IC781/24/000046/01</t>
  </si>
  <si>
    <t>GAIKE/06/24/INV-1000244</t>
  </si>
  <si>
    <t>JANI GAUTAMKUMAR</t>
  </si>
  <si>
    <t>GAIKE/06/24/INV-1000247</t>
  </si>
  <si>
    <t>JANI MAHESHKUMAR</t>
  </si>
  <si>
    <t>GAIKE/06/24/INV-1000248</t>
  </si>
  <si>
    <t>USHA DUDHAIYA</t>
  </si>
  <si>
    <t>GAIKE/06/24/INV-1000249</t>
  </si>
  <si>
    <t>VAISHALI A WHAVALE</t>
  </si>
  <si>
    <t>GAIKE/06/24/INV-1000251</t>
  </si>
  <si>
    <t>DEVAYANI WHAVALE</t>
  </si>
  <si>
    <t>GAIKE/06/24/INV-1000252</t>
  </si>
  <si>
    <t>MR KETUL SHANTILAL NAGADA</t>
  </si>
  <si>
    <t>KEA1B/IC793/24/000105/01</t>
  </si>
  <si>
    <t>GAIKE/06/24/INV-1000254</t>
  </si>
  <si>
    <t>SEN SHUBHRA</t>
  </si>
  <si>
    <t>GAIKE/06/24/INV-1000264</t>
  </si>
  <si>
    <t>PRAKASH HEDA</t>
  </si>
  <si>
    <t>GAIKE/06/24/INV-1000265</t>
  </si>
  <si>
    <t>HENRY ARTHUR TAVARES</t>
  </si>
  <si>
    <t>GAIKE/06/24/INV-1000266</t>
  </si>
  <si>
    <t>VINAY TRIVEDI</t>
  </si>
  <si>
    <t>GAIKE/06/24/INV-1000267</t>
  </si>
  <si>
    <t>DRUV TRIVEDI</t>
  </si>
  <si>
    <t>GAIKE/06/24/INV-1000268</t>
  </si>
  <si>
    <t>GORICHA NAVINKUMAR</t>
  </si>
  <si>
    <t>GAIKE/06/24/INV-1000269</t>
  </si>
  <si>
    <t>JAYESH VALLABHDAS GOHIL</t>
  </si>
  <si>
    <t>GAIKE/06/24/INV-1000270</t>
  </si>
  <si>
    <t>SHAHIL JAYESHKUMAR</t>
  </si>
  <si>
    <t>GAIKE/06/24/INV-1000271</t>
  </si>
  <si>
    <t>GAIKE/06/24/INV-1000273</t>
  </si>
  <si>
    <t>GAIKE/06/24/INV-1000274</t>
  </si>
  <si>
    <t>PARAMJIT MATHARU</t>
  </si>
  <si>
    <t>GAIKE/06/24/INV-1000275</t>
  </si>
  <si>
    <t>RANJIT MATHARU</t>
  </si>
  <si>
    <t>GAIKE/06/24/INV-1000276</t>
  </si>
  <si>
    <t>VIJAYKUMAR PASUPULATI</t>
  </si>
  <si>
    <t>GAIKE/06/24/INV-1000278</t>
  </si>
  <si>
    <t>PAWAN PASUPULATI</t>
  </si>
  <si>
    <t>GAIKE/06/24/INV-1000279</t>
  </si>
  <si>
    <t>GAIKE/06/24/INV-1000280</t>
  </si>
  <si>
    <t>HARDIK BHAVSAR</t>
  </si>
  <si>
    <t>GAIKE/06/24/INV-1000282</t>
  </si>
  <si>
    <t>GAIKE/06/24/INV-1000283</t>
  </si>
  <si>
    <t>LALITCHANDRA SODHA</t>
  </si>
  <si>
    <t>GAIKE/06/24/INV-1000284</t>
  </si>
  <si>
    <t>GAIKE/06/24/INV-1000286</t>
  </si>
  <si>
    <t>MANMOHAN KAUR</t>
  </si>
  <si>
    <t>GAIKE/06/24/INV-1000313</t>
  </si>
  <si>
    <t>PRIYAV SHAH</t>
  </si>
  <si>
    <t>GAIKE/06/24/INV-1000314</t>
  </si>
  <si>
    <t>RASHMIKABEN PATEL</t>
  </si>
  <si>
    <t>GAIKE/06/24/INV-1000315</t>
  </si>
  <si>
    <t>DEEPAK GADA</t>
  </si>
  <si>
    <t>GAIKE/06/24/INV-1000316</t>
  </si>
  <si>
    <t>KAMINI PARESH</t>
  </si>
  <si>
    <t>GAIKE/06/24/INV-1000317</t>
  </si>
  <si>
    <t>AJITPAL KALSI</t>
  </si>
  <si>
    <t>GAIKE/06/24/INV-1000318</t>
  </si>
  <si>
    <t>SATIN SHAH</t>
  </si>
  <si>
    <t>GAIKE/06/24/INV-1000319</t>
  </si>
  <si>
    <t>KAUSHIK JESA</t>
  </si>
  <si>
    <t>GAIKE/06/24/INV-1000320</t>
  </si>
  <si>
    <t>HEERNA LADHA</t>
  </si>
  <si>
    <t>GAIKE/06/24/INV-1000321</t>
  </si>
  <si>
    <t>JITEN SHAH</t>
  </si>
  <si>
    <t>GAIKE/06/24/INV-1000322</t>
  </si>
  <si>
    <t>MILAN HARIA</t>
  </si>
  <si>
    <t>GAIKE/06/24/INV-1000323</t>
  </si>
  <si>
    <t>ANIL SHARMA</t>
  </si>
  <si>
    <t>GAIKE/06/24/INV-1000324</t>
  </si>
  <si>
    <t>DEVENDER GUPTA</t>
  </si>
  <si>
    <t>GAIKE/06/24/INV-1000325</t>
  </si>
  <si>
    <t>MANOJ TYAGI</t>
  </si>
  <si>
    <t>GAIKE/06/24/INV-1000326</t>
  </si>
  <si>
    <t>JADHAV HELAJIRAO</t>
  </si>
  <si>
    <t>GAIKE/06/24/INV-1000327</t>
  </si>
  <si>
    <t>JARNAIL PHULL</t>
  </si>
  <si>
    <t>GAIKE/06/24/INV-1000328</t>
  </si>
  <si>
    <t>INDERJIT KAUR PHULL</t>
  </si>
  <si>
    <t>GAIKE/06/24/INV-1000329</t>
  </si>
  <si>
    <t>SATNAM SINGH</t>
  </si>
  <si>
    <t>GAIKE/06/24/INV-1000330</t>
  </si>
  <si>
    <t>PRANAV CHADHA</t>
  </si>
  <si>
    <t>GAIKE/06/24/INV-1000331</t>
  </si>
  <si>
    <t>RAVINDER KAUR BHAMRA</t>
  </si>
  <si>
    <t>GAIKE/06/24/INV-1000332</t>
  </si>
  <si>
    <t>GAIKE/06/24/INV-1000333</t>
  </si>
  <si>
    <t>TESSIE ALMEIDA</t>
  </si>
  <si>
    <t>GAIKE/06/24/INV-1000334</t>
  </si>
  <si>
    <t>GAIKE/06/24/INV-1000335</t>
  </si>
  <si>
    <t>HIMANSHU RATILAL SHAH</t>
  </si>
  <si>
    <t>GAIKE/06/24/INV-1000336</t>
  </si>
  <si>
    <t>NILA SHAH</t>
  </si>
  <si>
    <t>GAIKE/06/24/INV-1000337</t>
  </si>
  <si>
    <t>ALPA H SHAH</t>
  </si>
  <si>
    <t>GAIKE/06/24/INV-1000338</t>
  </si>
  <si>
    <t>DEEPRAJ RAJA</t>
  </si>
  <si>
    <t>GAIKE/06/24/INV-1000339</t>
  </si>
  <si>
    <t>GAIKE/06/24/INV-1000340</t>
  </si>
  <si>
    <t>GAIKE/06/24/INV-1000341</t>
  </si>
  <si>
    <t>GAIKE/06/24/INV-1000347</t>
  </si>
  <si>
    <t>GAIKE/06/24/INV-1000349</t>
  </si>
  <si>
    <t>HINDU COUNCIL OF KENYA APRIL</t>
  </si>
  <si>
    <t>PC/04/2015/1026914/07</t>
  </si>
  <si>
    <t>GAIKE/06/24/INV-1000350</t>
  </si>
  <si>
    <t>2022-04-01</t>
  </si>
  <si>
    <t>2023-03-31</t>
  </si>
  <si>
    <t>KARSAN DHANJI VEKARIYA</t>
  </si>
  <si>
    <t>GAIKE/06/24/INV-1000357</t>
  </si>
  <si>
    <t>GAIKE/06/24/INV-1000358</t>
  </si>
  <si>
    <t>JAGJIT MARWA</t>
  </si>
  <si>
    <t>GAIKE/06/24/INV-1000359</t>
  </si>
  <si>
    <t>MANJIT MARWA</t>
  </si>
  <si>
    <t>GAIKE/06/24/INV-1000361</t>
  </si>
  <si>
    <t>SURESH HEMANDAS RAMCHANDANI</t>
  </si>
  <si>
    <t>GAIKE/06/24/INV-1000362</t>
  </si>
  <si>
    <t>VAGHELA JADAV</t>
  </si>
  <si>
    <t>GAIKE/06/24/INV-1000363</t>
  </si>
  <si>
    <t>MUKESH SHAH</t>
  </si>
  <si>
    <t>GAIKE/06/24/INV-1000364</t>
  </si>
  <si>
    <t>DITYALATA SHAH</t>
  </si>
  <si>
    <t>GAIKE/06/24/INV-1000365</t>
  </si>
  <si>
    <t>REKHA SHAH</t>
  </si>
  <si>
    <t>GAIKE/06/24/INV-1000367</t>
  </si>
  <si>
    <t>PRABHULAL J. HEMRAJ                  </t>
  </si>
  <si>
    <t>GAIKE/06/24/INV-1000369</t>
  </si>
  <si>
    <t>SUREKHA JETHALAL SHAH</t>
  </si>
  <si>
    <t>GAIKE/06/24/INV-1000370</t>
  </si>
  <si>
    <t>DIPTI JETHALAL HEMRAJ</t>
  </si>
  <si>
    <t>GAIKE/06/24/INV-1000371</t>
  </si>
  <si>
    <t>KAILAS JETHALAL HEMRAJ         </t>
  </si>
  <si>
    <t>GAIKE/06/24/INV-1000372</t>
  </si>
  <si>
    <t>GAIKE/06/24/INV-1000374</t>
  </si>
  <si>
    <t>GAIKE/06/24/INV-1000375</t>
  </si>
  <si>
    <t>GAIKE/06/24/INV-1000376</t>
  </si>
  <si>
    <t>GAIKE/06/24/INV-1000377</t>
  </si>
  <si>
    <t>PRABODH BALA</t>
  </si>
  <si>
    <t>GAIKE/06/24/INV-1000379</t>
  </si>
  <si>
    <t>PATEL MANGALDAS</t>
  </si>
  <si>
    <t>GAIKE/06/24/INV-1000381</t>
  </si>
  <si>
    <t>RAJENDRA YARDI</t>
  </si>
  <si>
    <t>GAIKE/06/24/INV-1000382</t>
  </si>
  <si>
    <t>GAIKE/06/24/INV-1000387</t>
  </si>
  <si>
    <t>RAJESH RAJANI</t>
  </si>
  <si>
    <t>GAIKE/06/24/INV-1000403</t>
  </si>
  <si>
    <t>PARESH MADHANI</t>
  </si>
  <si>
    <t>GAIKE/06/24/INV-1000404</t>
  </si>
  <si>
    <t>KIRTIBALA TRIVEDI</t>
  </si>
  <si>
    <t>GAIKE/06/24/INV-1000405</t>
  </si>
  <si>
    <t>MOHENDRA SHAH</t>
  </si>
  <si>
    <t>GAIKE/06/24/INV-1000406</t>
  </si>
  <si>
    <t>SHARADKUMAR SHAH</t>
  </si>
  <si>
    <t>GAIKE/06/24/INV-1000407</t>
  </si>
  <si>
    <t>VALLABH DUDHAIYA</t>
  </si>
  <si>
    <t>GAIKE/06/24/INV-1000408</t>
  </si>
  <si>
    <t>SAROJBEN JETHALAL SHAH</t>
  </si>
  <si>
    <t>GAIKE/06/24/INV-1000409</t>
  </si>
  <si>
    <t>ASHVIN JADAVJI HIRANI</t>
  </si>
  <si>
    <t>GAIKE/06/24/INV-1000410</t>
  </si>
  <si>
    <t>HARAKHCHAND SUMARIA</t>
  </si>
  <si>
    <t>GAIKE/06/24/INV-1000411</t>
  </si>
  <si>
    <t>GAIKE/06/24/INV-1000412</t>
  </si>
  <si>
    <t>NAINA SUDRA</t>
  </si>
  <si>
    <t>GAIKE/06/24/INV-1000413</t>
  </si>
  <si>
    <t>GIRISHCHANDRA SUDRA</t>
  </si>
  <si>
    <t>GAIKE/06/24/INV-1000414</t>
  </si>
  <si>
    <t>VIMAL JAYANTILAL SHAH</t>
  </si>
  <si>
    <t>GAIKE/06/24/INV-1000415</t>
  </si>
  <si>
    <t>KEA1B/MC854/23/000001/01</t>
  </si>
  <si>
    <t>GAIKE/06/24/INV-1000416</t>
  </si>
  <si>
    <t>MR AMIT KANTILAL DODHIA.</t>
  </si>
  <si>
    <t>KEA1B/IC793/24/000099/01</t>
  </si>
  <si>
    <t>GAIKE/06/24/INV-1000118</t>
  </si>
  <si>
    <t>MR AVI HETAL SAVLA.</t>
  </si>
  <si>
    <t>KEA1B/IC813/24/000002/01</t>
  </si>
  <si>
    <t>GAIKE/06/24/INV-1000119</t>
  </si>
  <si>
    <t>PC/06/2022/7318005/02</t>
  </si>
  <si>
    <t>GAIKE/06/24/INV-1000418</t>
  </si>
  <si>
    <t>MR RISHIT M. SHAH</t>
  </si>
  <si>
    <t>PR/06/2022/7358148/02</t>
  </si>
  <si>
    <t>GAIKE/06/24/INV-1000438</t>
  </si>
  <si>
    <t>GAIKE/06/24/INV-1000454</t>
  </si>
  <si>
    <t>GAIKE/06/24/INV-1000455</t>
  </si>
  <si>
    <t>GAIKE/06/24/INV-1000456</t>
  </si>
  <si>
    <t>GAIKE/06/24/INV-1000459</t>
  </si>
  <si>
    <t>GAIKE/06/24/INV-1000462</t>
  </si>
  <si>
    <t>GAIKE/06/24/INV-1000463</t>
  </si>
  <si>
    <t>GAIKE/06/24/INV-1000465</t>
  </si>
  <si>
    <t>GAIKE/06/24/INV-1000468</t>
  </si>
  <si>
    <t>GAIKE/06/24/INV-1000470</t>
  </si>
  <si>
    <t>GAIKE/06/24/INV-1000471</t>
  </si>
  <si>
    <t>TECHPAK INDUSTRIES LIMITED</t>
  </si>
  <si>
    <t>GAIKE/06/24/INV-1000472</t>
  </si>
  <si>
    <t>GAIKE/06/24/INV-1000473</t>
  </si>
  <si>
    <t>KETAN SHAH</t>
  </si>
  <si>
    <t>GAIKE/06/24/INV-1000493</t>
  </si>
  <si>
    <t>DEEP SHAH</t>
  </si>
  <si>
    <t>GAIKE/06/24/INV-1000494</t>
  </si>
  <si>
    <t>KAVIPURAPU USHAKIRAN</t>
  </si>
  <si>
    <t>GAIKE/06/24/INV-1000495</t>
  </si>
  <si>
    <t>AMRUTLAL  BHATT</t>
  </si>
  <si>
    <t>GAIKE/06/24/INV-1000496</t>
  </si>
  <si>
    <t>WENCESLAUS ALVES</t>
  </si>
  <si>
    <t>GAIKE/06/24/INV-1000497</t>
  </si>
  <si>
    <t>DHARMISTA KOTECHA</t>
  </si>
  <si>
    <t>GAIKE/06/24/INV-1000498</t>
  </si>
  <si>
    <t>2025-06-18</t>
  </si>
  <si>
    <t>VIKAS RAI</t>
  </si>
  <si>
    <t>GAIKE/06/24/INV-1000499</t>
  </si>
  <si>
    <t>VARSANI LALJI</t>
  </si>
  <si>
    <t>GAIKE/06/24/INV-1000500</t>
  </si>
  <si>
    <t>VARSANI KARSAN</t>
  </si>
  <si>
    <t>GAIKE/06/24/INV-1000501</t>
  </si>
  <si>
    <t>ABHJIT YARDI</t>
  </si>
  <si>
    <t>GAIKE/06/24/INV-1000502</t>
  </si>
  <si>
    <t>SAURABH YARDI</t>
  </si>
  <si>
    <t>GAIKE/06/24/INV-1000503</t>
  </si>
  <si>
    <t>RINA THAKKER</t>
  </si>
  <si>
    <t>GAIKE/06/24/INV-1000504</t>
  </si>
  <si>
    <t>CHARU SHUKAL</t>
  </si>
  <si>
    <t>GAIKE/06/24/INV-1000505</t>
  </si>
  <si>
    <t>HARILAL SHARMA</t>
  </si>
  <si>
    <t>GAIKE/06/24/INV-1000506</t>
  </si>
  <si>
    <t>SAMPAT MENARIYA</t>
  </si>
  <si>
    <t>GAIKE/06/24/INV-1000507</t>
  </si>
  <si>
    <t>KRISHAN SHARMA</t>
  </si>
  <si>
    <t>GAIKE/06/24/INV-1000508</t>
  </si>
  <si>
    <t>PRADUMAN DWIVEDI</t>
  </si>
  <si>
    <t>GAIKE/06/24/INV-1000509</t>
  </si>
  <si>
    <t>AJITKUMAR SURAJ</t>
  </si>
  <si>
    <t>GAIKE/06/24/INV-1000510</t>
  </si>
  <si>
    <t>RAJESH DEWADI</t>
  </si>
  <si>
    <t>GAIKE/06/24/INV-1000511</t>
  </si>
  <si>
    <t>MR BABARIYA CHANDRESHKUMAR MADHUB</t>
  </si>
  <si>
    <t>GAIKE/06/24/INV-1000263</t>
  </si>
  <si>
    <t>MS SHANTABEN DINESH PATEL</t>
  </si>
  <si>
    <t>PC/05/2021/5178242/03</t>
  </si>
  <si>
    <t>GAIKE/06/24/INV-1000291</t>
  </si>
  <si>
    <t>MR RABADIA DEVENDRA KESHRA.</t>
  </si>
  <si>
    <t>KEA1B/IC793/23/000096/02</t>
  </si>
  <si>
    <t>GAIKE/06/24/INV-1000419</t>
  </si>
  <si>
    <t>MR MILAN DHANJI KERAI</t>
  </si>
  <si>
    <t>PC/05/2022/7337378/02</t>
  </si>
  <si>
    <t>GAIKE/06/24/INV-1000429</t>
  </si>
  <si>
    <t>MR PUSHPAK DHANJI KERAI</t>
  </si>
  <si>
    <t>PC/05/2022/7312370/02</t>
  </si>
  <si>
    <t>GAIKE/06/24/INV-1000431</t>
  </si>
  <si>
    <t>PREMJI KARSAN VORA</t>
  </si>
  <si>
    <t>PR/03/2015/1228921/09</t>
  </si>
  <si>
    <t>GAIKE/06/24/INV-1000598</t>
  </si>
  <si>
    <t>GAIKE/06/24/INV-1000622</t>
  </si>
  <si>
    <t>GAIKE/06/24/INV-1000629</t>
  </si>
  <si>
    <t>GAIKE/06/24/INV-1000637</t>
  </si>
  <si>
    <t>GAIKE/06/24/INV-1000638</t>
  </si>
  <si>
    <t>GAIKE/06/24/INV-1000639</t>
  </si>
  <si>
    <t>GAIKE/06/24/INV-1000640</t>
  </si>
  <si>
    <t>GAIKE/06/24/INV-1000641</t>
  </si>
  <si>
    <t>GAIKE/06/24/INV-1000644</t>
  </si>
  <si>
    <t>GAIKE/06/24/INV-1000647</t>
  </si>
  <si>
    <t>GAIKE/06/24/INV-1000667</t>
  </si>
  <si>
    <t>GAIKE/06/24/INV-1000678</t>
  </si>
  <si>
    <t>GAIKE/06/24/INV-1000680</t>
  </si>
  <si>
    <t>GAIKE/06/24/INV-1000682</t>
  </si>
  <si>
    <t>GAIKE/06/24/INV-1000691</t>
  </si>
  <si>
    <t>GAIKE/06/24/INV-1000694</t>
  </si>
  <si>
    <t>GAIKE/06/24/INV-1000701</t>
  </si>
  <si>
    <t>MR MALIK SHIRAZ KARACHIWALLA</t>
  </si>
  <si>
    <t>KEA1B/IC781/23/000050/02</t>
  </si>
  <si>
    <t>GAIKE/06/24/INV-1000704</t>
  </si>
  <si>
    <t>MRS NAZNIM KIARACHIWALLA SHIRAZIAL</t>
  </si>
  <si>
    <t>KEA1B/IC905/23/000014/02</t>
  </si>
  <si>
    <t>GAIKE/06/24/INV-1000705</t>
  </si>
  <si>
    <t>MR SALIM SHIRAZ KARACHIWALLA</t>
  </si>
  <si>
    <t>KEA1B/IC781/23/000051/02</t>
  </si>
  <si>
    <t>GAIKE/06/24/INV-1000707</t>
  </si>
  <si>
    <t>GAIKE/06/24/INV-1000714</t>
  </si>
  <si>
    <t>PC/06/2020/4106473/04</t>
  </si>
  <si>
    <t>GAIKE/06/24/INV-1000717</t>
  </si>
  <si>
    <t>GAIKE/06/24/INV-1000738</t>
  </si>
  <si>
    <t>GAIKE/06/24/INV-1000739</t>
  </si>
  <si>
    <t>GAIKE/06/24/INV-1000740</t>
  </si>
  <si>
    <t>GAIKE/06/24/INV-1000741</t>
  </si>
  <si>
    <t>MR VEER RASIK SHAH</t>
  </si>
  <si>
    <t>KEA1B/IC793/24/000109/01</t>
  </si>
  <si>
    <t>GAIKE/06/24/INV-1000749</t>
  </si>
  <si>
    <t>MS TEJAL RASIK SHAH</t>
  </si>
  <si>
    <t>KEA1B/IC793/24/000108/01</t>
  </si>
  <si>
    <t>GAIKE/06/24/INV-1000750</t>
  </si>
  <si>
    <t>GAIKE/06/24/INV-1000762</t>
  </si>
  <si>
    <t>GAIKE/06/24/INV-1000764</t>
  </si>
  <si>
    <t>GAIKE/06/24/INV-1000771</t>
  </si>
  <si>
    <t>MS KHILNA DINESH PATEL</t>
  </si>
  <si>
    <t>KEA1B/IC832/23/000045/02</t>
  </si>
  <si>
    <t>GAIKE/06/24/INV-1000735</t>
  </si>
  <si>
    <t>MR PRITESH VIRJI RAGHVANI</t>
  </si>
  <si>
    <t>KEA1B/IC793/23/000099/02</t>
  </si>
  <si>
    <t>GAIKE/06/24/INV-1000745</t>
  </si>
  <si>
    <t>PC/05/2022/7473202/02</t>
  </si>
  <si>
    <t>GAIKE/06/24/INV-1000761</t>
  </si>
  <si>
    <t>MRS PATEL NANBAI DHANJI</t>
  </si>
  <si>
    <t>PC/05/2020/4048553/04</t>
  </si>
  <si>
    <t>GAIKE/06/24/INV-1000766</t>
  </si>
  <si>
    <t>MR NILESH DHANJI PATEL</t>
  </si>
  <si>
    <t>PC/05/2020/4048550/04</t>
  </si>
  <si>
    <t>GAIKE/06/24/INV-1000768</t>
  </si>
  <si>
    <t>PC/06/2021/5373132/03</t>
  </si>
  <si>
    <t>GAIKE/06/24/INV-1000778</t>
  </si>
  <si>
    <t>2024-06-17</t>
  </si>
  <si>
    <t>2025-06-16</t>
  </si>
  <si>
    <t>AMIT PRAKASH WANZAH</t>
  </si>
  <si>
    <t>PR/05/2022/7235472/02</t>
  </si>
  <si>
    <t>GAIKE/06/24/INV-1000785</t>
  </si>
  <si>
    <t>GIRISHBHAI MANIBHAI PATEL.</t>
  </si>
  <si>
    <t>PR/06/2015/1073357/09</t>
  </si>
  <si>
    <t>GAIKE/06/24/INV-1000793</t>
  </si>
  <si>
    <t>GAIKE/06/24/INV-1000801</t>
  </si>
  <si>
    <t>GAIKE/06/24/INV-1000804</t>
  </si>
  <si>
    <t>GULF AFRICAN BANK LIMITED</t>
  </si>
  <si>
    <t>KEA1B/CD719/24/000001/01</t>
  </si>
  <si>
    <t>AMS INSURANCE BROKERS LIMITED -NAIROBI</t>
  </si>
  <si>
    <t>GAIKE/06/24/INV-1000809</t>
  </si>
  <si>
    <t>Banks</t>
  </si>
  <si>
    <t>GAIKE/06/24/INV-1000812</t>
  </si>
  <si>
    <t>GAIKE/06/24/INV-1000814</t>
  </si>
  <si>
    <t>HIRENDRA JERAMBHAI MORJARIA</t>
  </si>
  <si>
    <t>GAIKE/06/24/INV-1000815</t>
  </si>
  <si>
    <t>GAURANG DIXIT</t>
  </si>
  <si>
    <t>GAIKE/06/24/INV-1000816</t>
  </si>
  <si>
    <t>NARENDRA CHALLA</t>
  </si>
  <si>
    <t>GAIKE/06/24/INV-1000817</t>
  </si>
  <si>
    <t>JAY KOTHARI</t>
  </si>
  <si>
    <t>GAIKE/06/24/INV-1000818</t>
  </si>
  <si>
    <t>DARSHNA HARIA</t>
  </si>
  <si>
    <t>GAIKE/06/24/INV-1000819</t>
  </si>
  <si>
    <t>SRIPRERUMBUDUR BHOOPAL</t>
  </si>
  <si>
    <t>GAIKE/06/24/INV-1000820</t>
  </si>
  <si>
    <t>KALPA  PADIA   </t>
  </si>
  <si>
    <t>GAIKE/06/24/INV-1000821</t>
  </si>
  <si>
    <t>GAIKE/06/24/INV-1000822</t>
  </si>
  <si>
    <t>PC/06/2021/5338161/03</t>
  </si>
  <si>
    <t>GAIKE/06/24/INV-1000628</t>
  </si>
  <si>
    <t>AMIR ISLAM MBARAK</t>
  </si>
  <si>
    <t>PR/06/2022/7488408/02</t>
  </si>
  <si>
    <t>GAIKE/06/24/INV-1000736</t>
  </si>
  <si>
    <t>2025-05-22</t>
  </si>
  <si>
    <t>GAIKE/06/24/INV-1000824</t>
  </si>
  <si>
    <t>HIRANI KANJI KURJI</t>
  </si>
  <si>
    <t>KEA1B/IC793/24/000112/01</t>
  </si>
  <si>
    <t>GAIKE/06/24/INV-1000706</t>
  </si>
  <si>
    <t>MR SAMWEL MAINA GICHOHI</t>
  </si>
  <si>
    <t>KEA1B/IC793/23/000105/02</t>
  </si>
  <si>
    <t>GAIKE/06/24/INV-1000827</t>
  </si>
  <si>
    <t>DHIREN NEMCHAND K SHAH</t>
  </si>
  <si>
    <t>GAIKE/06/24/INV-1000829</t>
  </si>
  <si>
    <t>2025-06-10</t>
  </si>
  <si>
    <t>MS CHARUMATI RASIK SHAH</t>
  </si>
  <si>
    <t>KEA1B/IC793/24/000113/01</t>
  </si>
  <si>
    <t>GAIKE/06/24/INV-1000830</t>
  </si>
  <si>
    <t>MR PRAVIN SHIVJI PATEL</t>
  </si>
  <si>
    <t>KEA1B/IC793/24/000110/01</t>
  </si>
  <si>
    <t>GAIKE/06/24/INV-1000831</t>
  </si>
  <si>
    <t>MS DAKSHA PRAVIN PATEL</t>
  </si>
  <si>
    <t>KEA1B/IC793/24/000114/01</t>
  </si>
  <si>
    <t>GAIKE/06/24/INV-1000832</t>
  </si>
  <si>
    <t>MR RAJESH HARJI KABARIYA</t>
  </si>
  <si>
    <t>KEA1B/IC832/24/000035/01</t>
  </si>
  <si>
    <t>GAIKE/06/24/INV-1000833</t>
  </si>
  <si>
    <t>GAIKE/06/24/INV-1000838</t>
  </si>
  <si>
    <t>GAIKE/06/24/INV-1000844</t>
  </si>
  <si>
    <t>GAIKE/06/24/INV-1000846</t>
  </si>
  <si>
    <t>GAIKE/06/24/INV-1000847</t>
  </si>
  <si>
    <t>GAIKE/06/24/INV-1000849</t>
  </si>
  <si>
    <t>PC/11/2019/3619618/04</t>
  </si>
  <si>
    <t>GAIKE/06/24/INV-1000851</t>
  </si>
  <si>
    <t>MR JATINKUMAR AMRUTLAL SUMARIYA</t>
  </si>
  <si>
    <t>KEA1B/IC793/24/000116/01</t>
  </si>
  <si>
    <t>GAIKE/06/24/INV-1000854</t>
  </si>
  <si>
    <t>GAIKE/06/24/INV-1000859</t>
  </si>
  <si>
    <t>GAIKE/06/24/INV-1000861</t>
  </si>
  <si>
    <t>DIPAK VALJI BHUDIA</t>
  </si>
  <si>
    <t>GAIKE/06/24/INV-1000862</t>
  </si>
  <si>
    <t>GAIKE/06/24/INV-1000864</t>
  </si>
  <si>
    <t>GAIKE/06/24/INV-1000865</t>
  </si>
  <si>
    <t>GAIKE/06/24/INV-1000866</t>
  </si>
  <si>
    <t>KEA1B/IC781/23/000036/02</t>
  </si>
  <si>
    <t>GAIKE/06/24/INV-1000757</t>
  </si>
  <si>
    <t>MS USHA PRAVIN</t>
  </si>
  <si>
    <t>KEA1B/IC832/24/000034/01</t>
  </si>
  <si>
    <t>GAIKE/06/24/INV-1000789</t>
  </si>
  <si>
    <t>MARIAM MOHAMED OMAR</t>
  </si>
  <si>
    <t>PR/06/2021/5342387/03</t>
  </si>
  <si>
    <t>GAIKE/06/24/INV-1000839</t>
  </si>
  <si>
    <t>GAIKE/06/24/INV-1000888</t>
  </si>
  <si>
    <t>GAIKE/06/24/INV-1000901</t>
  </si>
  <si>
    <t>GAIKE/06/24/INV-1000910</t>
  </si>
  <si>
    <t>GAIKE/06/24/INV-1000912</t>
  </si>
  <si>
    <t>GAIKE/06/24/INV-1000913</t>
  </si>
  <si>
    <t>GAIKE/06/24/INV-1000914</t>
  </si>
  <si>
    <t>GAIKE/06/24/INV-1000916</t>
  </si>
  <si>
    <t>GAIKE/06/24/INV-1000917</t>
  </si>
  <si>
    <t>NGAO MWADINGO NGAO</t>
  </si>
  <si>
    <t>GAIKE/06/24/INV-1000918</t>
  </si>
  <si>
    <t>GAIKE/06/24/INV-1000924</t>
  </si>
  <si>
    <t>GAIKE/06/24/INV-1000925</t>
  </si>
  <si>
    <t>KAJAL  KIRTIK    PADIA</t>
  </si>
  <si>
    <t>GAIKE/06/24/INV-1000926</t>
  </si>
  <si>
    <t>BALVIR SINGH BALAWANT</t>
  </si>
  <si>
    <t>GAIKE/06/24/INV-1000927</t>
  </si>
  <si>
    <t>PRAVIN PATTNI</t>
  </si>
  <si>
    <t>GAIKE/06/24/INV-1000928</t>
  </si>
  <si>
    <t>DEEPAK KUMAR  BIJ</t>
  </si>
  <si>
    <t>GAIKE/06/24/INV-1000929</t>
  </si>
  <si>
    <t>MANVIR SINGH BHAMRA</t>
  </si>
  <si>
    <t>GAIKE/06/24/INV-1000930</t>
  </si>
  <si>
    <t>BABU GOPALDAS RUPARELIA</t>
  </si>
  <si>
    <t>GAIKE/06/24/INV-1000931</t>
  </si>
  <si>
    <t>MADHUKUMARI BABU RUPARELIA </t>
  </si>
  <si>
    <t>GAIKE/06/24/INV-1000932</t>
  </si>
  <si>
    <t>SUNIL GIRDHARLAL SONI</t>
  </si>
  <si>
    <t>GAIKE/06/24/INV-1000934</t>
  </si>
  <si>
    <t>GURINDER SINGH</t>
  </si>
  <si>
    <t>GAIKE/06/24/INV-1000935</t>
  </si>
  <si>
    <t>KULDEEP SINGH</t>
  </si>
  <si>
    <t>GAIKE/06/24/INV-1000936</t>
  </si>
  <si>
    <t>THOMAS ANTONY KURISINKAL</t>
  </si>
  <si>
    <t>GAIKE/06/24/INV-1000937</t>
  </si>
  <si>
    <t>VINEETHA ANTONY</t>
  </si>
  <si>
    <t>GAIKE/06/24/INV-1000938</t>
  </si>
  <si>
    <t>GAIKE/06/24/INV-1000940</t>
  </si>
  <si>
    <t>GAIKE/06/24/INV-1000941</t>
  </si>
  <si>
    <t>GAIKE/06/24/INV-1000944</t>
  </si>
  <si>
    <t>SUCHIT KORIA</t>
  </si>
  <si>
    <t>GAIKE/06/24/INV-1000954</t>
  </si>
  <si>
    <t>INDUMATI KORIA</t>
  </si>
  <si>
    <t>GAIKE/06/24/INV-1000955</t>
  </si>
  <si>
    <t>GAIKE/06/24/INV-1000960</t>
  </si>
  <si>
    <t>SAGAR RAJNIKANT JHANKHARIA</t>
  </si>
  <si>
    <t>GAIKE/06/24/INV-1000961</t>
  </si>
  <si>
    <t>GAIKE/06/24/INV-1000962</t>
  </si>
  <si>
    <t>SANDEEP SHAH</t>
  </si>
  <si>
    <t>GAIKE/06/24/INV-1000963</t>
  </si>
  <si>
    <t>MR HUSSEIN ALI VALLIAN</t>
  </si>
  <si>
    <t>KEA1B/IC830/24/000023/01</t>
  </si>
  <si>
    <t>GAIKE/06/24/INV-1000964</t>
  </si>
  <si>
    <t>GAIKE/06/24/INV-1000966</t>
  </si>
  <si>
    <t>GAIKE/06/24/INV-1000971</t>
  </si>
  <si>
    <t>GAIKE/06/24/INV-1000973</t>
  </si>
  <si>
    <t>RASESHKUMAR PURUSHOTTAMDAS PATEL</t>
  </si>
  <si>
    <t>KEA1B/IC815/24/000024/01</t>
  </si>
  <si>
    <t>GAIKE/06/24/INV-1000952</t>
  </si>
  <si>
    <t>GAIKE/06/24/INV-1000977</t>
  </si>
  <si>
    <t>GAIKE/06/24/INV-1000979</t>
  </si>
  <si>
    <t>GAIKE/06/24/INV-1000980</t>
  </si>
  <si>
    <t>SUKHDEV SINGH JANDU</t>
  </si>
  <si>
    <t>GAIKE/06/24/INV-1000983</t>
  </si>
  <si>
    <t>GURDEEP KAUR JANDU</t>
  </si>
  <si>
    <t>GAIKE/06/24/INV-1000984</t>
  </si>
  <si>
    <t>RAHUL NEMCHAND HARIA</t>
  </si>
  <si>
    <t>GAIKE/06/24/INV-1000985</t>
  </si>
  <si>
    <t>PC/06/2019/3215954/05</t>
  </si>
  <si>
    <t>GAIKE/06/24/INV-1000874</t>
  </si>
  <si>
    <t>MR MUBARAK SULEIMAN OMAR</t>
  </si>
  <si>
    <t>PC/06/2021/5325104/03</t>
  </si>
  <si>
    <t>GAIKE/06/24/INV-1000992</t>
  </si>
  <si>
    <t>MR NANAK SINGH BANSAL</t>
  </si>
  <si>
    <t>KEA1B/IC793/24/000119/01</t>
  </si>
  <si>
    <t>HILLSPAN INSURANCE BROKERS LIMITED</t>
  </si>
  <si>
    <t>GAIKE/06/24/INV-1000993</t>
  </si>
  <si>
    <t>MR BHUDIA SHANTI RAMJI.</t>
  </si>
  <si>
    <t>PC/11/2019/3527264/04</t>
  </si>
  <si>
    <t>GAIKE/06/24/INV-1000994</t>
  </si>
  <si>
    <t>2025-06-24</t>
  </si>
  <si>
    <t>MR NISCHAY DHANJI KERAI</t>
  </si>
  <si>
    <t>PC/05/2022/7337398/02</t>
  </si>
  <si>
    <t>GAIKE/06/24/INV-1000995</t>
  </si>
  <si>
    <t>MR ASAD MUBARAK OMAR</t>
  </si>
  <si>
    <t>PC/06/2021/5342529/03</t>
  </si>
  <si>
    <t>GAIKE/06/24/INV-1000996</t>
  </si>
  <si>
    <t>GAIKE/06/24/INV-1001005</t>
  </si>
  <si>
    <t>GAIKE/06/24/INV-1001009</t>
  </si>
  <si>
    <t>GAIKE/06/24/INV-1001010</t>
  </si>
  <si>
    <t>GAIKE/06/24/INV-1001015</t>
  </si>
  <si>
    <t>MAHESHKUMAR SHAH</t>
  </si>
  <si>
    <t>GAIKE/06/24/INV-1001035</t>
  </si>
  <si>
    <t>MRS CHANDRIKA PRAVINCHANDRA SHAH</t>
  </si>
  <si>
    <t>KEA1B/IC793/24/000121/01</t>
  </si>
  <si>
    <t>GAIKE/06/24/INV-1001041</t>
  </si>
  <si>
    <t>KAMAL KUMAR PATEL</t>
  </si>
  <si>
    <t>GAIKE/06/24/INV-1001045</t>
  </si>
  <si>
    <t>BHAVESH KANABAR</t>
  </si>
  <si>
    <t>GAIKE/06/24/INV-1001057</t>
  </si>
  <si>
    <t>HARISHKRISHNA SOMABHAI</t>
  </si>
  <si>
    <t>GAIKE/06/24/INV-1001058</t>
  </si>
  <si>
    <t>GAIKE/06/24/INV-1001062</t>
  </si>
  <si>
    <t>GAIKE/06/24/INV-1001064</t>
  </si>
  <si>
    <t>GAIKE/06/24/INV-1001069</t>
  </si>
  <si>
    <t>GAIKE/06/24/INV-1001070</t>
  </si>
  <si>
    <t>GAIKE/06/24/INV-1001071</t>
  </si>
  <si>
    <t>GAIKE/06/24/INV-1001075</t>
  </si>
  <si>
    <t>SUDHABEN RAMJI SHAH</t>
  </si>
  <si>
    <t>GAIKE/06/24/INV-1001102</t>
  </si>
  <si>
    <t>PRABHULAL KHIMA</t>
  </si>
  <si>
    <t>GAIKE/06/24/INV-1001103</t>
  </si>
  <si>
    <t>SURYABEN SHAH</t>
  </si>
  <si>
    <t>GAIKE/06/24/INV-1001104</t>
  </si>
  <si>
    <t>RITA SHAH</t>
  </si>
  <si>
    <t>GAIKE/06/24/INV-1001105</t>
  </si>
  <si>
    <t>RAVINA SHAH</t>
  </si>
  <si>
    <t>GAIKE/06/24/INV-1001106</t>
  </si>
  <si>
    <t>HARSHNI SHAH</t>
  </si>
  <si>
    <t>GAIKE/06/24/INV-1001107</t>
  </si>
  <si>
    <t>JASWANT JUTTLA</t>
  </si>
  <si>
    <t>GAIKE/06/24/INV-1001108</t>
  </si>
  <si>
    <t>MUTREJA BHOLE SHANKAR</t>
  </si>
  <si>
    <t>GAIKE/06/24/INV-1001109</t>
  </si>
  <si>
    <t>SANDEEP DODHIA</t>
  </si>
  <si>
    <t>GAIKE/06/24/INV-1001110</t>
  </si>
  <si>
    <t>HANSA SAVLA</t>
  </si>
  <si>
    <t>GAIKE/06/24/INV-1001111</t>
  </si>
  <si>
    <t>BINA KETENKUMAR D SONI</t>
  </si>
  <si>
    <t>GAIKE/06/24/INV-1001112</t>
  </si>
  <si>
    <t>SANGITA AJMERA</t>
  </si>
  <si>
    <t>GAIKE/06/24/INV-1001113</t>
  </si>
  <si>
    <t>HEMCHAND DHARAMSHI SAVALA</t>
  </si>
  <si>
    <t>GAIKE/06/24/INV-1001114</t>
  </si>
  <si>
    <t>RONALD MOMANYI TIRIMBA</t>
  </si>
  <si>
    <t>GAIKE/06/24/INV-1001115</t>
  </si>
  <si>
    <t>JULIANA KANINI NZIOKI</t>
  </si>
  <si>
    <t>GAIKE/06/24/INV-1001116</t>
  </si>
  <si>
    <t>GLADYS NYATICH MAKORI</t>
  </si>
  <si>
    <t>GAIKE/06/24/INV-1001117</t>
  </si>
  <si>
    <t>MADHURI NAVICHANDRA GOSRANI</t>
  </si>
  <si>
    <t>GAIKE/06/24/INV-1001119</t>
  </si>
  <si>
    <t>KALPESH NAVINCHANDRA GOSRANI</t>
  </si>
  <si>
    <t>GAIKE/06/24/INV-1001120</t>
  </si>
  <si>
    <t>JADVA VEKARIYA</t>
  </si>
  <si>
    <t>GAIKE/06/24/INV-1001122</t>
  </si>
  <si>
    <t>SHARAD CHOTAI</t>
  </si>
  <si>
    <t>GAIKE/06/24/INV-1001123</t>
  </si>
  <si>
    <t>RITA CHOTAI</t>
  </si>
  <si>
    <t>GAIKE/06/24/INV-1001124</t>
  </si>
  <si>
    <t>SIKANDER ABDULGANI HAJI</t>
  </si>
  <si>
    <t>GAIKE/06/24/INV-1001125</t>
  </si>
  <si>
    <t>ABDULGANI ESMAIL</t>
  </si>
  <si>
    <t>GAIKE/06/24/INV-1001126</t>
  </si>
  <si>
    <t>CHANDRESHKUMAR KHETIA</t>
  </si>
  <si>
    <t>GAIKE/06/24/INV-1001127</t>
  </si>
  <si>
    <t>ARUN JAIN</t>
  </si>
  <si>
    <t>GAIKE/06/24/INV-1001128</t>
  </si>
  <si>
    <t>MEENA JAIN</t>
  </si>
  <si>
    <t>GAIKE/06/24/INV-1001129</t>
  </si>
  <si>
    <t>RAMESH SHAH</t>
  </si>
  <si>
    <t>GAIKE/06/24/INV-1001130</t>
  </si>
  <si>
    <t>AKSHAY MOHANLAL SHAH</t>
  </si>
  <si>
    <t>GAIKE/06/24/INV-1001131</t>
  </si>
  <si>
    <t>JAYESH SHAH</t>
  </si>
  <si>
    <t>GAIKE/06/24/INV-1001132</t>
  </si>
  <si>
    <t>NILESH SHAH</t>
  </si>
  <si>
    <t>GAIKE/06/24/INV-1001133</t>
  </si>
  <si>
    <t>VINAY KARMAN SHAH</t>
  </si>
  <si>
    <t>GAIKE/06/24/INV-1001134</t>
  </si>
  <si>
    <t>ZULFIKAR SUWANI</t>
  </si>
  <si>
    <t>GAIKE/06/24/INV-1001135</t>
  </si>
  <si>
    <t>KHUSHI RAMNATH</t>
  </si>
  <si>
    <t>GAIKE/06/24/INV-1001136</t>
  </si>
  <si>
    <t>PANKAJKUMAR MEHTA</t>
  </si>
  <si>
    <t>GAIKE/06/24/INV-1001137</t>
  </si>
  <si>
    <t>ASHOK RAJPUT</t>
  </si>
  <si>
    <t>GAIKE/06/24/INV-1001138</t>
  </si>
  <si>
    <t>SANJAY RAJPUT</t>
  </si>
  <si>
    <t>GAIKE/06/24/INV-1001139</t>
  </si>
  <si>
    <t>SOHANLAL RAJPUT</t>
  </si>
  <si>
    <t>GAIKE/06/24/INV-1001140</t>
  </si>
  <si>
    <t>PRADIPKUMAR BAROT</t>
  </si>
  <si>
    <t>GAIKE/06/24/INV-1001141</t>
  </si>
  <si>
    <t>JATINKUMAR BAROT</t>
  </si>
  <si>
    <t>GAIKE/06/24/INV-1001142</t>
  </si>
  <si>
    <t>BHAVESH BAROT</t>
  </si>
  <si>
    <t>GAIKE/06/24/INV-1001143</t>
  </si>
  <si>
    <t>JAYANTILAL SHAH</t>
  </si>
  <si>
    <t>GAIKE/06/24/INV-1001144</t>
  </si>
  <si>
    <t>DEEKSHITULU NANDULA</t>
  </si>
  <si>
    <t>GAIKE/06/24/INV-1001145</t>
  </si>
  <si>
    <t>CHETANKUMAR PATEL</t>
  </si>
  <si>
    <t>GAIKE/06/24/INV-1001146</t>
  </si>
  <si>
    <t>DHRUV CHETANKUMAR PATEL</t>
  </si>
  <si>
    <t>GAIKE/06/24/INV-1001147</t>
  </si>
  <si>
    <t>RIKESH BHASKER BHUNDIA</t>
  </si>
  <si>
    <t>GAIKE/06/24/INV-1001148</t>
  </si>
  <si>
    <t>RAMESHCHANDRA SHAH</t>
  </si>
  <si>
    <t>GAIKE/06/24/INV-1001149</t>
  </si>
  <si>
    <t>GAIKE/06/24/INV-1001150</t>
  </si>
  <si>
    <t>SHEHZAN LUHAR</t>
  </si>
  <si>
    <t>GAIKE/06/24/INV-1001151</t>
  </si>
  <si>
    <t>VIKESH HARIA</t>
  </si>
  <si>
    <t>GAIKE/06/24/INV-1001152</t>
  </si>
  <si>
    <t>HARIA NEMCHAND</t>
  </si>
  <si>
    <t>GAIKE/06/24/INV-1001153</t>
  </si>
  <si>
    <t>MUKESHCHANDRA HARIYA</t>
  </si>
  <si>
    <t>GAIKE/06/24/INV-1001154</t>
  </si>
  <si>
    <t>BONFACE MAINA</t>
  </si>
  <si>
    <t>GAIKE/06/24/INV-1001155</t>
  </si>
  <si>
    <t>SIMON MBURU</t>
  </si>
  <si>
    <t>GAIKE/06/24/INV-1001156</t>
  </si>
  <si>
    <t>SILAS MAINA</t>
  </si>
  <si>
    <t>GAIKE/06/24/INV-1001159</t>
  </si>
  <si>
    <t>KAMAL SHAH</t>
  </si>
  <si>
    <t>GAIKE/06/24/INV-1001161</t>
  </si>
  <si>
    <t>ATUL GARG</t>
  </si>
  <si>
    <t>GAIKE/06/24/INV-1001162</t>
  </si>
  <si>
    <t>MAHENDRA NAGARIYA</t>
  </si>
  <si>
    <t>GAIKE/06/24/INV-1001163</t>
  </si>
  <si>
    <t>MAHMOODA YUSUF HASHAM MOHAMED</t>
  </si>
  <si>
    <t>GAIKE/06/24/INV-1001164</t>
  </si>
  <si>
    <t>GAIKE/06/24/INV-1001171</t>
  </si>
  <si>
    <t>GAIKE/06/24/INV-1001183</t>
  </si>
  <si>
    <t>DHIREN SAMJI PATEL</t>
  </si>
  <si>
    <t>KEA1B/IC793/23/000110/02</t>
  </si>
  <si>
    <t>LALIT SODHA INSURANCE BROKERS LTD</t>
  </si>
  <si>
    <t>GAIKE/06/24/INV-1000986</t>
  </si>
  <si>
    <t>MR NIRMALYA SHOME</t>
  </si>
  <si>
    <t>KEA1B/IC832/23/000049/02</t>
  </si>
  <si>
    <t>GAIKE/06/24/INV-1001013</t>
  </si>
  <si>
    <t>MAC HARDWARE LIMITED</t>
  </si>
  <si>
    <t>PC/09/2015/1152316/03</t>
  </si>
  <si>
    <t>GAIKE/06/24/INV-1001194</t>
  </si>
  <si>
    <t>PR/07/2022/7742036/02</t>
  </si>
  <si>
    <t>GAIKE/06/24/INV-1001199</t>
  </si>
  <si>
    <t>2024-07-01</t>
  </si>
  <si>
    <t>2025-06-30</t>
  </si>
  <si>
    <t>MR LALJI MANSUKH LAKHMAN</t>
  </si>
  <si>
    <t>KEA1B/IC793/23/000098/02</t>
  </si>
  <si>
    <t>GAIKE/06/24/INV-1001201</t>
  </si>
  <si>
    <t>GAIKE/06/24/INV-1001202</t>
  </si>
  <si>
    <t>GAIKE/06/24/INV-1001203</t>
  </si>
  <si>
    <t>GAIKE/06/24/INV-1001205</t>
  </si>
  <si>
    <t>GAIKE/06/24/INV-1001211</t>
  </si>
  <si>
    <t>GAIKE/06/24/INV-1001212</t>
  </si>
  <si>
    <t>GAIKE/06/24/INV-1001213</t>
  </si>
  <si>
    <t>NEEL MANESH SHAH</t>
  </si>
  <si>
    <t>GAIKE/06/24/INV-1001214</t>
  </si>
  <si>
    <t>PR/04/2020/4050297/04</t>
  </si>
  <si>
    <t>GAIKE/06/24/INV-1001235</t>
  </si>
  <si>
    <t>GAIKE/06/24/INV-1001238</t>
  </si>
  <si>
    <t>GAIKE/06/24/INV-1001239</t>
  </si>
  <si>
    <t>PC/06/2015/1085051/09</t>
  </si>
  <si>
    <t>GAIKE/06/24/INV-1001244</t>
  </si>
  <si>
    <t>2025-06-26</t>
  </si>
  <si>
    <t>GAIKE/06/24/INV-1001247</t>
  </si>
  <si>
    <t>GAIKE/06/24/INV-1001249</t>
  </si>
  <si>
    <t>UGAM ENTERPRISES LTD</t>
  </si>
  <si>
    <t>PC/06/2020/4085556/04</t>
  </si>
  <si>
    <t>GAIKE/06/24/INV-1001251</t>
  </si>
  <si>
    <t>MR NICHOLUS MUTHINJI WAIRIMA</t>
  </si>
  <si>
    <t>KEA1B/IC830/24/000025/01</t>
  </si>
  <si>
    <t>GAIKE/06/24/INV-1001252</t>
  </si>
  <si>
    <t>DIASTAR AUTO CARE CENTRE LIMITED</t>
  </si>
  <si>
    <t>PC/06/2022/7389392/02</t>
  </si>
  <si>
    <t>GAIKE/06/24/INV-1001259</t>
  </si>
  <si>
    <t>MISS NJOKI MAINA</t>
  </si>
  <si>
    <t>KEA1B/IC832/24/000038/01</t>
  </si>
  <si>
    <t>GAIKE/06/24/INV-1001261</t>
  </si>
  <si>
    <t>MR BALRAJ SINGH VIRDI</t>
  </si>
  <si>
    <t>PR/06/2022/7351847/02</t>
  </si>
  <si>
    <t>GAIKE/06/24/INV-1000599</t>
  </si>
  <si>
    <t>2025-06-07</t>
  </si>
  <si>
    <t>PR/06/2022/7351773/02</t>
  </si>
  <si>
    <t>GAIKE/06/24/INV-1000600</t>
  </si>
  <si>
    <t>MS SATVINDER KAUR BHACHU</t>
  </si>
  <si>
    <t>KEA1B/IC781/23/000044/02</t>
  </si>
  <si>
    <t>GAIKE/06/24/INV-1000879</t>
  </si>
  <si>
    <t>2024-06-23</t>
  </si>
  <si>
    <t>2025-06-22</t>
  </si>
  <si>
    <t>MR SAMJI VELJI PATEL</t>
  </si>
  <si>
    <t>KEA1B/IC895/23/000038/02</t>
  </si>
  <si>
    <t>GAIKE/06/24/INV-1001264</t>
  </si>
  <si>
    <t>PC/06/2022/7450458/02</t>
  </si>
  <si>
    <t>GAIKE/06/24/INV-1001266</t>
  </si>
  <si>
    <t>MR PRATIK JATISH MEGHJI SHAH</t>
  </si>
  <si>
    <t>KEA1B/IC781/24/000052/01</t>
  </si>
  <si>
    <t>GAIKE/06/24/INV-1001267</t>
  </si>
  <si>
    <t>MR DIPAK KHIMJI NARAN</t>
  </si>
  <si>
    <t>KEA1B/IC832/24/000040/01</t>
  </si>
  <si>
    <t>GAIKE/06/24/INV-1001269</t>
  </si>
  <si>
    <t>MR KHIMJI NARAN PATEL</t>
  </si>
  <si>
    <t>KEA1B/IC832/24/000039/01</t>
  </si>
  <si>
    <t>GAIKE/06/24/INV-1001270</t>
  </si>
  <si>
    <t>MR NIKESH POPATLAL SHAH</t>
  </si>
  <si>
    <t>KEA1B/IC781/23/000031/02</t>
  </si>
  <si>
    <t>GAIKE/06/24/INV-1001271</t>
  </si>
  <si>
    <t>MR ANDREW KAHURA MOCHU</t>
  </si>
  <si>
    <t>KEA1B/IC830/23/000013/02</t>
  </si>
  <si>
    <t>GAIKE/06/24/INV-1001272</t>
  </si>
  <si>
    <t>MR MOSES MUCHERU NJOGA</t>
  </si>
  <si>
    <t>KEA1B/IC832/24/000037/01</t>
  </si>
  <si>
    <t>GAIKE/06/24/INV-1001275</t>
  </si>
  <si>
    <t>MR MICHAEL NDIRANGU GICHOHI</t>
  </si>
  <si>
    <t>KEA1B/IC895/24/000018/01</t>
  </si>
  <si>
    <t>GAIKE/06/24/INV-1001276</t>
  </si>
  <si>
    <t>MS KELLEN WANGARI GICHOHI</t>
  </si>
  <si>
    <t>KEA1B/IC815/24/000025/01</t>
  </si>
  <si>
    <t>GAIKE/06/24/INV-1001277</t>
  </si>
  <si>
    <t>GAIKE/06/24/RUF-1000070</t>
  </si>
  <si>
    <t>GAIKE/06/24/RUF-1000099</t>
  </si>
  <si>
    <t>GAIKE/06/24/RUF-1000030</t>
  </si>
  <si>
    <t>GAIKE/06/24/RUF-1000069</t>
  </si>
  <si>
    <t>GAIKE/06/24/RUF-1000043</t>
  </si>
  <si>
    <t>GAIKE/06/24/RUF-1000021</t>
  </si>
  <si>
    <t>GAIKE/06/24/RUF-1000023</t>
  </si>
  <si>
    <t>GAIKE/06/24/RUF-1000044</t>
  </si>
  <si>
    <t>GAIKE/06/24/RUF-1000079</t>
  </si>
  <si>
    <t>GAIKE/06/24/RUF-1000025</t>
  </si>
  <si>
    <t>GAIKE/06/24/RUF-1000101</t>
  </si>
  <si>
    <t>GAIKE/06/24/RUF-1000073</t>
  </si>
  <si>
    <t>GAIKE/06/24/RUF-1000014</t>
  </si>
  <si>
    <t>GAIKE/06/24/RUF-1000007</t>
  </si>
  <si>
    <t>GAIKE/06/24/RUF-1000060</t>
  </si>
  <si>
    <t>PC/06/2015/1060867/08</t>
  </si>
  <si>
    <t>GAIKE/06/24/RUF-1000002</t>
  </si>
  <si>
    <t>GAIKE/06/24/RUF-1000016</t>
  </si>
  <si>
    <t>GAIKE/06/24/RUF-1000017</t>
  </si>
  <si>
    <t>GAIKE/06/24/RUF-1000013</t>
  </si>
  <si>
    <t>GAIKE/06/24/RUF-1000010</t>
  </si>
  <si>
    <t>GAIKE/06/24/RUF-1000042</t>
  </si>
  <si>
    <t>GAIKE/06/24/RUF-1000084</t>
  </si>
  <si>
    <t>GAIKE/06/24/RUF-1000008</t>
  </si>
  <si>
    <t>GAIKE/06/24/RUF-1000024</t>
  </si>
  <si>
    <t>GAIKE/06/24/RUF-1000041</t>
  </si>
  <si>
    <t>GAIKE/06/24/RUF-1000009</t>
  </si>
  <si>
    <t>PC/01/2022/6338858/01</t>
  </si>
  <si>
    <t>GRAS SAVOYE KENYA INSURANCE BROKERS LTD</t>
  </si>
  <si>
    <t>431/2024</t>
  </si>
  <si>
    <t>2022-01-01</t>
  </si>
  <si>
    <t>2022-12-31</t>
  </si>
  <si>
    <t>GAIKE/06/24/INV-1000035</t>
  </si>
  <si>
    <t>GAIKE/06/24/INV-1000038</t>
  </si>
  <si>
    <t>PC/05/2021/5296365/03</t>
  </si>
  <si>
    <t>GAIKE/06/24/INV-1000028</t>
  </si>
  <si>
    <t>PC/05/2018/2483198/06</t>
  </si>
  <si>
    <t>GAIKE/06/24/INV-1000052</t>
  </si>
  <si>
    <t>GAIKE/06/24/INV-1000055</t>
  </si>
  <si>
    <t>GAIKE/06/24/INV-1000075</t>
  </si>
  <si>
    <t>GAIKE/06/24/INV-1000093</t>
  </si>
  <si>
    <t>GAIKE/06/24/INV-1000094</t>
  </si>
  <si>
    <t>GAIKE/06/24/INV-1000098</t>
  </si>
  <si>
    <t>KEA1B/CD503/23/000001/01</t>
  </si>
  <si>
    <t>GAIKE/06/24/INV-1000100</t>
  </si>
  <si>
    <t>2024-10-13</t>
  </si>
  <si>
    <t>CHILSON SHIKANGA WAMOJA.</t>
  </si>
  <si>
    <t>PR/05/2022/7263819/02</t>
  </si>
  <si>
    <t>GAIKE/06/24/INV-1000146</t>
  </si>
  <si>
    <t>GAIKE/06/24/INV-1000161</t>
  </si>
  <si>
    <t>GAIKE/06/24/INV-1000165</t>
  </si>
  <si>
    <t>GAIKE/06/24/INV-1000214</t>
  </si>
  <si>
    <t>GAIKE/06/24/INV-1000386</t>
  </si>
  <si>
    <t>GAIKE/06/24/INV-1000388</t>
  </si>
  <si>
    <t>GAIKE/06/24/INV-1000390</t>
  </si>
  <si>
    <t>GAIKE/06/24/INV-1000453</t>
  </si>
  <si>
    <t>GAIKE/06/24/INV-1000457</t>
  </si>
  <si>
    <t>GAIKE/06/24/INV-1000458</t>
  </si>
  <si>
    <t>GAIKE/06/24/INV-1000460</t>
  </si>
  <si>
    <t>GAIKE/06/24/INV-1000464</t>
  </si>
  <si>
    <t>GAIKE/06/24/INV-1000466</t>
  </si>
  <si>
    <t>GAIKE/06/24/INV-1000594</t>
  </si>
  <si>
    <t>GAIKE/06/24/INV-1000634</t>
  </si>
  <si>
    <t>GAIKE/06/24/INV-1000649</t>
  </si>
  <si>
    <t>GAIKE/06/24/INV-1000650</t>
  </si>
  <si>
    <t>GAIKE/06/24/INV-1000669</t>
  </si>
  <si>
    <t>GAIKE/06/24/INV-1000676</t>
  </si>
  <si>
    <t>GAIKE/06/24/INV-1000696</t>
  </si>
  <si>
    <t>GAIKE/06/24/INV-1000697</t>
  </si>
  <si>
    <t>TIN CAN MANUFACTURERS LTD.</t>
  </si>
  <si>
    <t>PC/04/2015/1039277/08</t>
  </si>
  <si>
    <t>GAIKE/06/24/INV-1000703</t>
  </si>
  <si>
    <t>GAIKE/06/24/INV-1000737</t>
  </si>
  <si>
    <t>GAIKE/06/24/INV-1000767</t>
  </si>
  <si>
    <t>GAIKE/06/24/INV-1000770</t>
  </si>
  <si>
    <t>PC/04/2015/1039277/09</t>
  </si>
  <si>
    <t>GAIKE/06/24/INV-1000776</t>
  </si>
  <si>
    <t>GAIKE/06/24/INV-1000802</t>
  </si>
  <si>
    <t>GAIKE/06/24/INV-1000805</t>
  </si>
  <si>
    <t>GAIKE/06/24/INV-1000806</t>
  </si>
  <si>
    <t>GEORGE SAVALI MAINGA</t>
  </si>
  <si>
    <t>PR/06/2020/4095827/04</t>
  </si>
  <si>
    <t>GAIKE/06/24/INV-1000807</t>
  </si>
  <si>
    <t>GAIKE/06/24/INV-1000810</t>
  </si>
  <si>
    <t>GAIKE/06/24/INV-1000811</t>
  </si>
  <si>
    <t>GAIKE/06/24/INV-1000823</t>
  </si>
  <si>
    <t>GAIKE/06/24/INV-1000845</t>
  </si>
  <si>
    <t>GAIKE/06/24/INV-1000855</t>
  </si>
  <si>
    <t>GAIKE/06/24/INV-1000856</t>
  </si>
  <si>
    <t>GAIKE/06/24/INV-1000867</t>
  </si>
  <si>
    <t>GAIKE/06/24/INV-1000869</t>
  </si>
  <si>
    <t>GAIKE/06/24/INV-1000870</t>
  </si>
  <si>
    <t>GAIKE/06/24/INV-1000875</t>
  </si>
  <si>
    <t>PC/06/2021/5300279/03</t>
  </si>
  <si>
    <t>GAIKE/06/24/INV-1000880</t>
  </si>
  <si>
    <t>2024-10-05</t>
  </si>
  <si>
    <t>PC/06/2021/5300271/03</t>
  </si>
  <si>
    <t>GAIKE/06/24/INV-1000881</t>
  </si>
  <si>
    <t>PC/06/2021/5299538/03</t>
  </si>
  <si>
    <t>GAIKE/06/24/INV-1000882</t>
  </si>
  <si>
    <t>PC/06/2021/5300109/03</t>
  </si>
  <si>
    <t>GAIKE/06/24/INV-1000883</t>
  </si>
  <si>
    <t>PC/06/2021/5300249/03</t>
  </si>
  <si>
    <t>GAIKE/06/24/INV-1000884</t>
  </si>
  <si>
    <t>PC/06/2021/5309335/03</t>
  </si>
  <si>
    <t>GAIKE/06/24/INV-1000885</t>
  </si>
  <si>
    <t>GAIKE/06/24/INV-1000906</t>
  </si>
  <si>
    <t>GAIKE/06/24/INV-1000911</t>
  </si>
  <si>
    <t>GAIKE/06/24/INV-1000919</t>
  </si>
  <si>
    <t>GAIKE/06/24/INV-1000920</t>
  </si>
  <si>
    <t>KEA1B/CD517/23/000002/01</t>
  </si>
  <si>
    <t>GAIKE/06/24/INV-1000921</t>
  </si>
  <si>
    <t>GAIKE/06/24/INV-1000922</t>
  </si>
  <si>
    <t>GAIKE/06/24/INV-1000939</t>
  </si>
  <si>
    <t>GAIKE/06/24/INV-1000969</t>
  </si>
  <si>
    <t>MS MARGARET KELLY AYUOYI</t>
  </si>
  <si>
    <t>KEA1B/IC832/24/000036/01</t>
  </si>
  <si>
    <t>GAIKE/06/24/INV-1000967</t>
  </si>
  <si>
    <t>GAIKE/06/24/INV-1000978</t>
  </si>
  <si>
    <t>GAIKE/06/24/INV-1000982</t>
  </si>
  <si>
    <t>GAIKE/06/24/INV-1001004</t>
  </si>
  <si>
    <t>GAIKE/06/24/INV-1001019</t>
  </si>
  <si>
    <t>GAIKE/06/24/INV-1001033</t>
  </si>
  <si>
    <t>GAIKE/06/24/INV-1001034</t>
  </si>
  <si>
    <t>GAIKE/06/24/INV-1001059</t>
  </si>
  <si>
    <t>GAIKE/06/24/INV-1001060</t>
  </si>
  <si>
    <t>GAIKE/06/24/INV-1001066</t>
  </si>
  <si>
    <t>GAIKE/06/24/INV-1001100</t>
  </si>
  <si>
    <t>GAIKE/06/24/INV-1001118</t>
  </si>
  <si>
    <t>GAIKE/06/24/INV-1001170</t>
  </si>
  <si>
    <t>GAIKE/06/24/INV-1001172</t>
  </si>
  <si>
    <t>GAIKE/06/24/INV-1001206</t>
  </si>
  <si>
    <t>GAIKE/06/24/INV-1001248</t>
  </si>
  <si>
    <t>GAIKE/06/24/INV-1001250</t>
  </si>
  <si>
    <t>KEA1B/CD455/23/000001/01</t>
  </si>
  <si>
    <t>GAIKE/06/24/INV-1001253</t>
  </si>
  <si>
    <t>MANDEEP KAUR SOKHI</t>
  </si>
  <si>
    <t>KEA1B/IC793/24/000120/01</t>
  </si>
  <si>
    <t>GAIKE/06/24/INV-1001256</t>
  </si>
  <si>
    <t>KAVEE QUARRIES LIMITED</t>
  </si>
  <si>
    <t>PC/06/2015/1068833/09</t>
  </si>
  <si>
    <t>GAIKE/06/24/INV-1001278</t>
  </si>
  <si>
    <t>PC/06/2015/1067631/09</t>
  </si>
  <si>
    <t>GAIKE/06/24/INV-1001281</t>
  </si>
  <si>
    <t>MR RICHARD MURITHI BUNDI</t>
  </si>
  <si>
    <t>KEA1B/IC819/24/000004/01</t>
  </si>
  <si>
    <t>GAIKE/06/24/INV-1001274</t>
  </si>
  <si>
    <t>2025-06-25</t>
  </si>
  <si>
    <t>U.S EMBASSY-1998 BOMBING</t>
  </si>
  <si>
    <t>434/2024</t>
  </si>
  <si>
    <t>U.S EMBASSY-PEACE CORPS KENYA</t>
  </si>
  <si>
    <t>PC/06/2021/5300108/02</t>
  </si>
  <si>
    <t>437/2024</t>
  </si>
  <si>
    <t>U.S EMBASSY-ORE</t>
  </si>
  <si>
    <t>435/2024</t>
  </si>
  <si>
    <t>GAIKE/06/24/RUF-1000088</t>
  </si>
  <si>
    <t>GAIKE/06/24/RUF-1000082</t>
  </si>
  <si>
    <t>GAIKE/06/24/RUF-1000086</t>
  </si>
  <si>
    <t>GAIKE/06/24/RUF-1000090</t>
  </si>
  <si>
    <t>GAIKE/06/24/RUF-1000081</t>
  </si>
  <si>
    <t>GAIKE/06/24/RUF-1000089</t>
  </si>
  <si>
    <t>GAIKE/06/24/RUF-1000028</t>
  </si>
  <si>
    <t>GAIKE/06/24/RUF-1000005</t>
  </si>
  <si>
    <t>GAIKE/06/24/RUF-1000093</t>
  </si>
  <si>
    <t>MR RONAK NARENDRA THAKKAR</t>
  </si>
  <si>
    <t>KEA1B/IC781/23/000026/01</t>
  </si>
  <si>
    <t>GAIKE/04/23/RUF-1001246</t>
  </si>
  <si>
    <t>2023-03-11</t>
  </si>
  <si>
    <t>GAIKE/06/24/RUF-1000098</t>
  </si>
  <si>
    <t>GAIKE/06/24/RUF-1000046</t>
  </si>
  <si>
    <t>U.S EMBASSY-AEA</t>
  </si>
  <si>
    <t>436/2024</t>
  </si>
  <si>
    <t>GAIKE/06/24/RUF-1000015</t>
  </si>
  <si>
    <t>USAID-KENYA</t>
  </si>
  <si>
    <t>433/2024</t>
  </si>
  <si>
    <t>U.S EMBASSY</t>
  </si>
  <si>
    <t>432/2024</t>
  </si>
  <si>
    <t>PRM TAX</t>
  </si>
  <si>
    <t>COMM</t>
  </si>
  <si>
    <t xml:space="preserve">REINS SHARE </t>
  </si>
  <si>
    <t>Date: 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</si>
</sst>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yyyy\-mm\-dd"/>
    <numFmt numFmtId="169" formatCode="yyyy\-mm\-dd;@"/>
    <numFmt numFmtId="174" formatCode="m/d;@"/>
    <numFmt numFmtId="175" formatCode="[$-409]d\-mmm;@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8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hair">
        <color theme="5"/>
      </bottom>
      <diagonal/>
    </border>
    <border>
      <left/>
      <right/>
      <top style="thick">
        <color indexed="64"/>
      </top>
      <bottom style="hair">
        <color theme="5"/>
      </bottom>
      <diagonal/>
    </border>
    <border>
      <left/>
      <right style="thick">
        <color indexed="64"/>
      </right>
      <top style="thick">
        <color indexed="64"/>
      </top>
      <bottom style="hair">
        <color theme="5"/>
      </bottom>
      <diagonal/>
    </border>
    <border>
      <left style="thick">
        <color indexed="64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thick">
        <color indexed="64"/>
      </right>
      <top style="hair">
        <color theme="5"/>
      </top>
      <bottom style="hair">
        <color theme="5"/>
      </bottom>
      <diagonal/>
    </border>
    <border>
      <left/>
      <right/>
      <top/>
      <bottom style="thin">
        <color theme="5"/>
      </bottom>
      <diagonal/>
    </border>
    <border>
      <left/>
      <right/>
      <top/>
      <bottom style="thin">
        <color indexed="51"/>
      </bottom>
      <diagonal/>
    </border>
    <border>
      <left/>
      <right style="thick">
        <color indexed="64"/>
      </right>
      <top style="hair">
        <color theme="5"/>
      </top>
      <bottom style="thin">
        <color indexed="5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theme="5" tint="-0.249977111117893"/>
      </top>
      <bottom style="hair">
        <color theme="5"/>
      </bottom>
      <diagonal/>
    </border>
    <border>
      <left/>
      <right style="thick">
        <color indexed="64"/>
      </right>
      <top style="medium">
        <color theme="5" tint="-0.249977111117893"/>
      </top>
      <bottom style="hair">
        <color theme="5"/>
      </bottom>
      <diagonal/>
    </border>
    <border>
      <left style="thin">
        <color theme="5"/>
      </left>
      <right style="thin">
        <color theme="5"/>
      </right>
      <top style="hair">
        <color theme="5"/>
      </top>
      <bottom style="hair">
        <color theme="5"/>
      </bottom>
      <diagonal/>
    </border>
    <border>
      <left style="thin">
        <color theme="5"/>
      </left>
      <right/>
      <top style="hair">
        <color theme="5"/>
      </top>
      <bottom style="hair">
        <color theme="5"/>
      </bottom>
      <diagonal/>
    </border>
    <border>
      <left style="hair">
        <color theme="5"/>
      </left>
      <right style="thick">
        <color indexed="64"/>
      </right>
      <top style="hair">
        <color theme="5"/>
      </top>
      <bottom style="hair">
        <color theme="5"/>
      </bottom>
      <diagonal/>
    </border>
    <border>
      <left/>
      <right style="hair">
        <color theme="5"/>
      </right>
      <top style="hair">
        <color theme="5"/>
      </top>
      <bottom style="hair">
        <color theme="5"/>
      </bottom>
      <diagonal/>
    </border>
    <border>
      <left/>
      <right/>
      <top/>
      <bottom style="hair">
        <color theme="5"/>
      </bottom>
      <diagonal/>
    </border>
    <border>
      <left/>
      <right style="thick">
        <color indexed="64"/>
      </right>
      <top/>
      <bottom style="hair">
        <color theme="5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thick">
        <color indexed="64"/>
      </right>
      <top/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/>
      <diagonal/>
    </border>
    <border>
      <left/>
      <right style="thick">
        <color indexed="64"/>
      </right>
      <top style="medium">
        <color theme="5" tint="-0.249977111117893"/>
      </top>
      <bottom/>
      <diagonal/>
    </border>
    <border>
      <left/>
      <right/>
      <top style="thin">
        <color theme="5" tint="-0.249977111117893"/>
      </top>
      <bottom/>
      <diagonal/>
    </border>
    <border>
      <left/>
      <right style="thick">
        <color indexed="64"/>
      </right>
      <top style="thin">
        <color theme="5" tint="-0.249977111117893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FFC000"/>
      </bottom>
      <diagonal/>
    </border>
    <border>
      <left/>
      <right style="thick">
        <color indexed="64"/>
      </right>
      <top style="thick">
        <color indexed="64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ck">
        <color indexed="64"/>
      </right>
      <top style="thin">
        <color rgb="FFFFC000"/>
      </top>
      <bottom style="thin">
        <color rgb="FFFFC000"/>
      </bottom>
      <diagonal/>
    </border>
    <border>
      <left/>
      <right style="thick">
        <color indexed="64"/>
      </right>
      <top style="thin">
        <color rgb="FFFFC000"/>
      </top>
      <bottom/>
      <diagonal/>
    </border>
    <border>
      <left/>
      <right style="thick">
        <color indexed="64"/>
      </right>
      <top/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/>
      <right/>
      <top style="thin">
        <color rgb="FFFFC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51"/>
      </bottom>
      <diagonal/>
    </border>
    <border>
      <left/>
      <right/>
      <top style="thick">
        <color indexed="64"/>
      </top>
      <bottom style="thin">
        <color indexed="51"/>
      </bottom>
      <diagonal/>
    </border>
    <border>
      <left/>
      <right style="thick">
        <color indexed="64"/>
      </right>
      <top style="thick">
        <color indexed="64"/>
      </top>
      <bottom style="thin">
        <color indexed="51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3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0" fontId="0" fillId="0" borderId="1" xfId="0" applyBorder="1"/>
    <xf numFmtId="0" fontId="0" fillId="0" borderId="2" xfId="0" applyBorder="1"/>
    <xf numFmtId="0" fontId="7" fillId="3" borderId="0" xfId="2" applyFont="1" applyFill="1"/>
    <xf numFmtId="0" fontId="0" fillId="0" borderId="3" xfId="0" applyBorder="1"/>
    <xf numFmtId="0" fontId="7" fillId="3" borderId="2" xfId="2" applyFont="1" applyFill="1" applyBorder="1"/>
    <xf numFmtId="0" fontId="8" fillId="4" borderId="4" xfId="2" applyFont="1" applyFill="1" applyBorder="1"/>
    <xf numFmtId="0" fontId="8" fillId="4" borderId="0" xfId="2" applyFont="1" applyFill="1"/>
    <xf numFmtId="164" fontId="0" fillId="0" borderId="3" xfId="0" applyNumberFormat="1" applyBorder="1"/>
    <xf numFmtId="43" fontId="0" fillId="0" borderId="3" xfId="1" applyFont="1" applyBorder="1"/>
    <xf numFmtId="164" fontId="0" fillId="0" borderId="0" xfId="0" applyNumberFormat="1"/>
    <xf numFmtId="43" fontId="6" fillId="5" borderId="32" xfId="2" applyNumberFormat="1" applyFill="1" applyBorder="1"/>
    <xf numFmtId="0" fontId="6" fillId="5" borderId="41" xfId="2" applyFill="1" applyBorder="1"/>
    <xf numFmtId="4" fontId="6" fillId="5" borderId="41" xfId="2" applyNumberFormat="1" applyFill="1" applyBorder="1"/>
    <xf numFmtId="1" fontId="6" fillId="5" borderId="41" xfId="2" applyNumberFormat="1" applyFill="1" applyBorder="1" applyAlignment="1">
      <alignment horizontal="left"/>
    </xf>
    <xf numFmtId="43" fontId="6" fillId="5" borderId="41" xfId="2" applyNumberFormat="1" applyFill="1" applyBorder="1"/>
    <xf numFmtId="0" fontId="6" fillId="0" borderId="0" xfId="0" applyFont="1"/>
    <xf numFmtId="0" fontId="9" fillId="2" borderId="42" xfId="2" applyFont="1" applyFill="1" applyBorder="1"/>
    <xf numFmtId="4" fontId="9" fillId="2" borderId="43" xfId="2" applyNumberFormat="1" applyFont="1" applyFill="1" applyBorder="1"/>
    <xf numFmtId="1" fontId="9" fillId="2" borderId="43" xfId="2" applyNumberFormat="1" applyFont="1" applyFill="1" applyBorder="1" applyAlignment="1">
      <alignment horizontal="left"/>
    </xf>
    <xf numFmtId="43" fontId="9" fillId="2" borderId="43" xfId="2" applyNumberFormat="1" applyFont="1" applyFill="1" applyBorder="1"/>
    <xf numFmtId="43" fontId="9" fillId="2" borderId="44" xfId="2" applyNumberFormat="1" applyFont="1" applyFill="1" applyBorder="1"/>
    <xf numFmtId="0" fontId="9" fillId="2" borderId="3" xfId="0" applyFont="1" applyFill="1" applyBorder="1"/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9" fillId="2" borderId="2" xfId="0" applyFont="1" applyFill="1" applyBorder="1" applyAlignment="1">
      <alignment horizontal="right"/>
    </xf>
    <xf numFmtId="0" fontId="9" fillId="2" borderId="45" xfId="0" applyFont="1" applyFill="1" applyBorder="1"/>
    <xf numFmtId="0" fontId="9" fillId="2" borderId="1" xfId="0" applyFont="1" applyFill="1" applyBorder="1"/>
    <xf numFmtId="0" fontId="9" fillId="2" borderId="32" xfId="0" applyFont="1" applyFill="1" applyBorder="1"/>
    <xf numFmtId="0" fontId="9" fillId="4" borderId="1" xfId="2" applyFont="1" applyFill="1" applyBorder="1" applyAlignment="1">
      <alignment horizontal="center"/>
    </xf>
    <xf numFmtId="0" fontId="9" fillId="4" borderId="0" xfId="2" applyFont="1" applyFill="1" applyAlignment="1">
      <alignment horizontal="center"/>
    </xf>
    <xf numFmtId="0" fontId="14" fillId="5" borderId="5" xfId="2" applyFont="1" applyFill="1" applyBorder="1"/>
    <xf numFmtId="4" fontId="14" fillId="5" borderId="6" xfId="2" applyNumberFormat="1" applyFont="1" applyFill="1" applyBorder="1"/>
    <xf numFmtId="1" fontId="14" fillId="5" borderId="6" xfId="2" applyNumberFormat="1" applyFont="1" applyFill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5" fillId="0" borderId="6" xfId="0" applyFont="1" applyBorder="1"/>
    <xf numFmtId="3" fontId="14" fillId="5" borderId="6" xfId="2" applyNumberFormat="1" applyFont="1" applyFill="1" applyBorder="1" applyAlignment="1">
      <alignment vertical="center"/>
    </xf>
    <xf numFmtId="3" fontId="14" fillId="0" borderId="7" xfId="1" applyNumberFormat="1" applyFont="1" applyBorder="1"/>
    <xf numFmtId="0" fontId="15" fillId="5" borderId="8" xfId="2" applyFont="1" applyFill="1" applyBorder="1"/>
    <xf numFmtId="4" fontId="15" fillId="5" borderId="9" xfId="2" applyNumberFormat="1" applyFont="1" applyFill="1" applyBorder="1"/>
    <xf numFmtId="1" fontId="15" fillId="5" borderId="9" xfId="2" applyNumberFormat="1" applyFont="1" applyFill="1" applyBorder="1" applyAlignment="1">
      <alignment horizontal="left"/>
    </xf>
    <xf numFmtId="1" fontId="14" fillId="0" borderId="9" xfId="2" applyNumberFormat="1" applyFont="1" applyBorder="1" applyAlignment="1">
      <alignment horizontal="left"/>
    </xf>
    <xf numFmtId="3" fontId="14" fillId="5" borderId="9" xfId="1" applyNumberFormat="1" applyFont="1" applyFill="1" applyBorder="1" applyAlignment="1">
      <alignment vertical="center"/>
    </xf>
    <xf numFmtId="3" fontId="14" fillId="5" borderId="10" xfId="1" applyNumberFormat="1" applyFont="1" applyFill="1" applyBorder="1"/>
    <xf numFmtId="1" fontId="14" fillId="5" borderId="9" xfId="2" applyNumberFormat="1" applyFont="1" applyFill="1" applyBorder="1" applyAlignment="1">
      <alignment horizontal="left"/>
    </xf>
    <xf numFmtId="165" fontId="14" fillId="5" borderId="9" xfId="1" applyNumberFormat="1" applyFont="1" applyFill="1" applyBorder="1" applyAlignment="1">
      <alignment vertical="center"/>
    </xf>
    <xf numFmtId="165" fontId="14" fillId="5" borderId="9" xfId="1" applyNumberFormat="1" applyFont="1" applyFill="1" applyBorder="1" applyAlignment="1">
      <alignment horizontal="center"/>
    </xf>
    <xf numFmtId="165" fontId="14" fillId="5" borderId="10" xfId="1" applyNumberFormat="1" applyFont="1" applyFill="1" applyBorder="1"/>
    <xf numFmtId="0" fontId="15" fillId="5" borderId="9" xfId="2" applyFont="1" applyFill="1" applyBorder="1"/>
    <xf numFmtId="43" fontId="14" fillId="5" borderId="9" xfId="1" applyFont="1" applyFill="1" applyBorder="1" applyAlignment="1">
      <alignment horizontal="center"/>
    </xf>
    <xf numFmtId="43" fontId="14" fillId="5" borderId="10" xfId="1" applyFont="1" applyFill="1" applyBorder="1"/>
    <xf numFmtId="0" fontId="15" fillId="5" borderId="0" xfId="2" applyFont="1" applyFill="1"/>
    <xf numFmtId="4" fontId="15" fillId="5" borderId="0" xfId="2" applyNumberFormat="1" applyFont="1" applyFill="1"/>
    <xf numFmtId="1" fontId="15" fillId="5" borderId="0" xfId="2" applyNumberFormat="1" applyFont="1" applyFill="1" applyAlignment="1">
      <alignment horizontal="left"/>
    </xf>
    <xf numFmtId="1" fontId="14" fillId="5" borderId="11" xfId="2" applyNumberFormat="1" applyFont="1" applyFill="1" applyBorder="1" applyAlignment="1">
      <alignment horizontal="left"/>
    </xf>
    <xf numFmtId="1" fontId="15" fillId="5" borderId="11" xfId="2" applyNumberFormat="1" applyFont="1" applyFill="1" applyBorder="1" applyAlignment="1">
      <alignment horizontal="left"/>
    </xf>
    <xf numFmtId="43" fontId="14" fillId="5" borderId="11" xfId="1" applyFont="1" applyFill="1" applyBorder="1" applyAlignment="1">
      <alignment horizontal="center"/>
    </xf>
    <xf numFmtId="43" fontId="14" fillId="5" borderId="13" xfId="1" applyFont="1" applyFill="1" applyBorder="1"/>
    <xf numFmtId="0" fontId="16" fillId="3" borderId="14" xfId="2" applyFont="1" applyFill="1" applyBorder="1"/>
    <xf numFmtId="4" fontId="17" fillId="3" borderId="14" xfId="2" applyNumberFormat="1" applyFont="1" applyFill="1" applyBorder="1"/>
    <xf numFmtId="1" fontId="16" fillId="3" borderId="14" xfId="2" applyNumberFormat="1" applyFont="1" applyFill="1" applyBorder="1" applyAlignment="1">
      <alignment horizontal="left"/>
    </xf>
    <xf numFmtId="3" fontId="17" fillId="3" borderId="14" xfId="2" applyNumberFormat="1" applyFont="1" applyFill="1" applyBorder="1"/>
    <xf numFmtId="37" fontId="17" fillId="3" borderId="15" xfId="2" applyNumberFormat="1" applyFont="1" applyFill="1" applyBorder="1"/>
    <xf numFmtId="0" fontId="15" fillId="4" borderId="16" xfId="2" applyFont="1" applyFill="1" applyBorder="1"/>
    <xf numFmtId="0" fontId="15" fillId="4" borderId="17" xfId="2" applyFont="1" applyFill="1" applyBorder="1"/>
    <xf numFmtId="0" fontId="15" fillId="4" borderId="0" xfId="2" applyFont="1" applyFill="1"/>
    <xf numFmtId="0" fontId="15" fillId="4" borderId="2" xfId="2" applyFont="1" applyFill="1" applyBorder="1"/>
    <xf numFmtId="0" fontId="15" fillId="5" borderId="18" xfId="2" applyFont="1" applyFill="1" applyBorder="1"/>
    <xf numFmtId="166" fontId="15" fillId="5" borderId="18" xfId="3" applyNumberFormat="1" applyFont="1" applyFill="1" applyBorder="1" applyAlignment="1">
      <alignment horizontal="right"/>
    </xf>
    <xf numFmtId="1" fontId="15" fillId="5" borderId="18" xfId="2" applyNumberFormat="1" applyFont="1" applyFill="1" applyBorder="1" applyAlignment="1">
      <alignment horizontal="left"/>
    </xf>
    <xf numFmtId="1" fontId="14" fillId="5" borderId="18" xfId="2" applyNumberFormat="1" applyFont="1" applyFill="1" applyBorder="1" applyAlignment="1">
      <alignment horizontal="left"/>
    </xf>
    <xf numFmtId="43" fontId="15" fillId="5" borderId="18" xfId="2" applyNumberFormat="1" applyFont="1" applyFill="1" applyBorder="1"/>
    <xf numFmtId="37" fontId="15" fillId="5" borderId="18" xfId="2" applyNumberFormat="1" applyFont="1" applyFill="1" applyBorder="1"/>
    <xf numFmtId="37" fontId="15" fillId="5" borderId="19" xfId="2" applyNumberFormat="1" applyFont="1" applyFill="1" applyBorder="1"/>
    <xf numFmtId="166" fontId="15" fillId="5" borderId="9" xfId="3" applyNumberFormat="1" applyFont="1" applyFill="1" applyBorder="1" applyAlignment="1">
      <alignment horizontal="right"/>
    </xf>
    <xf numFmtId="43" fontId="15" fillId="5" borderId="9" xfId="2" applyNumberFormat="1" applyFont="1" applyFill="1" applyBorder="1"/>
    <xf numFmtId="37" fontId="15" fillId="5" borderId="9" xfId="2" applyNumberFormat="1" applyFont="1" applyFill="1" applyBorder="1"/>
    <xf numFmtId="165" fontId="15" fillId="5" borderId="10" xfId="1" applyNumberFormat="1" applyFont="1" applyFill="1" applyBorder="1"/>
    <xf numFmtId="166" fontId="15" fillId="5" borderId="0" xfId="3" applyNumberFormat="1" applyFont="1" applyFill="1" applyBorder="1" applyAlignment="1">
      <alignment horizontal="right"/>
    </xf>
    <xf numFmtId="1" fontId="14" fillId="5" borderId="0" xfId="2" applyNumberFormat="1" applyFont="1" applyFill="1" applyAlignment="1">
      <alignment horizontal="left"/>
    </xf>
    <xf numFmtId="43" fontId="15" fillId="5" borderId="0" xfId="2" applyNumberFormat="1" applyFont="1" applyFill="1"/>
    <xf numFmtId="37" fontId="15" fillId="5" borderId="0" xfId="2" applyNumberFormat="1" applyFont="1" applyFill="1"/>
    <xf numFmtId="167" fontId="15" fillId="5" borderId="2" xfId="1" applyNumberFormat="1" applyFont="1" applyFill="1" applyBorder="1"/>
    <xf numFmtId="37" fontId="15" fillId="5" borderId="10" xfId="2" applyNumberFormat="1" applyFont="1" applyFill="1" applyBorder="1"/>
    <xf numFmtId="9" fontId="15" fillId="5" borderId="0" xfId="3" applyFont="1" applyFill="1" applyBorder="1" applyAlignment="1">
      <alignment horizontal="right"/>
    </xf>
    <xf numFmtId="43" fontId="15" fillId="5" borderId="2" xfId="1" applyFont="1" applyFill="1" applyBorder="1"/>
    <xf numFmtId="4" fontId="15" fillId="5" borderId="9" xfId="2" applyNumberFormat="1" applyFont="1" applyFill="1" applyBorder="1" applyAlignment="1">
      <alignment horizontal="right"/>
    </xf>
    <xf numFmtId="43" fontId="15" fillId="5" borderId="10" xfId="2" applyNumberFormat="1" applyFont="1" applyFill="1" applyBorder="1"/>
    <xf numFmtId="37" fontId="15" fillId="5" borderId="2" xfId="2" applyNumberFormat="1" applyFont="1" applyFill="1" applyBorder="1"/>
    <xf numFmtId="9" fontId="15" fillId="5" borderId="9" xfId="3" applyFont="1" applyFill="1" applyBorder="1"/>
    <xf numFmtId="0" fontId="15" fillId="0" borderId="9" xfId="0" applyFont="1" applyBorder="1" applyAlignment="1">
      <alignment horizontal="left"/>
    </xf>
    <xf numFmtId="1" fontId="15" fillId="5" borderId="20" xfId="2" applyNumberFormat="1" applyFont="1" applyFill="1" applyBorder="1" applyAlignment="1">
      <alignment horizontal="left"/>
    </xf>
    <xf numFmtId="3" fontId="14" fillId="5" borderId="21" xfId="2" applyNumberFormat="1" applyFont="1" applyFill="1" applyBorder="1" applyAlignment="1">
      <alignment horizontal="right"/>
    </xf>
    <xf numFmtId="3" fontId="14" fillId="5" borderId="9" xfId="2" applyNumberFormat="1" applyFont="1" applyFill="1" applyBorder="1" applyAlignment="1">
      <alignment horizontal="right"/>
    </xf>
    <xf numFmtId="3" fontId="15" fillId="5" borderId="22" xfId="2" applyNumberFormat="1" applyFont="1" applyFill="1" applyBorder="1"/>
    <xf numFmtId="165" fontId="14" fillId="5" borderId="21" xfId="1" applyNumberFormat="1" applyFont="1" applyFill="1" applyBorder="1" applyAlignment="1">
      <alignment horizontal="center"/>
    </xf>
    <xf numFmtId="165" fontId="14" fillId="5" borderId="23" xfId="1" applyNumberFormat="1" applyFont="1" applyFill="1" applyBorder="1" applyAlignment="1">
      <alignment horizontal="center"/>
    </xf>
    <xf numFmtId="165" fontId="15" fillId="5" borderId="2" xfId="1" applyNumberFormat="1" applyFont="1" applyFill="1" applyBorder="1"/>
    <xf numFmtId="3" fontId="14" fillId="5" borderId="9" xfId="2" applyNumberFormat="1" applyFont="1" applyFill="1" applyBorder="1" applyAlignment="1">
      <alignment horizontal="right" vertical="center"/>
    </xf>
    <xf numFmtId="3" fontId="15" fillId="5" borderId="10" xfId="2" applyNumberFormat="1" applyFont="1" applyFill="1" applyBorder="1"/>
    <xf numFmtId="3" fontId="14" fillId="5" borderId="9" xfId="1" applyNumberFormat="1" applyFont="1" applyFill="1" applyBorder="1" applyAlignment="1">
      <alignment horizontal="center" vertical="top"/>
    </xf>
    <xf numFmtId="43" fontId="14" fillId="5" borderId="24" xfId="1" applyFont="1" applyFill="1" applyBorder="1" applyAlignment="1">
      <alignment horizontal="right"/>
    </xf>
    <xf numFmtId="3" fontId="15" fillId="5" borderId="10" xfId="1" applyNumberFormat="1" applyFont="1" applyFill="1" applyBorder="1" applyAlignment="1">
      <alignment horizontal="right"/>
    </xf>
    <xf numFmtId="0" fontId="15" fillId="5" borderId="24" xfId="2" applyFont="1" applyFill="1" applyBorder="1"/>
    <xf numFmtId="9" fontId="15" fillId="5" borderId="24" xfId="3" applyFont="1" applyFill="1" applyBorder="1"/>
    <xf numFmtId="1" fontId="15" fillId="5" borderId="24" xfId="2" applyNumberFormat="1" applyFont="1" applyFill="1" applyBorder="1" applyAlignment="1">
      <alignment horizontal="left"/>
    </xf>
    <xf numFmtId="0" fontId="15" fillId="0" borderId="0" xfId="0" applyFont="1"/>
    <xf numFmtId="43" fontId="14" fillId="5" borderId="24" xfId="1" applyFont="1" applyFill="1" applyBorder="1" applyAlignment="1">
      <alignment horizontal="right" vertical="center"/>
    </xf>
    <xf numFmtId="43" fontId="15" fillId="5" borderId="25" xfId="1" applyFont="1" applyFill="1" applyBorder="1" applyAlignment="1">
      <alignment horizontal="right"/>
    </xf>
    <xf numFmtId="0" fontId="15" fillId="5" borderId="26" xfId="2" applyFont="1" applyFill="1" applyBorder="1"/>
    <xf numFmtId="9" fontId="15" fillId="5" borderId="26" xfId="3" applyFont="1" applyFill="1" applyBorder="1"/>
    <xf numFmtId="1" fontId="15" fillId="5" borderId="26" xfId="2" applyNumberFormat="1" applyFont="1" applyFill="1" applyBorder="1" applyAlignment="1">
      <alignment horizontal="left"/>
    </xf>
    <xf numFmtId="43" fontId="15" fillId="5" borderId="26" xfId="2" applyNumberFormat="1" applyFont="1" applyFill="1" applyBorder="1"/>
    <xf numFmtId="37" fontId="15" fillId="5" borderId="26" xfId="2" applyNumberFormat="1" applyFont="1" applyFill="1" applyBorder="1"/>
    <xf numFmtId="43" fontId="15" fillId="5" borderId="27" xfId="2" applyNumberFormat="1" applyFont="1" applyFill="1" applyBorder="1"/>
    <xf numFmtId="0" fontId="16" fillId="3" borderId="28" xfId="2" applyFont="1" applyFill="1" applyBorder="1"/>
    <xf numFmtId="4" fontId="17" fillId="3" borderId="28" xfId="2" applyNumberFormat="1" applyFont="1" applyFill="1" applyBorder="1"/>
    <xf numFmtId="1" fontId="16" fillId="3" borderId="28" xfId="2" applyNumberFormat="1" applyFont="1" applyFill="1" applyBorder="1" applyAlignment="1">
      <alignment horizontal="left"/>
    </xf>
    <xf numFmtId="43" fontId="16" fillId="3" borderId="28" xfId="2" applyNumberFormat="1" applyFont="1" applyFill="1" applyBorder="1"/>
    <xf numFmtId="37" fontId="17" fillId="3" borderId="28" xfId="2" applyNumberFormat="1" applyFont="1" applyFill="1" applyBorder="1"/>
    <xf numFmtId="37" fontId="17" fillId="3" borderId="29" xfId="2" applyNumberFormat="1" applyFont="1" applyFill="1" applyBorder="1"/>
    <xf numFmtId="0" fontId="15" fillId="5" borderId="30" xfId="2" applyFont="1" applyFill="1" applyBorder="1"/>
    <xf numFmtId="4" fontId="15" fillId="5" borderId="30" xfId="2" applyNumberFormat="1" applyFont="1" applyFill="1" applyBorder="1"/>
    <xf numFmtId="1" fontId="15" fillId="5" borderId="30" xfId="2" applyNumberFormat="1" applyFont="1" applyFill="1" applyBorder="1" applyAlignment="1">
      <alignment horizontal="left"/>
    </xf>
    <xf numFmtId="43" fontId="15" fillId="5" borderId="30" xfId="2" applyNumberFormat="1" applyFont="1" applyFill="1" applyBorder="1"/>
    <xf numFmtId="43" fontId="15" fillId="5" borderId="31" xfId="2" applyNumberFormat="1" applyFont="1" applyFill="1" applyBorder="1"/>
    <xf numFmtId="0" fontId="14" fillId="5" borderId="9" xfId="2" applyFont="1" applyFill="1" applyBorder="1"/>
    <xf numFmtId="43" fontId="14" fillId="5" borderId="9" xfId="2" applyNumberFormat="1" applyFont="1" applyFill="1" applyBorder="1"/>
    <xf numFmtId="3" fontId="14" fillId="5" borderId="9" xfId="2" applyNumberFormat="1" applyFont="1" applyFill="1" applyBorder="1"/>
    <xf numFmtId="0" fontId="15" fillId="5" borderId="1" xfId="2" applyFont="1" applyFill="1" applyBorder="1"/>
    <xf numFmtId="4" fontId="15" fillId="5" borderId="1" xfId="2" applyNumberFormat="1" applyFont="1" applyFill="1" applyBorder="1"/>
    <xf numFmtId="1" fontId="15" fillId="5" borderId="1" xfId="2" applyNumberFormat="1" applyFont="1" applyFill="1" applyBorder="1" applyAlignment="1">
      <alignment horizontal="left"/>
    </xf>
    <xf numFmtId="43" fontId="14" fillId="5" borderId="1" xfId="2" applyNumberFormat="1" applyFont="1" applyFill="1" applyBorder="1"/>
    <xf numFmtId="3" fontId="14" fillId="5" borderId="1" xfId="2" applyNumberFormat="1" applyFont="1" applyFill="1" applyBorder="1"/>
    <xf numFmtId="43" fontId="15" fillId="5" borderId="32" xfId="2" applyNumberFormat="1" applyFont="1" applyFill="1" applyBorder="1"/>
    <xf numFmtId="0" fontId="15" fillId="3" borderId="0" xfId="2" applyFont="1" applyFill="1"/>
    <xf numFmtId="4" fontId="15" fillId="3" borderId="0" xfId="2" applyNumberFormat="1" applyFont="1" applyFill="1"/>
    <xf numFmtId="1" fontId="15" fillId="3" borderId="0" xfId="2" applyNumberFormat="1" applyFont="1" applyFill="1" applyAlignment="1">
      <alignment horizontal="left"/>
    </xf>
    <xf numFmtId="43" fontId="14" fillId="3" borderId="0" xfId="2" applyNumberFormat="1" applyFont="1" applyFill="1"/>
    <xf numFmtId="3" fontId="14" fillId="3" borderId="0" xfId="2" applyNumberFormat="1" applyFont="1" applyFill="1"/>
    <xf numFmtId="43" fontId="15" fillId="3" borderId="2" xfId="2" applyNumberFormat="1" applyFont="1" applyFill="1" applyBorder="1"/>
    <xf numFmtId="0" fontId="17" fillId="3" borderId="0" xfId="2" applyFont="1" applyFill="1"/>
    <xf numFmtId="4" fontId="17" fillId="3" borderId="0" xfId="2" applyNumberFormat="1" applyFont="1" applyFill="1"/>
    <xf numFmtId="1" fontId="16" fillId="3" borderId="0" xfId="2" applyNumberFormat="1" applyFont="1" applyFill="1" applyAlignment="1">
      <alignment horizontal="left"/>
    </xf>
    <xf numFmtId="43" fontId="17" fillId="3" borderId="0" xfId="2" applyNumberFormat="1" applyFont="1" applyFill="1"/>
    <xf numFmtId="3" fontId="17" fillId="3" borderId="0" xfId="2" applyNumberFormat="1" applyFont="1" applyFill="1"/>
    <xf numFmtId="37" fontId="17" fillId="3" borderId="2" xfId="2" applyNumberFormat="1" applyFont="1" applyFill="1" applyBorder="1"/>
    <xf numFmtId="0" fontId="15" fillId="3" borderId="1" xfId="2" applyFont="1" applyFill="1" applyBorder="1"/>
    <xf numFmtId="1" fontId="15" fillId="3" borderId="1" xfId="2" applyNumberFormat="1" applyFont="1" applyFill="1" applyBorder="1" applyAlignment="1">
      <alignment horizontal="left"/>
    </xf>
    <xf numFmtId="43" fontId="15" fillId="3" borderId="1" xfId="2" applyNumberFormat="1" applyFont="1" applyFill="1" applyBorder="1"/>
    <xf numFmtId="43" fontId="15" fillId="3" borderId="32" xfId="2" applyNumberFormat="1" applyFont="1" applyFill="1" applyBorder="1"/>
    <xf numFmtId="0" fontId="15" fillId="4" borderId="1" xfId="2" applyFont="1" applyFill="1" applyBorder="1"/>
    <xf numFmtId="4" fontId="15" fillId="4" borderId="33" xfId="2" applyNumberFormat="1" applyFont="1" applyFill="1" applyBorder="1"/>
    <xf numFmtId="1" fontId="15" fillId="4" borderId="33" xfId="2" applyNumberFormat="1" applyFont="1" applyFill="1" applyBorder="1" applyAlignment="1">
      <alignment horizontal="left"/>
    </xf>
    <xf numFmtId="1" fontId="15" fillId="4" borderId="1" xfId="2" applyNumberFormat="1" applyFont="1" applyFill="1" applyBorder="1" applyAlignment="1">
      <alignment horizontal="left"/>
    </xf>
    <xf numFmtId="43" fontId="15" fillId="4" borderId="1" xfId="2" applyNumberFormat="1" applyFont="1" applyFill="1" applyBorder="1"/>
    <xf numFmtId="43" fontId="15" fillId="4" borderId="32" xfId="2" applyNumberFormat="1" applyFont="1" applyFill="1" applyBorder="1"/>
    <xf numFmtId="0" fontId="17" fillId="4" borderId="33" xfId="2" applyFont="1" applyFill="1" applyBorder="1"/>
    <xf numFmtId="4" fontId="16" fillId="4" borderId="1" xfId="2" applyNumberFormat="1" applyFont="1" applyFill="1" applyBorder="1"/>
    <xf numFmtId="1" fontId="16" fillId="4" borderId="1" xfId="2" applyNumberFormat="1" applyFont="1" applyFill="1" applyBorder="1" applyAlignment="1">
      <alignment horizontal="left"/>
    </xf>
    <xf numFmtId="43" fontId="16" fillId="4" borderId="1" xfId="2" applyNumberFormat="1" applyFont="1" applyFill="1" applyBorder="1"/>
    <xf numFmtId="43" fontId="16" fillId="4" borderId="2" xfId="2" applyNumberFormat="1" applyFont="1" applyFill="1" applyBorder="1"/>
    <xf numFmtId="0" fontId="16" fillId="5" borderId="34" xfId="2" applyFont="1" applyFill="1" applyBorder="1"/>
    <xf numFmtId="4" fontId="16" fillId="5" borderId="0" xfId="2" applyNumberFormat="1" applyFont="1" applyFill="1"/>
    <xf numFmtId="1" fontId="16" fillId="5" borderId="0" xfId="2" applyNumberFormat="1" applyFont="1" applyFill="1" applyAlignment="1">
      <alignment horizontal="left"/>
    </xf>
    <xf numFmtId="43" fontId="16" fillId="5" borderId="0" xfId="2" applyNumberFormat="1" applyFont="1" applyFill="1"/>
    <xf numFmtId="43" fontId="16" fillId="5" borderId="35" xfId="2" applyNumberFormat="1" applyFont="1" applyFill="1" applyBorder="1"/>
    <xf numFmtId="0" fontId="17" fillId="3" borderId="36" xfId="2" applyFont="1" applyFill="1" applyBorder="1"/>
    <xf numFmtId="43" fontId="17" fillId="3" borderId="36" xfId="2" applyNumberFormat="1" applyFont="1" applyFill="1" applyBorder="1"/>
    <xf numFmtId="3" fontId="17" fillId="3" borderId="36" xfId="2" applyNumberFormat="1" applyFont="1" applyFill="1" applyBorder="1" applyAlignment="1">
      <alignment horizontal="center"/>
    </xf>
    <xf numFmtId="37" fontId="17" fillId="3" borderId="37" xfId="2" applyNumberFormat="1" applyFont="1" applyFill="1" applyBorder="1"/>
    <xf numFmtId="0" fontId="16" fillId="5" borderId="36" xfId="2" applyFont="1" applyFill="1" applyBorder="1"/>
    <xf numFmtId="37" fontId="16" fillId="5" borderId="37" xfId="2" applyNumberFormat="1" applyFont="1" applyFill="1" applyBorder="1"/>
    <xf numFmtId="37" fontId="16" fillId="5" borderId="2" xfId="2" applyNumberFormat="1" applyFont="1" applyFill="1" applyBorder="1"/>
    <xf numFmtId="37" fontId="17" fillId="3" borderId="38" xfId="2" applyNumberFormat="1" applyFont="1" applyFill="1" applyBorder="1"/>
    <xf numFmtId="37" fontId="16" fillId="5" borderId="39" xfId="2" applyNumberFormat="1" applyFont="1" applyFill="1" applyBorder="1"/>
    <xf numFmtId="0" fontId="17" fillId="0" borderId="40" xfId="2" applyFont="1" applyBorder="1"/>
    <xf numFmtId="43" fontId="17" fillId="0" borderId="40" xfId="2" applyNumberFormat="1" applyFont="1" applyBorder="1"/>
    <xf numFmtId="3" fontId="17" fillId="0" borderId="40" xfId="2" applyNumberFormat="1" applyFont="1" applyBorder="1" applyAlignment="1">
      <alignment horizontal="center"/>
    </xf>
    <xf numFmtId="37" fontId="17" fillId="0" borderId="2" xfId="2" applyNumberFormat="1" applyFont="1" applyBorder="1"/>
    <xf numFmtId="0" fontId="17" fillId="3" borderId="40" xfId="2" applyFont="1" applyFill="1" applyBorder="1"/>
    <xf numFmtId="43" fontId="17" fillId="3" borderId="40" xfId="2" applyNumberFormat="1" applyFont="1" applyFill="1" applyBorder="1"/>
    <xf numFmtId="3" fontId="17" fillId="3" borderId="40" xfId="2" applyNumberFormat="1" applyFont="1" applyFill="1" applyBorder="1" applyAlignment="1">
      <alignment horizontal="center"/>
    </xf>
    <xf numFmtId="3" fontId="14" fillId="5" borderId="6" xfId="2" applyNumberFormat="1" applyFont="1" applyFill="1" applyBorder="1" applyAlignment="1">
      <alignment horizontal="right" vertical="center"/>
    </xf>
    <xf numFmtId="3" fontId="14" fillId="5" borderId="9" xfId="1" applyNumberFormat="1" applyFont="1" applyFill="1" applyBorder="1" applyAlignment="1">
      <alignment horizontal="right" vertical="center"/>
    </xf>
    <xf numFmtId="165" fontId="14" fillId="5" borderId="9" xfId="1" applyNumberFormat="1" applyFont="1" applyFill="1" applyBorder="1" applyAlignment="1">
      <alignment horizontal="right" vertical="center"/>
    </xf>
    <xf numFmtId="43" fontId="14" fillId="5" borderId="9" xfId="1" applyFont="1" applyFill="1" applyBorder="1" applyAlignment="1">
      <alignment horizontal="right"/>
    </xf>
    <xf numFmtId="43" fontId="14" fillId="5" borderId="12" xfId="1" applyFont="1" applyFill="1" applyBorder="1" applyAlignment="1">
      <alignment horizontal="right"/>
    </xf>
    <xf numFmtId="37" fontId="17" fillId="3" borderId="14" xfId="2" applyNumberFormat="1" applyFont="1" applyFill="1" applyBorder="1" applyAlignment="1">
      <alignment horizontal="right"/>
    </xf>
    <xf numFmtId="0" fontId="9" fillId="4" borderId="1" xfId="2" applyFont="1" applyFill="1" applyBorder="1" applyAlignment="1">
      <alignment horizontal="right"/>
    </xf>
    <xf numFmtId="43" fontId="0" fillId="0" borderId="0" xfId="0" applyNumberFormat="1"/>
    <xf numFmtId="43" fontId="0" fillId="0" borderId="0" xfId="1" applyFont="1"/>
    <xf numFmtId="37" fontId="0" fillId="0" borderId="0" xfId="0" applyNumberFormat="1"/>
    <xf numFmtId="0" fontId="10" fillId="3" borderId="1" xfId="2" applyFont="1" applyFill="1" applyBorder="1" applyAlignment="1">
      <alignment horizontal="center"/>
    </xf>
    <xf numFmtId="0" fontId="9" fillId="4" borderId="1" xfId="2" applyFont="1" applyFill="1" applyBorder="1" applyAlignment="1">
      <alignment horizontal="center"/>
    </xf>
    <xf numFmtId="0" fontId="14" fillId="4" borderId="0" xfId="2" applyFont="1" applyFill="1" applyAlignment="1">
      <alignment horizontal="center"/>
    </xf>
    <xf numFmtId="0" fontId="20" fillId="8" borderId="49" xfId="17" applyFont="1" applyFill="1" applyBorder="1" applyAlignment="1">
      <alignment horizontal="center" vertical="center" wrapText="1"/>
    </xf>
    <xf numFmtId="0" fontId="20" fillId="8" borderId="49" xfId="17" applyFont="1" applyFill="1" applyBorder="1" applyAlignment="1">
      <alignment horizontal="left" vertical="center" wrapText="1"/>
    </xf>
    <xf numFmtId="43" fontId="20" fillId="8" borderId="49" xfId="18" applyNumberFormat="1" applyFont="1" applyFill="1" applyBorder="1" applyAlignment="1">
      <alignment horizontal="center" vertical="center" wrapText="1"/>
    </xf>
    <xf numFmtId="0" fontId="18" fillId="7" borderId="47" xfId="17" applyFont="1" applyFill="1" applyBorder="1"/>
    <xf numFmtId="169" fontId="18" fillId="7" borderId="47" xfId="17" applyNumberFormat="1" applyFont="1" applyFill="1" applyBorder="1" applyAlignment="1">
      <alignment horizontal="left"/>
    </xf>
    <xf numFmtId="0" fontId="18" fillId="0" borderId="47" xfId="17" applyFont="1" applyBorder="1"/>
    <xf numFmtId="43" fontId="18" fillId="7" borderId="47" xfId="18" applyNumberFormat="1" applyFont="1" applyFill="1" applyBorder="1"/>
    <xf numFmtId="174" fontId="18" fillId="7" borderId="47" xfId="17" applyNumberFormat="1" applyFont="1" applyFill="1" applyBorder="1" applyAlignment="1">
      <alignment horizontal="left"/>
    </xf>
    <xf numFmtId="0" fontId="18" fillId="7" borderId="47" xfId="17" applyFont="1" applyFill="1" applyBorder="1" applyAlignment="1">
      <alignment horizontal="left"/>
    </xf>
    <xf numFmtId="0" fontId="18" fillId="7" borderId="46" xfId="17" applyFont="1" applyFill="1" applyBorder="1"/>
    <xf numFmtId="43" fontId="18" fillId="7" borderId="46" xfId="18" applyNumberFormat="1" applyFont="1" applyFill="1" applyBorder="1"/>
    <xf numFmtId="175" fontId="18" fillId="7" borderId="46" xfId="17" applyNumberFormat="1" applyFont="1" applyFill="1" applyBorder="1" applyAlignment="1">
      <alignment horizontal="left"/>
    </xf>
    <xf numFmtId="0" fontId="18" fillId="7" borderId="46" xfId="17" applyFont="1" applyFill="1" applyBorder="1" applyAlignment="1">
      <alignment horizontal="left"/>
    </xf>
    <xf numFmtId="0" fontId="18" fillId="0" borderId="46" xfId="17" applyFont="1" applyBorder="1"/>
    <xf numFmtId="169" fontId="18" fillId="0" borderId="47" xfId="17" applyNumberFormat="1" applyFont="1" applyBorder="1" applyAlignment="1">
      <alignment horizontal="left"/>
    </xf>
    <xf numFmtId="43" fontId="18" fillId="0" borderId="46" xfId="18" applyNumberFormat="1" applyFont="1" applyBorder="1"/>
    <xf numFmtId="175" fontId="18" fillId="0" borderId="46" xfId="17" applyNumberFormat="1" applyFont="1" applyBorder="1" applyAlignment="1">
      <alignment horizontal="left"/>
    </xf>
    <xf numFmtId="0" fontId="18" fillId="0" borderId="46" xfId="17" applyFont="1" applyBorder="1" applyAlignment="1">
      <alignment horizontal="left"/>
    </xf>
    <xf numFmtId="169" fontId="18" fillId="7" borderId="46" xfId="17" applyNumberFormat="1" applyFont="1" applyFill="1" applyBorder="1" applyAlignment="1">
      <alignment horizontal="left"/>
    </xf>
    <xf numFmtId="175" fontId="18" fillId="7" borderId="46" xfId="17" quotePrefix="1" applyNumberFormat="1" applyFont="1" applyFill="1" applyBorder="1" applyAlignment="1">
      <alignment horizontal="left"/>
    </xf>
    <xf numFmtId="0" fontId="18" fillId="7" borderId="46" xfId="17" quotePrefix="1" applyFont="1" applyFill="1" applyBorder="1" applyAlignment="1">
      <alignment horizontal="left"/>
    </xf>
    <xf numFmtId="14" fontId="18" fillId="7" borderId="46" xfId="17" applyNumberFormat="1" applyFont="1" applyFill="1" applyBorder="1" applyAlignment="1">
      <alignment horizontal="left"/>
    </xf>
    <xf numFmtId="14" fontId="18" fillId="7" borderId="46" xfId="17" quotePrefix="1" applyNumberFormat="1" applyFont="1" applyFill="1" applyBorder="1" applyAlignment="1">
      <alignment horizontal="left"/>
    </xf>
    <xf numFmtId="0" fontId="18" fillId="7" borderId="48" xfId="17" applyFont="1" applyFill="1" applyBorder="1"/>
    <xf numFmtId="169" fontId="18" fillId="7" borderId="48" xfId="17" applyNumberFormat="1" applyFont="1" applyFill="1" applyBorder="1" applyAlignment="1">
      <alignment horizontal="left"/>
    </xf>
    <xf numFmtId="43" fontId="18" fillId="7" borderId="48" xfId="18" applyNumberFormat="1" applyFont="1" applyFill="1" applyBorder="1"/>
    <xf numFmtId="0" fontId="18" fillId="0" borderId="48" xfId="17" applyFont="1" applyBorder="1"/>
    <xf numFmtId="0" fontId="18" fillId="7" borderId="48" xfId="17" applyFont="1" applyFill="1" applyBorder="1" applyAlignment="1">
      <alignment horizontal="left"/>
    </xf>
    <xf numFmtId="0" fontId="19" fillId="7" borderId="49" xfId="17" applyFont="1" applyFill="1" applyBorder="1"/>
    <xf numFmtId="169" fontId="19" fillId="7" borderId="49" xfId="17" applyNumberFormat="1" applyFont="1" applyFill="1" applyBorder="1" applyAlignment="1">
      <alignment horizontal="left"/>
    </xf>
    <xf numFmtId="43" fontId="19" fillId="7" borderId="49" xfId="18" applyNumberFormat="1" applyFont="1" applyFill="1" applyBorder="1"/>
    <xf numFmtId="0" fontId="19" fillId="0" borderId="49" xfId="17" applyFont="1" applyBorder="1"/>
    <xf numFmtId="0" fontId="19" fillId="7" borderId="49" xfId="17" applyFont="1" applyFill="1" applyBorder="1" applyAlignment="1">
      <alignment horizontal="left"/>
    </xf>
    <xf numFmtId="164" fontId="18" fillId="7" borderId="46" xfId="18" applyFont="1" applyFill="1" applyBorder="1"/>
    <xf numFmtId="43" fontId="18" fillId="7" borderId="46" xfId="17" applyNumberFormat="1" applyFont="1" applyFill="1" applyBorder="1"/>
    <xf numFmtId="43" fontId="18" fillId="0" borderId="46" xfId="17" applyNumberFormat="1" applyFont="1" applyBorder="1"/>
    <xf numFmtId="43" fontId="19" fillId="7" borderId="46" xfId="17" applyNumberFormat="1" applyFont="1" applyFill="1" applyBorder="1"/>
    <xf numFmtId="169" fontId="18" fillId="0" borderId="46" xfId="17" applyNumberFormat="1" applyFont="1" applyBorder="1" applyAlignment="1">
      <alignment horizontal="left"/>
    </xf>
    <xf numFmtId="0" fontId="18" fillId="0" borderId="47" xfId="17" applyFont="1" applyBorder="1" applyAlignment="1">
      <alignment horizontal="left"/>
    </xf>
    <xf numFmtId="0" fontId="18" fillId="6" borderId="46" xfId="17" applyFont="1" applyFill="1" applyBorder="1"/>
    <xf numFmtId="169" fontId="18" fillId="6" borderId="47" xfId="17" applyNumberFormat="1" applyFont="1" applyFill="1" applyBorder="1" applyAlignment="1">
      <alignment horizontal="left"/>
    </xf>
    <xf numFmtId="43" fontId="18" fillId="6" borderId="46" xfId="18" applyNumberFormat="1" applyFont="1" applyFill="1" applyBorder="1"/>
    <xf numFmtId="43" fontId="18" fillId="6" borderId="47" xfId="18" applyNumberFormat="1" applyFont="1" applyFill="1" applyBorder="1"/>
    <xf numFmtId="0" fontId="18" fillId="6" borderId="47" xfId="17" applyFont="1" applyFill="1" applyBorder="1"/>
    <xf numFmtId="0" fontId="18" fillId="6" borderId="46" xfId="17" applyFont="1" applyFill="1" applyBorder="1" applyAlignment="1">
      <alignment horizontal="left"/>
    </xf>
    <xf numFmtId="168" fontId="18" fillId="0" borderId="46" xfId="17" applyNumberFormat="1" applyFont="1" applyBorder="1" applyAlignment="1">
      <alignment horizontal="left"/>
    </xf>
    <xf numFmtId="0" fontId="18" fillId="0" borderId="46" xfId="17" quotePrefix="1" applyFont="1" applyBorder="1" applyAlignment="1">
      <alignment horizontal="left"/>
    </xf>
    <xf numFmtId="14" fontId="18" fillId="0" borderId="46" xfId="17" quotePrefix="1" applyNumberFormat="1" applyFont="1" applyBorder="1" applyAlignment="1">
      <alignment horizontal="left"/>
    </xf>
    <xf numFmtId="0" fontId="18" fillId="0" borderId="48" xfId="17" applyFont="1" applyBorder="1" applyAlignment="1">
      <alignment horizontal="left"/>
    </xf>
    <xf numFmtId="43" fontId="18" fillId="0" borderId="48" xfId="18" applyNumberFormat="1" applyFont="1" applyBorder="1"/>
    <xf numFmtId="0" fontId="19" fillId="0" borderId="49" xfId="17" applyFont="1" applyBorder="1" applyAlignment="1">
      <alignment horizontal="left"/>
    </xf>
    <xf numFmtId="43" fontId="19" fillId="0" borderId="49" xfId="18" applyNumberFormat="1" applyFont="1" applyBorder="1"/>
    <xf numFmtId="4" fontId="18" fillId="0" borderId="46" xfId="17" applyNumberFormat="1" applyFont="1" applyBorder="1"/>
    <xf numFmtId="164" fontId="18" fillId="0" borderId="46" xfId="18" applyFont="1" applyBorder="1"/>
    <xf numFmtId="43" fontId="19" fillId="0" borderId="46" xfId="17" applyNumberFormat="1" applyFont="1" applyBorder="1"/>
    <xf numFmtId="164" fontId="18" fillId="0" borderId="46" xfId="17" applyNumberFormat="1" applyFont="1" applyBorder="1"/>
    <xf numFmtId="169" fontId="20" fillId="8" borderId="49" xfId="17" applyNumberFormat="1" applyFont="1" applyFill="1" applyBorder="1" applyAlignment="1">
      <alignment horizontal="left" vertical="center" wrapText="1"/>
    </xf>
    <xf numFmtId="169" fontId="18" fillId="7" borderId="46" xfId="17" quotePrefix="1" applyNumberFormat="1" applyFont="1" applyFill="1" applyBorder="1" applyAlignment="1">
      <alignment horizontal="left"/>
    </xf>
    <xf numFmtId="169" fontId="18" fillId="0" borderId="48" xfId="17" applyNumberFormat="1" applyFont="1" applyBorder="1" applyAlignment="1">
      <alignment horizontal="left"/>
    </xf>
    <xf numFmtId="169" fontId="19" fillId="0" borderId="49" xfId="17" applyNumberFormat="1" applyFont="1" applyBorder="1" applyAlignment="1">
      <alignment horizontal="left"/>
    </xf>
    <xf numFmtId="43" fontId="18" fillId="0" borderId="46" xfId="17" applyNumberFormat="1" applyFont="1" applyBorder="1" applyAlignment="1">
      <alignment horizontal="left"/>
    </xf>
    <xf numFmtId="164" fontId="18" fillId="0" borderId="46" xfId="18" applyFont="1" applyBorder="1" applyAlignment="1">
      <alignment horizontal="left"/>
    </xf>
  </cellXfs>
  <cellStyles count="19">
    <cellStyle name="Comma" xfId="1" builtinId="3"/>
    <cellStyle name="Comma 2" xfId="4" xr:uid="{6B90CAAD-52DC-410E-91FC-F8E1FFC06B17}"/>
    <cellStyle name="Comma 2 2" xfId="9" xr:uid="{B83E3C79-16C1-43E6-A1E6-C02525CA12BA}"/>
    <cellStyle name="Comma 2 3" xfId="6" xr:uid="{3E279C90-C02C-45BD-A16A-8A22E00B29B2}"/>
    <cellStyle name="Comma 2 3 2" xfId="16" xr:uid="{2C0837C3-222B-472C-BDCB-CCF08BD459CF}"/>
    <cellStyle name="Comma 3" xfId="8" xr:uid="{6491366C-E3DC-41D4-87F7-5AF45307F971}"/>
    <cellStyle name="Comma 4" xfId="11" xr:uid="{CDFE2C85-9EAF-46A9-B049-B6EEDA79156E}"/>
    <cellStyle name="Comma 5" xfId="13" xr:uid="{1AD6E530-A111-4726-8001-DFFA4DC71C45}"/>
    <cellStyle name="Comma 6" xfId="18" xr:uid="{5F992112-753D-49A2-9505-4AE2BE6AD106}"/>
    <cellStyle name="Normal" xfId="0" builtinId="0"/>
    <cellStyle name="Normal 2" xfId="5" xr:uid="{D22B3E72-2187-4656-A47D-B02DCC3E0365}"/>
    <cellStyle name="Normal 2 2 2" xfId="2" xr:uid="{261C046E-2BBF-4033-A052-BF62BF988402}"/>
    <cellStyle name="Normal 3" xfId="7" xr:uid="{7E588A74-06A5-4F1F-8555-3ABACBB2704A}"/>
    <cellStyle name="Normal 4" xfId="10" xr:uid="{8306DD08-FACF-4506-A78C-D5C80A1840D5}"/>
    <cellStyle name="Normal 5" xfId="12" xr:uid="{0A43B0F3-EA99-4875-BF60-669DB604FDAF}"/>
    <cellStyle name="Normal 6" xfId="15" xr:uid="{2A7707F1-8007-448E-A5A1-BF00AE814299}"/>
    <cellStyle name="Normal 61" xfId="14" xr:uid="{EC457AD1-F378-4AF4-88E5-CE0B46204D1A}"/>
    <cellStyle name="Normal 7" xfId="17" xr:uid="{8DC43010-39E8-47BF-A602-62405865A1CB}"/>
    <cellStyle name="Percent 2" xfId="3" xr:uid="{4F6D7D7B-D54A-48F9-90C1-9A60EF434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38100</xdr:rowOff>
    </xdr:from>
    <xdr:to>
      <xdr:col>4</xdr:col>
      <xdr:colOff>276225</xdr:colOff>
      <xdr:row>3</xdr:row>
      <xdr:rowOff>114300</xdr:rowOff>
    </xdr:to>
    <xdr:pic>
      <xdr:nvPicPr>
        <xdr:cNvPr id="2" name="Picture 1" descr="New Picture (2).bmp">
          <a:extLst>
            <a:ext uri="{FF2B5EF4-FFF2-40B4-BE49-F238E27FC236}">
              <a16:creationId xmlns:a16="http://schemas.microsoft.com/office/drawing/2014/main" id="{64A891FD-0E6D-4C62-99C8-7DB243F0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09550"/>
          <a:ext cx="20669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5FBC-3864-41D4-8D6F-A19C981A11C5}">
  <sheetPr codeName="Sheet1"/>
  <dimension ref="A1:K57"/>
  <sheetViews>
    <sheetView tabSelected="1" view="pageBreakPreview" topLeftCell="A11" zoomScaleNormal="100" zoomScaleSheetLayoutView="100" workbookViewId="0">
      <selection activeCell="O27" sqref="O27"/>
    </sheetView>
  </sheetViews>
  <sheetFormatPr defaultRowHeight="12.75" x14ac:dyDescent="0.2"/>
  <cols>
    <col min="1" max="1" width="3.42578125" customWidth="1"/>
    <col min="2" max="2" width="13.28515625" customWidth="1"/>
    <col min="3" max="3" width="8.7109375" customWidth="1"/>
    <col min="4" max="4" width="5.7109375" customWidth="1"/>
    <col min="5" max="5" width="10.140625" bestFit="1" customWidth="1"/>
    <col min="6" max="6" width="3.7109375" customWidth="1"/>
    <col min="7" max="7" width="14.5703125" customWidth="1"/>
    <col min="8" max="8" width="27.28515625" customWidth="1"/>
    <col min="9" max="9" width="20.140625" bestFit="1" customWidth="1"/>
    <col min="10" max="10" width="5.140625" customWidth="1"/>
    <col min="11" max="11" width="12.85546875" bestFit="1" customWidth="1"/>
    <col min="240" max="240" width="3.42578125" customWidth="1"/>
    <col min="241" max="241" width="14.42578125" customWidth="1"/>
    <col min="242" max="242" width="8.7109375" customWidth="1"/>
    <col min="243" max="243" width="5.7109375" customWidth="1"/>
    <col min="244" max="244" width="10.140625" bestFit="1" customWidth="1"/>
    <col min="245" max="245" width="3.7109375" customWidth="1"/>
    <col min="246" max="246" width="15.7109375" bestFit="1" customWidth="1"/>
    <col min="247" max="247" width="27.28515625" customWidth="1"/>
    <col min="248" max="248" width="17.5703125" bestFit="1" customWidth="1"/>
    <col min="249" max="249" width="3" customWidth="1"/>
    <col min="496" max="496" width="3.42578125" customWidth="1"/>
    <col min="497" max="497" width="14.42578125" customWidth="1"/>
    <col min="498" max="498" width="8.7109375" customWidth="1"/>
    <col min="499" max="499" width="5.7109375" customWidth="1"/>
    <col min="500" max="500" width="10.140625" bestFit="1" customWidth="1"/>
    <col min="501" max="501" width="3.7109375" customWidth="1"/>
    <col min="502" max="502" width="15.7109375" bestFit="1" customWidth="1"/>
    <col min="503" max="503" width="27.28515625" customWidth="1"/>
    <col min="504" max="504" width="17.5703125" bestFit="1" customWidth="1"/>
    <col min="505" max="505" width="3" customWidth="1"/>
    <col min="752" max="752" width="3.42578125" customWidth="1"/>
    <col min="753" max="753" width="14.42578125" customWidth="1"/>
    <col min="754" max="754" width="8.7109375" customWidth="1"/>
    <col min="755" max="755" width="5.7109375" customWidth="1"/>
    <col min="756" max="756" width="10.140625" bestFit="1" customWidth="1"/>
    <col min="757" max="757" width="3.7109375" customWidth="1"/>
    <col min="758" max="758" width="15.7109375" bestFit="1" customWidth="1"/>
    <col min="759" max="759" width="27.28515625" customWidth="1"/>
    <col min="760" max="760" width="17.5703125" bestFit="1" customWidth="1"/>
    <col min="761" max="761" width="3" customWidth="1"/>
    <col min="1008" max="1008" width="3.42578125" customWidth="1"/>
    <col min="1009" max="1009" width="14.42578125" customWidth="1"/>
    <col min="1010" max="1010" width="8.7109375" customWidth="1"/>
    <col min="1011" max="1011" width="5.7109375" customWidth="1"/>
    <col min="1012" max="1012" width="10.140625" bestFit="1" customWidth="1"/>
    <col min="1013" max="1013" width="3.7109375" customWidth="1"/>
    <col min="1014" max="1014" width="15.7109375" bestFit="1" customWidth="1"/>
    <col min="1015" max="1015" width="27.28515625" customWidth="1"/>
    <col min="1016" max="1016" width="17.5703125" bestFit="1" customWidth="1"/>
    <col min="1017" max="1017" width="3" customWidth="1"/>
    <col min="1264" max="1264" width="3.42578125" customWidth="1"/>
    <col min="1265" max="1265" width="14.42578125" customWidth="1"/>
    <col min="1266" max="1266" width="8.7109375" customWidth="1"/>
    <col min="1267" max="1267" width="5.7109375" customWidth="1"/>
    <col min="1268" max="1268" width="10.140625" bestFit="1" customWidth="1"/>
    <col min="1269" max="1269" width="3.7109375" customWidth="1"/>
    <col min="1270" max="1270" width="15.7109375" bestFit="1" customWidth="1"/>
    <col min="1271" max="1271" width="27.28515625" customWidth="1"/>
    <col min="1272" max="1272" width="17.5703125" bestFit="1" customWidth="1"/>
    <col min="1273" max="1273" width="3" customWidth="1"/>
    <col min="1520" max="1520" width="3.42578125" customWidth="1"/>
    <col min="1521" max="1521" width="14.42578125" customWidth="1"/>
    <col min="1522" max="1522" width="8.7109375" customWidth="1"/>
    <col min="1523" max="1523" width="5.7109375" customWidth="1"/>
    <col min="1524" max="1524" width="10.140625" bestFit="1" customWidth="1"/>
    <col min="1525" max="1525" width="3.7109375" customWidth="1"/>
    <col min="1526" max="1526" width="15.7109375" bestFit="1" customWidth="1"/>
    <col min="1527" max="1527" width="27.28515625" customWidth="1"/>
    <col min="1528" max="1528" width="17.5703125" bestFit="1" customWidth="1"/>
    <col min="1529" max="1529" width="3" customWidth="1"/>
    <col min="1776" max="1776" width="3.42578125" customWidth="1"/>
    <col min="1777" max="1777" width="14.42578125" customWidth="1"/>
    <col min="1778" max="1778" width="8.7109375" customWidth="1"/>
    <col min="1779" max="1779" width="5.7109375" customWidth="1"/>
    <col min="1780" max="1780" width="10.140625" bestFit="1" customWidth="1"/>
    <col min="1781" max="1781" width="3.7109375" customWidth="1"/>
    <col min="1782" max="1782" width="15.7109375" bestFit="1" customWidth="1"/>
    <col min="1783" max="1783" width="27.28515625" customWidth="1"/>
    <col min="1784" max="1784" width="17.5703125" bestFit="1" customWidth="1"/>
    <col min="1785" max="1785" width="3" customWidth="1"/>
    <col min="2032" max="2032" width="3.42578125" customWidth="1"/>
    <col min="2033" max="2033" width="14.42578125" customWidth="1"/>
    <col min="2034" max="2034" width="8.7109375" customWidth="1"/>
    <col min="2035" max="2035" width="5.7109375" customWidth="1"/>
    <col min="2036" max="2036" width="10.140625" bestFit="1" customWidth="1"/>
    <col min="2037" max="2037" width="3.7109375" customWidth="1"/>
    <col min="2038" max="2038" width="15.7109375" bestFit="1" customWidth="1"/>
    <col min="2039" max="2039" width="27.28515625" customWidth="1"/>
    <col min="2040" max="2040" width="17.5703125" bestFit="1" customWidth="1"/>
    <col min="2041" max="2041" width="3" customWidth="1"/>
    <col min="2288" max="2288" width="3.42578125" customWidth="1"/>
    <col min="2289" max="2289" width="14.42578125" customWidth="1"/>
    <col min="2290" max="2290" width="8.7109375" customWidth="1"/>
    <col min="2291" max="2291" width="5.7109375" customWidth="1"/>
    <col min="2292" max="2292" width="10.140625" bestFit="1" customWidth="1"/>
    <col min="2293" max="2293" width="3.7109375" customWidth="1"/>
    <col min="2294" max="2294" width="15.7109375" bestFit="1" customWidth="1"/>
    <col min="2295" max="2295" width="27.28515625" customWidth="1"/>
    <col min="2296" max="2296" width="17.5703125" bestFit="1" customWidth="1"/>
    <col min="2297" max="2297" width="3" customWidth="1"/>
    <col min="2544" max="2544" width="3.42578125" customWidth="1"/>
    <col min="2545" max="2545" width="14.42578125" customWidth="1"/>
    <col min="2546" max="2546" width="8.7109375" customWidth="1"/>
    <col min="2547" max="2547" width="5.7109375" customWidth="1"/>
    <col min="2548" max="2548" width="10.140625" bestFit="1" customWidth="1"/>
    <col min="2549" max="2549" width="3.7109375" customWidth="1"/>
    <col min="2550" max="2550" width="15.7109375" bestFit="1" customWidth="1"/>
    <col min="2551" max="2551" width="27.28515625" customWidth="1"/>
    <col min="2552" max="2552" width="17.5703125" bestFit="1" customWidth="1"/>
    <col min="2553" max="2553" width="3" customWidth="1"/>
    <col min="2800" max="2800" width="3.42578125" customWidth="1"/>
    <col min="2801" max="2801" width="14.42578125" customWidth="1"/>
    <col min="2802" max="2802" width="8.7109375" customWidth="1"/>
    <col min="2803" max="2803" width="5.7109375" customWidth="1"/>
    <col min="2804" max="2804" width="10.140625" bestFit="1" customWidth="1"/>
    <col min="2805" max="2805" width="3.7109375" customWidth="1"/>
    <col min="2806" max="2806" width="15.7109375" bestFit="1" customWidth="1"/>
    <col min="2807" max="2807" width="27.28515625" customWidth="1"/>
    <col min="2808" max="2808" width="17.5703125" bestFit="1" customWidth="1"/>
    <col min="2809" max="2809" width="3" customWidth="1"/>
    <col min="3056" max="3056" width="3.42578125" customWidth="1"/>
    <col min="3057" max="3057" width="14.42578125" customWidth="1"/>
    <col min="3058" max="3058" width="8.7109375" customWidth="1"/>
    <col min="3059" max="3059" width="5.7109375" customWidth="1"/>
    <col min="3060" max="3060" width="10.140625" bestFit="1" customWidth="1"/>
    <col min="3061" max="3061" width="3.7109375" customWidth="1"/>
    <col min="3062" max="3062" width="15.7109375" bestFit="1" customWidth="1"/>
    <col min="3063" max="3063" width="27.28515625" customWidth="1"/>
    <col min="3064" max="3064" width="17.5703125" bestFit="1" customWidth="1"/>
    <col min="3065" max="3065" width="3" customWidth="1"/>
    <col min="3312" max="3312" width="3.42578125" customWidth="1"/>
    <col min="3313" max="3313" width="14.42578125" customWidth="1"/>
    <col min="3314" max="3314" width="8.7109375" customWidth="1"/>
    <col min="3315" max="3315" width="5.7109375" customWidth="1"/>
    <col min="3316" max="3316" width="10.140625" bestFit="1" customWidth="1"/>
    <col min="3317" max="3317" width="3.7109375" customWidth="1"/>
    <col min="3318" max="3318" width="15.7109375" bestFit="1" customWidth="1"/>
    <col min="3319" max="3319" width="27.28515625" customWidth="1"/>
    <col min="3320" max="3320" width="17.5703125" bestFit="1" customWidth="1"/>
    <col min="3321" max="3321" width="3" customWidth="1"/>
    <col min="3568" max="3568" width="3.42578125" customWidth="1"/>
    <col min="3569" max="3569" width="14.42578125" customWidth="1"/>
    <col min="3570" max="3570" width="8.7109375" customWidth="1"/>
    <col min="3571" max="3571" width="5.7109375" customWidth="1"/>
    <col min="3572" max="3572" width="10.140625" bestFit="1" customWidth="1"/>
    <col min="3573" max="3573" width="3.7109375" customWidth="1"/>
    <col min="3574" max="3574" width="15.7109375" bestFit="1" customWidth="1"/>
    <col min="3575" max="3575" width="27.28515625" customWidth="1"/>
    <col min="3576" max="3576" width="17.5703125" bestFit="1" customWidth="1"/>
    <col min="3577" max="3577" width="3" customWidth="1"/>
    <col min="3824" max="3824" width="3.42578125" customWidth="1"/>
    <col min="3825" max="3825" width="14.42578125" customWidth="1"/>
    <col min="3826" max="3826" width="8.7109375" customWidth="1"/>
    <col min="3827" max="3827" width="5.7109375" customWidth="1"/>
    <col min="3828" max="3828" width="10.140625" bestFit="1" customWidth="1"/>
    <col min="3829" max="3829" width="3.7109375" customWidth="1"/>
    <col min="3830" max="3830" width="15.7109375" bestFit="1" customWidth="1"/>
    <col min="3831" max="3831" width="27.28515625" customWidth="1"/>
    <col min="3832" max="3832" width="17.5703125" bestFit="1" customWidth="1"/>
    <col min="3833" max="3833" width="3" customWidth="1"/>
    <col min="4080" max="4080" width="3.42578125" customWidth="1"/>
    <col min="4081" max="4081" width="14.42578125" customWidth="1"/>
    <col min="4082" max="4082" width="8.7109375" customWidth="1"/>
    <col min="4083" max="4083" width="5.7109375" customWidth="1"/>
    <col min="4084" max="4084" width="10.140625" bestFit="1" customWidth="1"/>
    <col min="4085" max="4085" width="3.7109375" customWidth="1"/>
    <col min="4086" max="4086" width="15.7109375" bestFit="1" customWidth="1"/>
    <col min="4087" max="4087" width="27.28515625" customWidth="1"/>
    <col min="4088" max="4088" width="17.5703125" bestFit="1" customWidth="1"/>
    <col min="4089" max="4089" width="3" customWidth="1"/>
    <col min="4336" max="4336" width="3.42578125" customWidth="1"/>
    <col min="4337" max="4337" width="14.42578125" customWidth="1"/>
    <col min="4338" max="4338" width="8.7109375" customWidth="1"/>
    <col min="4339" max="4339" width="5.7109375" customWidth="1"/>
    <col min="4340" max="4340" width="10.140625" bestFit="1" customWidth="1"/>
    <col min="4341" max="4341" width="3.7109375" customWidth="1"/>
    <col min="4342" max="4342" width="15.7109375" bestFit="1" customWidth="1"/>
    <col min="4343" max="4343" width="27.28515625" customWidth="1"/>
    <col min="4344" max="4344" width="17.5703125" bestFit="1" customWidth="1"/>
    <col min="4345" max="4345" width="3" customWidth="1"/>
    <col min="4592" max="4592" width="3.42578125" customWidth="1"/>
    <col min="4593" max="4593" width="14.42578125" customWidth="1"/>
    <col min="4594" max="4594" width="8.7109375" customWidth="1"/>
    <col min="4595" max="4595" width="5.7109375" customWidth="1"/>
    <col min="4596" max="4596" width="10.140625" bestFit="1" customWidth="1"/>
    <col min="4597" max="4597" width="3.7109375" customWidth="1"/>
    <col min="4598" max="4598" width="15.7109375" bestFit="1" customWidth="1"/>
    <col min="4599" max="4599" width="27.28515625" customWidth="1"/>
    <col min="4600" max="4600" width="17.5703125" bestFit="1" customWidth="1"/>
    <col min="4601" max="4601" width="3" customWidth="1"/>
    <col min="4848" max="4848" width="3.42578125" customWidth="1"/>
    <col min="4849" max="4849" width="14.42578125" customWidth="1"/>
    <col min="4850" max="4850" width="8.7109375" customWidth="1"/>
    <col min="4851" max="4851" width="5.7109375" customWidth="1"/>
    <col min="4852" max="4852" width="10.140625" bestFit="1" customWidth="1"/>
    <col min="4853" max="4853" width="3.7109375" customWidth="1"/>
    <col min="4854" max="4854" width="15.7109375" bestFit="1" customWidth="1"/>
    <col min="4855" max="4855" width="27.28515625" customWidth="1"/>
    <col min="4856" max="4856" width="17.5703125" bestFit="1" customWidth="1"/>
    <col min="4857" max="4857" width="3" customWidth="1"/>
    <col min="5104" max="5104" width="3.42578125" customWidth="1"/>
    <col min="5105" max="5105" width="14.42578125" customWidth="1"/>
    <col min="5106" max="5106" width="8.7109375" customWidth="1"/>
    <col min="5107" max="5107" width="5.7109375" customWidth="1"/>
    <col min="5108" max="5108" width="10.140625" bestFit="1" customWidth="1"/>
    <col min="5109" max="5109" width="3.7109375" customWidth="1"/>
    <col min="5110" max="5110" width="15.7109375" bestFit="1" customWidth="1"/>
    <col min="5111" max="5111" width="27.28515625" customWidth="1"/>
    <col min="5112" max="5112" width="17.5703125" bestFit="1" customWidth="1"/>
    <col min="5113" max="5113" width="3" customWidth="1"/>
    <col min="5360" max="5360" width="3.42578125" customWidth="1"/>
    <col min="5361" max="5361" width="14.42578125" customWidth="1"/>
    <col min="5362" max="5362" width="8.7109375" customWidth="1"/>
    <col min="5363" max="5363" width="5.7109375" customWidth="1"/>
    <col min="5364" max="5364" width="10.140625" bestFit="1" customWidth="1"/>
    <col min="5365" max="5365" width="3.7109375" customWidth="1"/>
    <col min="5366" max="5366" width="15.7109375" bestFit="1" customWidth="1"/>
    <col min="5367" max="5367" width="27.28515625" customWidth="1"/>
    <col min="5368" max="5368" width="17.5703125" bestFit="1" customWidth="1"/>
    <col min="5369" max="5369" width="3" customWidth="1"/>
    <col min="5616" max="5616" width="3.42578125" customWidth="1"/>
    <col min="5617" max="5617" width="14.42578125" customWidth="1"/>
    <col min="5618" max="5618" width="8.7109375" customWidth="1"/>
    <col min="5619" max="5619" width="5.7109375" customWidth="1"/>
    <col min="5620" max="5620" width="10.140625" bestFit="1" customWidth="1"/>
    <col min="5621" max="5621" width="3.7109375" customWidth="1"/>
    <col min="5622" max="5622" width="15.7109375" bestFit="1" customWidth="1"/>
    <col min="5623" max="5623" width="27.28515625" customWidth="1"/>
    <col min="5624" max="5624" width="17.5703125" bestFit="1" customWidth="1"/>
    <col min="5625" max="5625" width="3" customWidth="1"/>
    <col min="5872" max="5872" width="3.42578125" customWidth="1"/>
    <col min="5873" max="5873" width="14.42578125" customWidth="1"/>
    <col min="5874" max="5874" width="8.7109375" customWidth="1"/>
    <col min="5875" max="5875" width="5.7109375" customWidth="1"/>
    <col min="5876" max="5876" width="10.140625" bestFit="1" customWidth="1"/>
    <col min="5877" max="5877" width="3.7109375" customWidth="1"/>
    <col min="5878" max="5878" width="15.7109375" bestFit="1" customWidth="1"/>
    <col min="5879" max="5879" width="27.28515625" customWidth="1"/>
    <col min="5880" max="5880" width="17.5703125" bestFit="1" customWidth="1"/>
    <col min="5881" max="5881" width="3" customWidth="1"/>
    <col min="6128" max="6128" width="3.42578125" customWidth="1"/>
    <col min="6129" max="6129" width="14.42578125" customWidth="1"/>
    <col min="6130" max="6130" width="8.7109375" customWidth="1"/>
    <col min="6131" max="6131" width="5.7109375" customWidth="1"/>
    <col min="6132" max="6132" width="10.140625" bestFit="1" customWidth="1"/>
    <col min="6133" max="6133" width="3.7109375" customWidth="1"/>
    <col min="6134" max="6134" width="15.7109375" bestFit="1" customWidth="1"/>
    <col min="6135" max="6135" width="27.28515625" customWidth="1"/>
    <col min="6136" max="6136" width="17.5703125" bestFit="1" customWidth="1"/>
    <col min="6137" max="6137" width="3" customWidth="1"/>
    <col min="6384" max="6384" width="3.42578125" customWidth="1"/>
    <col min="6385" max="6385" width="14.42578125" customWidth="1"/>
    <col min="6386" max="6386" width="8.7109375" customWidth="1"/>
    <col min="6387" max="6387" width="5.7109375" customWidth="1"/>
    <col min="6388" max="6388" width="10.140625" bestFit="1" customWidth="1"/>
    <col min="6389" max="6389" width="3.7109375" customWidth="1"/>
    <col min="6390" max="6390" width="15.7109375" bestFit="1" customWidth="1"/>
    <col min="6391" max="6391" width="27.28515625" customWidth="1"/>
    <col min="6392" max="6392" width="17.5703125" bestFit="1" customWidth="1"/>
    <col min="6393" max="6393" width="3" customWidth="1"/>
    <col min="6640" max="6640" width="3.42578125" customWidth="1"/>
    <col min="6641" max="6641" width="14.42578125" customWidth="1"/>
    <col min="6642" max="6642" width="8.7109375" customWidth="1"/>
    <col min="6643" max="6643" width="5.7109375" customWidth="1"/>
    <col min="6644" max="6644" width="10.140625" bestFit="1" customWidth="1"/>
    <col min="6645" max="6645" width="3.7109375" customWidth="1"/>
    <col min="6646" max="6646" width="15.7109375" bestFit="1" customWidth="1"/>
    <col min="6647" max="6647" width="27.28515625" customWidth="1"/>
    <col min="6648" max="6648" width="17.5703125" bestFit="1" customWidth="1"/>
    <col min="6649" max="6649" width="3" customWidth="1"/>
    <col min="6896" max="6896" width="3.42578125" customWidth="1"/>
    <col min="6897" max="6897" width="14.42578125" customWidth="1"/>
    <col min="6898" max="6898" width="8.7109375" customWidth="1"/>
    <col min="6899" max="6899" width="5.7109375" customWidth="1"/>
    <col min="6900" max="6900" width="10.140625" bestFit="1" customWidth="1"/>
    <col min="6901" max="6901" width="3.7109375" customWidth="1"/>
    <col min="6902" max="6902" width="15.7109375" bestFit="1" customWidth="1"/>
    <col min="6903" max="6903" width="27.28515625" customWidth="1"/>
    <col min="6904" max="6904" width="17.5703125" bestFit="1" customWidth="1"/>
    <col min="6905" max="6905" width="3" customWidth="1"/>
    <col min="7152" max="7152" width="3.42578125" customWidth="1"/>
    <col min="7153" max="7153" width="14.42578125" customWidth="1"/>
    <col min="7154" max="7154" width="8.7109375" customWidth="1"/>
    <col min="7155" max="7155" width="5.7109375" customWidth="1"/>
    <col min="7156" max="7156" width="10.140625" bestFit="1" customWidth="1"/>
    <col min="7157" max="7157" width="3.7109375" customWidth="1"/>
    <col min="7158" max="7158" width="15.7109375" bestFit="1" customWidth="1"/>
    <col min="7159" max="7159" width="27.28515625" customWidth="1"/>
    <col min="7160" max="7160" width="17.5703125" bestFit="1" customWidth="1"/>
    <col min="7161" max="7161" width="3" customWidth="1"/>
    <col min="7408" max="7408" width="3.42578125" customWidth="1"/>
    <col min="7409" max="7409" width="14.42578125" customWidth="1"/>
    <col min="7410" max="7410" width="8.7109375" customWidth="1"/>
    <col min="7411" max="7411" width="5.7109375" customWidth="1"/>
    <col min="7412" max="7412" width="10.140625" bestFit="1" customWidth="1"/>
    <col min="7413" max="7413" width="3.7109375" customWidth="1"/>
    <col min="7414" max="7414" width="15.7109375" bestFit="1" customWidth="1"/>
    <col min="7415" max="7415" width="27.28515625" customWidth="1"/>
    <col min="7416" max="7416" width="17.5703125" bestFit="1" customWidth="1"/>
    <col min="7417" max="7417" width="3" customWidth="1"/>
    <col min="7664" max="7664" width="3.42578125" customWidth="1"/>
    <col min="7665" max="7665" width="14.42578125" customWidth="1"/>
    <col min="7666" max="7666" width="8.7109375" customWidth="1"/>
    <col min="7667" max="7667" width="5.7109375" customWidth="1"/>
    <col min="7668" max="7668" width="10.140625" bestFit="1" customWidth="1"/>
    <col min="7669" max="7669" width="3.7109375" customWidth="1"/>
    <col min="7670" max="7670" width="15.7109375" bestFit="1" customWidth="1"/>
    <col min="7671" max="7671" width="27.28515625" customWidth="1"/>
    <col min="7672" max="7672" width="17.5703125" bestFit="1" customWidth="1"/>
    <col min="7673" max="7673" width="3" customWidth="1"/>
    <col min="7920" max="7920" width="3.42578125" customWidth="1"/>
    <col min="7921" max="7921" width="14.42578125" customWidth="1"/>
    <col min="7922" max="7922" width="8.7109375" customWidth="1"/>
    <col min="7923" max="7923" width="5.7109375" customWidth="1"/>
    <col min="7924" max="7924" width="10.140625" bestFit="1" customWidth="1"/>
    <col min="7925" max="7925" width="3.7109375" customWidth="1"/>
    <col min="7926" max="7926" width="15.7109375" bestFit="1" customWidth="1"/>
    <col min="7927" max="7927" width="27.28515625" customWidth="1"/>
    <col min="7928" max="7928" width="17.5703125" bestFit="1" customWidth="1"/>
    <col min="7929" max="7929" width="3" customWidth="1"/>
    <col min="8176" max="8176" width="3.42578125" customWidth="1"/>
    <col min="8177" max="8177" width="14.42578125" customWidth="1"/>
    <col min="8178" max="8178" width="8.7109375" customWidth="1"/>
    <col min="8179" max="8179" width="5.7109375" customWidth="1"/>
    <col min="8180" max="8180" width="10.140625" bestFit="1" customWidth="1"/>
    <col min="8181" max="8181" width="3.7109375" customWidth="1"/>
    <col min="8182" max="8182" width="15.7109375" bestFit="1" customWidth="1"/>
    <col min="8183" max="8183" width="27.28515625" customWidth="1"/>
    <col min="8184" max="8184" width="17.5703125" bestFit="1" customWidth="1"/>
    <col min="8185" max="8185" width="3" customWidth="1"/>
    <col min="8432" max="8432" width="3.42578125" customWidth="1"/>
    <col min="8433" max="8433" width="14.42578125" customWidth="1"/>
    <col min="8434" max="8434" width="8.7109375" customWidth="1"/>
    <col min="8435" max="8435" width="5.7109375" customWidth="1"/>
    <col min="8436" max="8436" width="10.140625" bestFit="1" customWidth="1"/>
    <col min="8437" max="8437" width="3.7109375" customWidth="1"/>
    <col min="8438" max="8438" width="15.7109375" bestFit="1" customWidth="1"/>
    <col min="8439" max="8439" width="27.28515625" customWidth="1"/>
    <col min="8440" max="8440" width="17.5703125" bestFit="1" customWidth="1"/>
    <col min="8441" max="8441" width="3" customWidth="1"/>
    <col min="8688" max="8688" width="3.42578125" customWidth="1"/>
    <col min="8689" max="8689" width="14.42578125" customWidth="1"/>
    <col min="8690" max="8690" width="8.7109375" customWidth="1"/>
    <col min="8691" max="8691" width="5.7109375" customWidth="1"/>
    <col min="8692" max="8692" width="10.140625" bestFit="1" customWidth="1"/>
    <col min="8693" max="8693" width="3.7109375" customWidth="1"/>
    <col min="8694" max="8694" width="15.7109375" bestFit="1" customWidth="1"/>
    <col min="8695" max="8695" width="27.28515625" customWidth="1"/>
    <col min="8696" max="8696" width="17.5703125" bestFit="1" customWidth="1"/>
    <col min="8697" max="8697" width="3" customWidth="1"/>
    <col min="8944" max="8944" width="3.42578125" customWidth="1"/>
    <col min="8945" max="8945" width="14.42578125" customWidth="1"/>
    <col min="8946" max="8946" width="8.7109375" customWidth="1"/>
    <col min="8947" max="8947" width="5.7109375" customWidth="1"/>
    <col min="8948" max="8948" width="10.140625" bestFit="1" customWidth="1"/>
    <col min="8949" max="8949" width="3.7109375" customWidth="1"/>
    <col min="8950" max="8950" width="15.7109375" bestFit="1" customWidth="1"/>
    <col min="8951" max="8951" width="27.28515625" customWidth="1"/>
    <col min="8952" max="8952" width="17.5703125" bestFit="1" customWidth="1"/>
    <col min="8953" max="8953" width="3" customWidth="1"/>
    <col min="9200" max="9200" width="3.42578125" customWidth="1"/>
    <col min="9201" max="9201" width="14.42578125" customWidth="1"/>
    <col min="9202" max="9202" width="8.7109375" customWidth="1"/>
    <col min="9203" max="9203" width="5.7109375" customWidth="1"/>
    <col min="9204" max="9204" width="10.140625" bestFit="1" customWidth="1"/>
    <col min="9205" max="9205" width="3.7109375" customWidth="1"/>
    <col min="9206" max="9206" width="15.7109375" bestFit="1" customWidth="1"/>
    <col min="9207" max="9207" width="27.28515625" customWidth="1"/>
    <col min="9208" max="9208" width="17.5703125" bestFit="1" customWidth="1"/>
    <col min="9209" max="9209" width="3" customWidth="1"/>
    <col min="9456" max="9456" width="3.42578125" customWidth="1"/>
    <col min="9457" max="9457" width="14.42578125" customWidth="1"/>
    <col min="9458" max="9458" width="8.7109375" customWidth="1"/>
    <col min="9459" max="9459" width="5.7109375" customWidth="1"/>
    <col min="9460" max="9460" width="10.140625" bestFit="1" customWidth="1"/>
    <col min="9461" max="9461" width="3.7109375" customWidth="1"/>
    <col min="9462" max="9462" width="15.7109375" bestFit="1" customWidth="1"/>
    <col min="9463" max="9463" width="27.28515625" customWidth="1"/>
    <col min="9464" max="9464" width="17.5703125" bestFit="1" customWidth="1"/>
    <col min="9465" max="9465" width="3" customWidth="1"/>
    <col min="9712" max="9712" width="3.42578125" customWidth="1"/>
    <col min="9713" max="9713" width="14.42578125" customWidth="1"/>
    <col min="9714" max="9714" width="8.7109375" customWidth="1"/>
    <col min="9715" max="9715" width="5.7109375" customWidth="1"/>
    <col min="9716" max="9716" width="10.140625" bestFit="1" customWidth="1"/>
    <col min="9717" max="9717" width="3.7109375" customWidth="1"/>
    <col min="9718" max="9718" width="15.7109375" bestFit="1" customWidth="1"/>
    <col min="9719" max="9719" width="27.28515625" customWidth="1"/>
    <col min="9720" max="9720" width="17.5703125" bestFit="1" customWidth="1"/>
    <col min="9721" max="9721" width="3" customWidth="1"/>
    <col min="9968" max="9968" width="3.42578125" customWidth="1"/>
    <col min="9969" max="9969" width="14.42578125" customWidth="1"/>
    <col min="9970" max="9970" width="8.7109375" customWidth="1"/>
    <col min="9971" max="9971" width="5.7109375" customWidth="1"/>
    <col min="9972" max="9972" width="10.140625" bestFit="1" customWidth="1"/>
    <col min="9973" max="9973" width="3.7109375" customWidth="1"/>
    <col min="9974" max="9974" width="15.7109375" bestFit="1" customWidth="1"/>
    <col min="9975" max="9975" width="27.28515625" customWidth="1"/>
    <col min="9976" max="9976" width="17.5703125" bestFit="1" customWidth="1"/>
    <col min="9977" max="9977" width="3" customWidth="1"/>
    <col min="10224" max="10224" width="3.42578125" customWidth="1"/>
    <col min="10225" max="10225" width="14.42578125" customWidth="1"/>
    <col min="10226" max="10226" width="8.7109375" customWidth="1"/>
    <col min="10227" max="10227" width="5.7109375" customWidth="1"/>
    <col min="10228" max="10228" width="10.140625" bestFit="1" customWidth="1"/>
    <col min="10229" max="10229" width="3.7109375" customWidth="1"/>
    <col min="10230" max="10230" width="15.7109375" bestFit="1" customWidth="1"/>
    <col min="10231" max="10231" width="27.28515625" customWidth="1"/>
    <col min="10232" max="10232" width="17.5703125" bestFit="1" customWidth="1"/>
    <col min="10233" max="10233" width="3" customWidth="1"/>
    <col min="10480" max="10480" width="3.42578125" customWidth="1"/>
    <col min="10481" max="10481" width="14.42578125" customWidth="1"/>
    <col min="10482" max="10482" width="8.7109375" customWidth="1"/>
    <col min="10483" max="10483" width="5.7109375" customWidth="1"/>
    <col min="10484" max="10484" width="10.140625" bestFit="1" customWidth="1"/>
    <col min="10485" max="10485" width="3.7109375" customWidth="1"/>
    <col min="10486" max="10486" width="15.7109375" bestFit="1" customWidth="1"/>
    <col min="10487" max="10487" width="27.28515625" customWidth="1"/>
    <col min="10488" max="10488" width="17.5703125" bestFit="1" customWidth="1"/>
    <col min="10489" max="10489" width="3" customWidth="1"/>
    <col min="10736" max="10736" width="3.42578125" customWidth="1"/>
    <col min="10737" max="10737" width="14.42578125" customWidth="1"/>
    <col min="10738" max="10738" width="8.7109375" customWidth="1"/>
    <col min="10739" max="10739" width="5.7109375" customWidth="1"/>
    <col min="10740" max="10740" width="10.140625" bestFit="1" customWidth="1"/>
    <col min="10741" max="10741" width="3.7109375" customWidth="1"/>
    <col min="10742" max="10742" width="15.7109375" bestFit="1" customWidth="1"/>
    <col min="10743" max="10743" width="27.28515625" customWidth="1"/>
    <col min="10744" max="10744" width="17.5703125" bestFit="1" customWidth="1"/>
    <col min="10745" max="10745" width="3" customWidth="1"/>
    <col min="10992" max="10992" width="3.42578125" customWidth="1"/>
    <col min="10993" max="10993" width="14.42578125" customWidth="1"/>
    <col min="10994" max="10994" width="8.7109375" customWidth="1"/>
    <col min="10995" max="10995" width="5.7109375" customWidth="1"/>
    <col min="10996" max="10996" width="10.140625" bestFit="1" customWidth="1"/>
    <col min="10997" max="10997" width="3.7109375" customWidth="1"/>
    <col min="10998" max="10998" width="15.7109375" bestFit="1" customWidth="1"/>
    <col min="10999" max="10999" width="27.28515625" customWidth="1"/>
    <col min="11000" max="11000" width="17.5703125" bestFit="1" customWidth="1"/>
    <col min="11001" max="11001" width="3" customWidth="1"/>
    <col min="11248" max="11248" width="3.42578125" customWidth="1"/>
    <col min="11249" max="11249" width="14.42578125" customWidth="1"/>
    <col min="11250" max="11250" width="8.7109375" customWidth="1"/>
    <col min="11251" max="11251" width="5.7109375" customWidth="1"/>
    <col min="11252" max="11252" width="10.140625" bestFit="1" customWidth="1"/>
    <col min="11253" max="11253" width="3.7109375" customWidth="1"/>
    <col min="11254" max="11254" width="15.7109375" bestFit="1" customWidth="1"/>
    <col min="11255" max="11255" width="27.28515625" customWidth="1"/>
    <col min="11256" max="11256" width="17.5703125" bestFit="1" customWidth="1"/>
    <col min="11257" max="11257" width="3" customWidth="1"/>
    <col min="11504" max="11504" width="3.42578125" customWidth="1"/>
    <col min="11505" max="11505" width="14.42578125" customWidth="1"/>
    <col min="11506" max="11506" width="8.7109375" customWidth="1"/>
    <col min="11507" max="11507" width="5.7109375" customWidth="1"/>
    <col min="11508" max="11508" width="10.140625" bestFit="1" customWidth="1"/>
    <col min="11509" max="11509" width="3.7109375" customWidth="1"/>
    <col min="11510" max="11510" width="15.7109375" bestFit="1" customWidth="1"/>
    <col min="11511" max="11511" width="27.28515625" customWidth="1"/>
    <col min="11512" max="11512" width="17.5703125" bestFit="1" customWidth="1"/>
    <col min="11513" max="11513" width="3" customWidth="1"/>
    <col min="11760" max="11760" width="3.42578125" customWidth="1"/>
    <col min="11761" max="11761" width="14.42578125" customWidth="1"/>
    <col min="11762" max="11762" width="8.7109375" customWidth="1"/>
    <col min="11763" max="11763" width="5.7109375" customWidth="1"/>
    <col min="11764" max="11764" width="10.140625" bestFit="1" customWidth="1"/>
    <col min="11765" max="11765" width="3.7109375" customWidth="1"/>
    <col min="11766" max="11766" width="15.7109375" bestFit="1" customWidth="1"/>
    <col min="11767" max="11767" width="27.28515625" customWidth="1"/>
    <col min="11768" max="11768" width="17.5703125" bestFit="1" customWidth="1"/>
    <col min="11769" max="11769" width="3" customWidth="1"/>
    <col min="12016" max="12016" width="3.42578125" customWidth="1"/>
    <col min="12017" max="12017" width="14.42578125" customWidth="1"/>
    <col min="12018" max="12018" width="8.7109375" customWidth="1"/>
    <col min="12019" max="12019" width="5.7109375" customWidth="1"/>
    <col min="12020" max="12020" width="10.140625" bestFit="1" customWidth="1"/>
    <col min="12021" max="12021" width="3.7109375" customWidth="1"/>
    <col min="12022" max="12022" width="15.7109375" bestFit="1" customWidth="1"/>
    <col min="12023" max="12023" width="27.28515625" customWidth="1"/>
    <col min="12024" max="12024" width="17.5703125" bestFit="1" customWidth="1"/>
    <col min="12025" max="12025" width="3" customWidth="1"/>
    <col min="12272" max="12272" width="3.42578125" customWidth="1"/>
    <col min="12273" max="12273" width="14.42578125" customWidth="1"/>
    <col min="12274" max="12274" width="8.7109375" customWidth="1"/>
    <col min="12275" max="12275" width="5.7109375" customWidth="1"/>
    <col min="12276" max="12276" width="10.140625" bestFit="1" customWidth="1"/>
    <col min="12277" max="12277" width="3.7109375" customWidth="1"/>
    <col min="12278" max="12278" width="15.7109375" bestFit="1" customWidth="1"/>
    <col min="12279" max="12279" width="27.28515625" customWidth="1"/>
    <col min="12280" max="12280" width="17.5703125" bestFit="1" customWidth="1"/>
    <col min="12281" max="12281" width="3" customWidth="1"/>
    <col min="12528" max="12528" width="3.42578125" customWidth="1"/>
    <col min="12529" max="12529" width="14.42578125" customWidth="1"/>
    <col min="12530" max="12530" width="8.7109375" customWidth="1"/>
    <col min="12531" max="12531" width="5.7109375" customWidth="1"/>
    <col min="12532" max="12532" width="10.140625" bestFit="1" customWidth="1"/>
    <col min="12533" max="12533" width="3.7109375" customWidth="1"/>
    <col min="12534" max="12534" width="15.7109375" bestFit="1" customWidth="1"/>
    <col min="12535" max="12535" width="27.28515625" customWidth="1"/>
    <col min="12536" max="12536" width="17.5703125" bestFit="1" customWidth="1"/>
    <col min="12537" max="12537" width="3" customWidth="1"/>
    <col min="12784" max="12784" width="3.42578125" customWidth="1"/>
    <col min="12785" max="12785" width="14.42578125" customWidth="1"/>
    <col min="12786" max="12786" width="8.7109375" customWidth="1"/>
    <col min="12787" max="12787" width="5.7109375" customWidth="1"/>
    <col min="12788" max="12788" width="10.140625" bestFit="1" customWidth="1"/>
    <col min="12789" max="12789" width="3.7109375" customWidth="1"/>
    <col min="12790" max="12790" width="15.7109375" bestFit="1" customWidth="1"/>
    <col min="12791" max="12791" width="27.28515625" customWidth="1"/>
    <col min="12792" max="12792" width="17.5703125" bestFit="1" customWidth="1"/>
    <col min="12793" max="12793" width="3" customWidth="1"/>
    <col min="13040" max="13040" width="3.42578125" customWidth="1"/>
    <col min="13041" max="13041" width="14.42578125" customWidth="1"/>
    <col min="13042" max="13042" width="8.7109375" customWidth="1"/>
    <col min="13043" max="13043" width="5.7109375" customWidth="1"/>
    <col min="13044" max="13044" width="10.140625" bestFit="1" customWidth="1"/>
    <col min="13045" max="13045" width="3.7109375" customWidth="1"/>
    <col min="13046" max="13046" width="15.7109375" bestFit="1" customWidth="1"/>
    <col min="13047" max="13047" width="27.28515625" customWidth="1"/>
    <col min="13048" max="13048" width="17.5703125" bestFit="1" customWidth="1"/>
    <col min="13049" max="13049" width="3" customWidth="1"/>
    <col min="13296" max="13296" width="3.42578125" customWidth="1"/>
    <col min="13297" max="13297" width="14.42578125" customWidth="1"/>
    <col min="13298" max="13298" width="8.7109375" customWidth="1"/>
    <col min="13299" max="13299" width="5.7109375" customWidth="1"/>
    <col min="13300" max="13300" width="10.140625" bestFit="1" customWidth="1"/>
    <col min="13301" max="13301" width="3.7109375" customWidth="1"/>
    <col min="13302" max="13302" width="15.7109375" bestFit="1" customWidth="1"/>
    <col min="13303" max="13303" width="27.28515625" customWidth="1"/>
    <col min="13304" max="13304" width="17.5703125" bestFit="1" customWidth="1"/>
    <col min="13305" max="13305" width="3" customWidth="1"/>
    <col min="13552" max="13552" width="3.42578125" customWidth="1"/>
    <col min="13553" max="13553" width="14.42578125" customWidth="1"/>
    <col min="13554" max="13554" width="8.7109375" customWidth="1"/>
    <col min="13555" max="13555" width="5.7109375" customWidth="1"/>
    <col min="13556" max="13556" width="10.140625" bestFit="1" customWidth="1"/>
    <col min="13557" max="13557" width="3.7109375" customWidth="1"/>
    <col min="13558" max="13558" width="15.7109375" bestFit="1" customWidth="1"/>
    <col min="13559" max="13559" width="27.28515625" customWidth="1"/>
    <col min="13560" max="13560" width="17.5703125" bestFit="1" customWidth="1"/>
    <col min="13561" max="13561" width="3" customWidth="1"/>
    <col min="13808" max="13808" width="3.42578125" customWidth="1"/>
    <col min="13809" max="13809" width="14.42578125" customWidth="1"/>
    <col min="13810" max="13810" width="8.7109375" customWidth="1"/>
    <col min="13811" max="13811" width="5.7109375" customWidth="1"/>
    <col min="13812" max="13812" width="10.140625" bestFit="1" customWidth="1"/>
    <col min="13813" max="13813" width="3.7109375" customWidth="1"/>
    <col min="13814" max="13814" width="15.7109375" bestFit="1" customWidth="1"/>
    <col min="13815" max="13815" width="27.28515625" customWidth="1"/>
    <col min="13816" max="13816" width="17.5703125" bestFit="1" customWidth="1"/>
    <col min="13817" max="13817" width="3" customWidth="1"/>
    <col min="14064" max="14064" width="3.42578125" customWidth="1"/>
    <col min="14065" max="14065" width="14.42578125" customWidth="1"/>
    <col min="14066" max="14066" width="8.7109375" customWidth="1"/>
    <col min="14067" max="14067" width="5.7109375" customWidth="1"/>
    <col min="14068" max="14068" width="10.140625" bestFit="1" customWidth="1"/>
    <col min="14069" max="14069" width="3.7109375" customWidth="1"/>
    <col min="14070" max="14070" width="15.7109375" bestFit="1" customWidth="1"/>
    <col min="14071" max="14071" width="27.28515625" customWidth="1"/>
    <col min="14072" max="14072" width="17.5703125" bestFit="1" customWidth="1"/>
    <col min="14073" max="14073" width="3" customWidth="1"/>
    <col min="14320" max="14320" width="3.42578125" customWidth="1"/>
    <col min="14321" max="14321" width="14.42578125" customWidth="1"/>
    <col min="14322" max="14322" width="8.7109375" customWidth="1"/>
    <col min="14323" max="14323" width="5.7109375" customWidth="1"/>
    <col min="14324" max="14324" width="10.140625" bestFit="1" customWidth="1"/>
    <col min="14325" max="14325" width="3.7109375" customWidth="1"/>
    <col min="14326" max="14326" width="15.7109375" bestFit="1" customWidth="1"/>
    <col min="14327" max="14327" width="27.28515625" customWidth="1"/>
    <col min="14328" max="14328" width="17.5703125" bestFit="1" customWidth="1"/>
    <col min="14329" max="14329" width="3" customWidth="1"/>
    <col min="14576" max="14576" width="3.42578125" customWidth="1"/>
    <col min="14577" max="14577" width="14.42578125" customWidth="1"/>
    <col min="14578" max="14578" width="8.7109375" customWidth="1"/>
    <col min="14579" max="14579" width="5.7109375" customWidth="1"/>
    <col min="14580" max="14580" width="10.140625" bestFit="1" customWidth="1"/>
    <col min="14581" max="14581" width="3.7109375" customWidth="1"/>
    <col min="14582" max="14582" width="15.7109375" bestFit="1" customWidth="1"/>
    <col min="14583" max="14583" width="27.28515625" customWidth="1"/>
    <col min="14584" max="14584" width="17.5703125" bestFit="1" customWidth="1"/>
    <col min="14585" max="14585" width="3" customWidth="1"/>
    <col min="14832" max="14832" width="3.42578125" customWidth="1"/>
    <col min="14833" max="14833" width="14.42578125" customWidth="1"/>
    <col min="14834" max="14834" width="8.7109375" customWidth="1"/>
    <col min="14835" max="14835" width="5.7109375" customWidth="1"/>
    <col min="14836" max="14836" width="10.140625" bestFit="1" customWidth="1"/>
    <col min="14837" max="14837" width="3.7109375" customWidth="1"/>
    <col min="14838" max="14838" width="15.7109375" bestFit="1" customWidth="1"/>
    <col min="14839" max="14839" width="27.28515625" customWidth="1"/>
    <col min="14840" max="14840" width="17.5703125" bestFit="1" customWidth="1"/>
    <col min="14841" max="14841" width="3" customWidth="1"/>
    <col min="15088" max="15088" width="3.42578125" customWidth="1"/>
    <col min="15089" max="15089" width="14.42578125" customWidth="1"/>
    <col min="15090" max="15090" width="8.7109375" customWidth="1"/>
    <col min="15091" max="15091" width="5.7109375" customWidth="1"/>
    <col min="15092" max="15092" width="10.140625" bestFit="1" customWidth="1"/>
    <col min="15093" max="15093" width="3.7109375" customWidth="1"/>
    <col min="15094" max="15094" width="15.7109375" bestFit="1" customWidth="1"/>
    <col min="15095" max="15095" width="27.28515625" customWidth="1"/>
    <col min="15096" max="15096" width="17.5703125" bestFit="1" customWidth="1"/>
    <col min="15097" max="15097" width="3" customWidth="1"/>
    <col min="15344" max="15344" width="3.42578125" customWidth="1"/>
    <col min="15345" max="15345" width="14.42578125" customWidth="1"/>
    <col min="15346" max="15346" width="8.7109375" customWidth="1"/>
    <col min="15347" max="15347" width="5.7109375" customWidth="1"/>
    <col min="15348" max="15348" width="10.140625" bestFit="1" customWidth="1"/>
    <col min="15349" max="15349" width="3.7109375" customWidth="1"/>
    <col min="15350" max="15350" width="15.7109375" bestFit="1" customWidth="1"/>
    <col min="15351" max="15351" width="27.28515625" customWidth="1"/>
    <col min="15352" max="15352" width="17.5703125" bestFit="1" customWidth="1"/>
    <col min="15353" max="15353" width="3" customWidth="1"/>
    <col min="15600" max="15600" width="3.42578125" customWidth="1"/>
    <col min="15601" max="15601" width="14.42578125" customWidth="1"/>
    <col min="15602" max="15602" width="8.7109375" customWidth="1"/>
    <col min="15603" max="15603" width="5.7109375" customWidth="1"/>
    <col min="15604" max="15604" width="10.140625" bestFit="1" customWidth="1"/>
    <col min="15605" max="15605" width="3.7109375" customWidth="1"/>
    <col min="15606" max="15606" width="15.7109375" bestFit="1" customWidth="1"/>
    <col min="15607" max="15607" width="27.28515625" customWidth="1"/>
    <col min="15608" max="15608" width="17.5703125" bestFit="1" customWidth="1"/>
    <col min="15609" max="15609" width="3" customWidth="1"/>
    <col min="15856" max="15856" width="3.42578125" customWidth="1"/>
    <col min="15857" max="15857" width="14.42578125" customWidth="1"/>
    <col min="15858" max="15858" width="8.7109375" customWidth="1"/>
    <col min="15859" max="15859" width="5.7109375" customWidth="1"/>
    <col min="15860" max="15860" width="10.140625" bestFit="1" customWidth="1"/>
    <col min="15861" max="15861" width="3.7109375" customWidth="1"/>
    <col min="15862" max="15862" width="15.7109375" bestFit="1" customWidth="1"/>
    <col min="15863" max="15863" width="27.28515625" customWidth="1"/>
    <col min="15864" max="15864" width="17.5703125" bestFit="1" customWidth="1"/>
    <col min="15865" max="15865" width="3" customWidth="1"/>
    <col min="16112" max="16112" width="3.42578125" customWidth="1"/>
    <col min="16113" max="16113" width="14.42578125" customWidth="1"/>
    <col min="16114" max="16114" width="8.7109375" customWidth="1"/>
    <col min="16115" max="16115" width="5.7109375" customWidth="1"/>
    <col min="16116" max="16116" width="10.140625" bestFit="1" customWidth="1"/>
    <col min="16117" max="16117" width="3.7109375" customWidth="1"/>
    <col min="16118" max="16118" width="15.7109375" bestFit="1" customWidth="1"/>
    <col min="16119" max="16119" width="27.28515625" customWidth="1"/>
    <col min="16120" max="16120" width="17.5703125" bestFit="1" customWidth="1"/>
    <col min="16121" max="16121" width="3" customWidth="1"/>
  </cols>
  <sheetData>
    <row r="1" spans="1:11" ht="13.5" thickBot="1" x14ac:dyDescent="0.25">
      <c r="B1" s="1"/>
      <c r="C1" s="1"/>
      <c r="D1" s="1"/>
      <c r="E1" s="1"/>
      <c r="F1" s="1"/>
      <c r="G1" s="1"/>
      <c r="H1" s="1"/>
      <c r="I1" s="1"/>
    </row>
    <row r="2" spans="1:11" ht="13.5" thickTop="1" x14ac:dyDescent="0.2">
      <c r="A2" s="2"/>
      <c r="B2" s="3"/>
      <c r="C2" s="3"/>
      <c r="D2" s="3"/>
      <c r="E2" s="3"/>
      <c r="F2" s="3"/>
      <c r="G2" s="3"/>
      <c r="H2" s="3" t="s">
        <v>0</v>
      </c>
      <c r="I2" s="3"/>
      <c r="J2" s="4"/>
    </row>
    <row r="3" spans="1:11" x14ac:dyDescent="0.2">
      <c r="A3" s="2"/>
      <c r="B3" s="3"/>
      <c r="C3" s="3"/>
      <c r="D3" s="3"/>
      <c r="E3" s="3"/>
      <c r="F3" s="3"/>
      <c r="G3" s="3"/>
      <c r="H3" s="3" t="s">
        <v>508</v>
      </c>
      <c r="I3" s="3"/>
      <c r="J3" s="4"/>
    </row>
    <row r="4" spans="1:11" x14ac:dyDescent="0.2">
      <c r="A4" s="2"/>
      <c r="B4" s="3"/>
      <c r="C4" s="3"/>
      <c r="D4" s="3"/>
      <c r="E4" s="3"/>
      <c r="F4" s="3"/>
      <c r="G4" s="3"/>
      <c r="H4" s="3"/>
      <c r="I4" s="3"/>
      <c r="J4" s="4"/>
    </row>
    <row r="5" spans="1:11" x14ac:dyDescent="0.2">
      <c r="A5" s="2"/>
      <c r="B5" s="3"/>
      <c r="C5" s="3"/>
      <c r="D5" s="3"/>
      <c r="E5" s="3"/>
      <c r="F5" s="3"/>
      <c r="G5" s="3"/>
      <c r="H5" s="3"/>
      <c r="I5" s="5"/>
    </row>
    <row r="6" spans="1:11" ht="24" thickBot="1" x14ac:dyDescent="0.4">
      <c r="A6" s="2"/>
      <c r="B6" s="193" t="s">
        <v>1</v>
      </c>
      <c r="C6" s="193"/>
      <c r="D6" s="193"/>
      <c r="E6" s="193"/>
      <c r="F6" s="193"/>
      <c r="G6" s="193"/>
      <c r="H6" s="193"/>
      <c r="I6" s="193"/>
      <c r="J6" s="4"/>
    </row>
    <row r="7" spans="1:11" ht="13.5" thickTop="1" x14ac:dyDescent="0.2">
      <c r="B7" s="6"/>
      <c r="C7" s="7"/>
      <c r="D7" s="7"/>
      <c r="E7" s="7"/>
      <c r="F7" s="7"/>
      <c r="G7" s="7"/>
      <c r="H7" s="7"/>
      <c r="I7" s="7"/>
      <c r="J7" s="4"/>
    </row>
    <row r="8" spans="1:11" ht="13.5" thickBot="1" x14ac:dyDescent="0.25">
      <c r="A8" s="2"/>
      <c r="B8" s="194" t="s">
        <v>2</v>
      </c>
      <c r="C8" s="194"/>
      <c r="D8" s="194"/>
      <c r="E8" s="29" t="s">
        <v>3</v>
      </c>
      <c r="F8" s="29"/>
      <c r="G8" s="30" t="s">
        <v>4</v>
      </c>
      <c r="H8" s="189" t="s">
        <v>5</v>
      </c>
      <c r="I8" s="189" t="s">
        <v>6</v>
      </c>
      <c r="J8" s="4"/>
    </row>
    <row r="9" spans="1:11" ht="13.5" thickTop="1" x14ac:dyDescent="0.2">
      <c r="B9" s="31" t="s">
        <v>507</v>
      </c>
      <c r="C9" s="32" t="s">
        <v>7</v>
      </c>
      <c r="D9" s="33"/>
      <c r="E9" s="34">
        <v>2024</v>
      </c>
      <c r="F9" s="35"/>
      <c r="G9" s="36">
        <v>937145953</v>
      </c>
      <c r="H9" s="183">
        <f>0.35*G9</f>
        <v>328001083.54999995</v>
      </c>
      <c r="I9" s="37">
        <f>0.65*G9</f>
        <v>609144869.45000005</v>
      </c>
      <c r="J9" s="8"/>
    </row>
    <row r="10" spans="1:11" x14ac:dyDescent="0.2">
      <c r="B10" s="38"/>
      <c r="C10" s="39"/>
      <c r="D10" s="40"/>
      <c r="E10" s="41">
        <v>2023</v>
      </c>
      <c r="F10" s="40"/>
      <c r="G10" s="42">
        <v>83119784</v>
      </c>
      <c r="H10" s="184">
        <f>0.35*G10</f>
        <v>29091924.399999999</v>
      </c>
      <c r="I10" s="43">
        <f>0.65*G10</f>
        <v>54027859.600000001</v>
      </c>
      <c r="J10" s="8"/>
    </row>
    <row r="11" spans="1:11" ht="21" customHeight="1" x14ac:dyDescent="0.2">
      <c r="B11" s="38"/>
      <c r="C11" s="39"/>
      <c r="D11" s="40"/>
      <c r="E11" s="44">
        <v>2022</v>
      </c>
      <c r="F11" s="40"/>
      <c r="G11" s="45">
        <v>-658508</v>
      </c>
      <c r="H11" s="185">
        <f>0.35*G11</f>
        <v>-230477.8</v>
      </c>
      <c r="I11" s="47">
        <f>0.65*G11</f>
        <v>-428030.2</v>
      </c>
      <c r="J11" s="8"/>
      <c r="K11" s="190"/>
    </row>
    <row r="12" spans="1:11" ht="13.5" thickBot="1" x14ac:dyDescent="0.25">
      <c r="A12" s="2"/>
      <c r="B12" s="48"/>
      <c r="C12" s="39"/>
      <c r="D12" s="40"/>
      <c r="E12" s="44">
        <v>2021</v>
      </c>
      <c r="F12" s="40"/>
      <c r="G12" s="49">
        <v>-109</v>
      </c>
      <c r="H12" s="186">
        <f>0.35*G12</f>
        <v>-38.15</v>
      </c>
      <c r="I12" s="50">
        <f>0.65*G12</f>
        <v>-70.850000000000009</v>
      </c>
      <c r="J12" s="9"/>
      <c r="K12" s="190"/>
    </row>
    <row r="13" spans="1:11" ht="13.5" hidden="1" thickBot="1" x14ac:dyDescent="0.25">
      <c r="A13" s="2"/>
      <c r="B13" s="51"/>
      <c r="C13" s="52"/>
      <c r="D13" s="53"/>
      <c r="E13" s="54">
        <v>2017</v>
      </c>
      <c r="F13" s="55"/>
      <c r="G13" s="56">
        <v>0</v>
      </c>
      <c r="H13" s="187">
        <f>0.25*G13</f>
        <v>0</v>
      </c>
      <c r="I13" s="57">
        <f>0.75*G13</f>
        <v>0</v>
      </c>
      <c r="J13" s="10"/>
    </row>
    <row r="14" spans="1:11" ht="13.5" thickBot="1" x14ac:dyDescent="0.25">
      <c r="A14" s="2"/>
      <c r="B14" s="58"/>
      <c r="C14" s="59" t="s">
        <v>8</v>
      </c>
      <c r="D14" s="60"/>
      <c r="E14" s="60"/>
      <c r="F14" s="60"/>
      <c r="G14" s="61">
        <f>SUM(G9:G13)</f>
        <v>1019607120</v>
      </c>
      <c r="H14" s="188">
        <f>SUM(H9:H13)</f>
        <v>356862491.99999994</v>
      </c>
      <c r="I14" s="62">
        <f>I10+I11+I12+I13+I9</f>
        <v>662744628</v>
      </c>
      <c r="J14" s="10"/>
    </row>
    <row r="15" spans="1:11" x14ac:dyDescent="0.2">
      <c r="A15" s="2"/>
      <c r="B15" s="63"/>
      <c r="C15" s="63"/>
      <c r="D15" s="63"/>
      <c r="E15" s="63"/>
      <c r="F15" s="63"/>
      <c r="G15" s="63"/>
      <c r="H15" s="63"/>
      <c r="I15" s="64"/>
    </row>
    <row r="16" spans="1:11" ht="13.5" thickBot="1" x14ac:dyDescent="0.25">
      <c r="A16" s="2"/>
      <c r="B16" s="195" t="s">
        <v>9</v>
      </c>
      <c r="C16" s="195"/>
      <c r="D16" s="65"/>
      <c r="E16" s="65"/>
      <c r="F16" s="65"/>
      <c r="G16" s="65"/>
      <c r="H16" s="65"/>
      <c r="I16" s="66"/>
    </row>
    <row r="17" spans="1:11" x14ac:dyDescent="0.2">
      <c r="A17" s="2"/>
      <c r="B17" s="67" t="s">
        <v>10</v>
      </c>
      <c r="C17" s="68">
        <v>0.21</v>
      </c>
      <c r="D17" s="69"/>
      <c r="E17" s="70">
        <v>2024</v>
      </c>
      <c r="F17" s="69"/>
      <c r="G17" s="71"/>
      <c r="H17" s="72"/>
      <c r="I17" s="73">
        <f>21%*I9</f>
        <v>127920422.5845</v>
      </c>
      <c r="J17" s="8"/>
    </row>
    <row r="18" spans="1:11" x14ac:dyDescent="0.2">
      <c r="A18" s="2"/>
      <c r="B18" s="48"/>
      <c r="C18" s="74">
        <v>0.21</v>
      </c>
      <c r="D18" s="40"/>
      <c r="E18" s="44">
        <v>2023</v>
      </c>
      <c r="F18" s="40"/>
      <c r="G18" s="75"/>
      <c r="H18" s="76"/>
      <c r="I18" s="77">
        <f>21%*I10</f>
        <v>11345850.516000001</v>
      </c>
      <c r="J18" s="9"/>
    </row>
    <row r="19" spans="1:11" x14ac:dyDescent="0.2">
      <c r="A19" s="2"/>
      <c r="B19" s="51"/>
      <c r="C19" s="78">
        <v>0.22500000000000001</v>
      </c>
      <c r="D19" s="53"/>
      <c r="E19" s="79">
        <v>2022</v>
      </c>
      <c r="F19" s="53"/>
      <c r="G19" s="80"/>
      <c r="H19" s="81"/>
      <c r="I19" s="82">
        <f>22.5%*I11</f>
        <v>-96306.794999999998</v>
      </c>
      <c r="J19" s="9"/>
    </row>
    <row r="20" spans="1:11" x14ac:dyDescent="0.2">
      <c r="A20" s="2"/>
      <c r="B20" s="48"/>
      <c r="C20" s="78">
        <v>0.22500000000000001</v>
      </c>
      <c r="D20" s="53"/>
      <c r="E20" s="79">
        <v>2022</v>
      </c>
      <c r="F20" s="53"/>
      <c r="G20" s="80"/>
      <c r="H20" s="81"/>
      <c r="I20" s="82">
        <f>22.5%*I12</f>
        <v>-15.941250000000002</v>
      </c>
    </row>
    <row r="21" spans="1:11" hidden="1" x14ac:dyDescent="0.2">
      <c r="A21" s="2"/>
      <c r="B21" s="51"/>
      <c r="C21" s="84">
        <v>0.2</v>
      </c>
      <c r="D21" s="53"/>
      <c r="E21" s="79">
        <v>2017</v>
      </c>
      <c r="F21" s="53"/>
      <c r="G21" s="80"/>
      <c r="H21" s="81"/>
      <c r="I21" s="85">
        <f>I13*C21</f>
        <v>0</v>
      </c>
    </row>
    <row r="22" spans="1:11" x14ac:dyDescent="0.2">
      <c r="A22" s="2"/>
      <c r="B22" s="48"/>
      <c r="C22" s="86"/>
      <c r="D22" s="40"/>
      <c r="E22" s="40"/>
      <c r="F22" s="40"/>
      <c r="G22" s="75"/>
      <c r="H22" s="76"/>
      <c r="I22" s="87"/>
    </row>
    <row r="23" spans="1:11" x14ac:dyDescent="0.2">
      <c r="A23" s="2"/>
      <c r="B23" s="51" t="s">
        <v>11</v>
      </c>
      <c r="C23" s="84">
        <v>0.01</v>
      </c>
      <c r="D23" s="53"/>
      <c r="E23" s="53"/>
      <c r="F23" s="53"/>
      <c r="G23" s="80"/>
      <c r="H23" s="81"/>
      <c r="I23" s="88">
        <f>I14*C23</f>
        <v>6627446.2800000003</v>
      </c>
      <c r="J23" s="8"/>
      <c r="K23" s="191"/>
    </row>
    <row r="24" spans="1:11" x14ac:dyDescent="0.2">
      <c r="A24" s="2"/>
      <c r="B24" s="48"/>
      <c r="C24" s="89"/>
      <c r="D24" s="40"/>
      <c r="E24" s="40"/>
      <c r="F24" s="40"/>
      <c r="G24" s="75"/>
      <c r="H24" s="76"/>
      <c r="I24" s="83"/>
      <c r="J24" s="10"/>
    </row>
    <row r="25" spans="1:11" x14ac:dyDescent="0.2">
      <c r="A25" s="2"/>
      <c r="B25" s="48" t="s">
        <v>12</v>
      </c>
      <c r="C25" s="89"/>
      <c r="D25" s="40"/>
      <c r="E25" s="90">
        <v>2024</v>
      </c>
      <c r="F25" s="91"/>
      <c r="G25" s="92">
        <v>301291895.79000008</v>
      </c>
      <c r="H25" s="93">
        <f>0.35*G25</f>
        <v>105452163.52650002</v>
      </c>
      <c r="I25" s="94">
        <f>0.65*G25</f>
        <v>195839732.26350006</v>
      </c>
      <c r="J25" s="8"/>
    </row>
    <row r="26" spans="1:11" x14ac:dyDescent="0.2">
      <c r="A26" s="2"/>
      <c r="B26" s="48"/>
      <c r="C26" s="89"/>
      <c r="D26" s="40"/>
      <c r="E26" s="40">
        <v>2023</v>
      </c>
      <c r="F26" s="40"/>
      <c r="G26" s="95">
        <v>524998590.83000004</v>
      </c>
      <c r="H26" s="96">
        <f>0.35*G26</f>
        <v>183749506.79050002</v>
      </c>
      <c r="I26" s="97">
        <f>0.65*G26</f>
        <v>341249084.03950006</v>
      </c>
      <c r="J26" s="9"/>
    </row>
    <row r="27" spans="1:11" x14ac:dyDescent="0.2">
      <c r="A27" s="2"/>
      <c r="B27" s="48"/>
      <c r="C27" s="89"/>
      <c r="D27" s="40"/>
      <c r="E27" s="40">
        <v>2022</v>
      </c>
      <c r="F27" s="40"/>
      <c r="G27" s="46">
        <v>14073279.079999998</v>
      </c>
      <c r="H27" s="46">
        <f>0.35*G27</f>
        <v>4925647.6779999994</v>
      </c>
      <c r="I27" s="77">
        <f>0.65*G27</f>
        <v>9147631.4019999988</v>
      </c>
      <c r="J27" s="9"/>
    </row>
    <row r="28" spans="1:11" x14ac:dyDescent="0.2">
      <c r="A28" s="2"/>
      <c r="B28" s="48"/>
      <c r="C28" s="89"/>
      <c r="D28" s="40"/>
      <c r="E28" s="40">
        <v>2021</v>
      </c>
      <c r="F28" s="40"/>
      <c r="G28" s="98">
        <v>1935988</v>
      </c>
      <c r="H28" s="93">
        <f t="shared" ref="H28:H30" si="0">0.25*G28</f>
        <v>483997</v>
      </c>
      <c r="I28" s="99">
        <f>0.75*G28</f>
        <v>1451991</v>
      </c>
      <c r="J28" s="9"/>
    </row>
    <row r="29" spans="1:11" x14ac:dyDescent="0.2">
      <c r="A29" s="2"/>
      <c r="B29" s="48"/>
      <c r="C29" s="89"/>
      <c r="D29" s="40"/>
      <c r="E29" s="40">
        <v>2020</v>
      </c>
      <c r="F29" s="40"/>
      <c r="G29" s="98">
        <v>689800</v>
      </c>
      <c r="H29" s="93">
        <f t="shared" si="0"/>
        <v>172450</v>
      </c>
      <c r="I29" s="99">
        <f t="shared" ref="I29:I31" si="1">0.75*G29</f>
        <v>517350</v>
      </c>
      <c r="J29" s="9"/>
    </row>
    <row r="30" spans="1:11" x14ac:dyDescent="0.2">
      <c r="A30" s="2"/>
      <c r="B30" s="48"/>
      <c r="C30" s="89"/>
      <c r="D30" s="40"/>
      <c r="E30" s="40">
        <v>2019</v>
      </c>
      <c r="F30" s="40"/>
      <c r="G30" s="93">
        <v>138521</v>
      </c>
      <c r="H30" s="93">
        <f t="shared" si="0"/>
        <v>34630.25</v>
      </c>
      <c r="I30" s="99">
        <f t="shared" si="1"/>
        <v>103890.75</v>
      </c>
      <c r="J30" s="9"/>
    </row>
    <row r="31" spans="1:11" ht="12.75" hidden="1" customHeight="1" x14ac:dyDescent="0.2">
      <c r="A31" s="2"/>
      <c r="B31" s="48"/>
      <c r="C31" s="89"/>
      <c r="D31" s="40"/>
      <c r="E31" s="40">
        <v>2016</v>
      </c>
      <c r="F31" s="40"/>
      <c r="G31" s="100"/>
      <c r="H31" s="101"/>
      <c r="I31" s="102">
        <f t="shared" si="1"/>
        <v>0</v>
      </c>
      <c r="J31" s="9"/>
    </row>
    <row r="32" spans="1:11" ht="7.5" hidden="1" customHeight="1" x14ac:dyDescent="0.2">
      <c r="A32" s="2"/>
      <c r="B32" s="103"/>
      <c r="C32" s="104"/>
      <c r="D32" s="105"/>
      <c r="E32" s="105">
        <v>2015</v>
      </c>
      <c r="F32" s="105"/>
      <c r="G32" s="106"/>
      <c r="H32" s="107">
        <f>0.25*H31</f>
        <v>0</v>
      </c>
      <c r="I32" s="108">
        <f>0.75*H31</f>
        <v>0</v>
      </c>
    </row>
    <row r="33" spans="1:10" ht="14.25" customHeight="1" thickBot="1" x14ac:dyDescent="0.25">
      <c r="A33" s="2"/>
      <c r="B33" s="109"/>
      <c r="C33" s="110"/>
      <c r="D33" s="111"/>
      <c r="E33" s="111"/>
      <c r="F33" s="111"/>
      <c r="G33" s="112"/>
      <c r="H33" s="113"/>
      <c r="I33" s="114"/>
      <c r="J33" s="10"/>
    </row>
    <row r="34" spans="1:10" x14ac:dyDescent="0.2">
      <c r="A34" s="2"/>
      <c r="B34" s="115"/>
      <c r="C34" s="116" t="s">
        <v>13</v>
      </c>
      <c r="D34" s="117"/>
      <c r="E34" s="117"/>
      <c r="F34" s="117"/>
      <c r="G34" s="118"/>
      <c r="H34" s="119"/>
      <c r="I34" s="120">
        <f>+I17+I18+I19+I20+I21+I23+I26+I27+I28+I29+I31+I32+I30+I25</f>
        <v>694107076.09925008</v>
      </c>
    </row>
    <row r="35" spans="1:10" x14ac:dyDescent="0.2">
      <c r="A35" s="2"/>
      <c r="B35" s="121"/>
      <c r="C35" s="122"/>
      <c r="D35" s="123"/>
      <c r="E35" s="123"/>
      <c r="F35" s="123"/>
      <c r="G35" s="124"/>
      <c r="H35" s="124"/>
      <c r="I35" s="125"/>
      <c r="J35" s="10"/>
    </row>
    <row r="36" spans="1:10" x14ac:dyDescent="0.2">
      <c r="A36" s="2"/>
      <c r="B36" s="126" t="s">
        <v>14</v>
      </c>
      <c r="C36" s="39"/>
      <c r="D36" s="40"/>
      <c r="E36" s="40"/>
      <c r="F36" s="40"/>
      <c r="G36" s="127"/>
      <c r="H36" s="128"/>
      <c r="I36" s="83">
        <f>+I14-I34</f>
        <v>-31362448.099250078</v>
      </c>
    </row>
    <row r="37" spans="1:10" ht="13.5" thickBot="1" x14ac:dyDescent="0.25">
      <c r="A37" s="2"/>
      <c r="B37" s="129"/>
      <c r="C37" s="130"/>
      <c r="D37" s="131"/>
      <c r="E37" s="131"/>
      <c r="F37" s="131"/>
      <c r="G37" s="132"/>
      <c r="H37" s="133"/>
      <c r="I37" s="134"/>
    </row>
    <row r="38" spans="1:10" ht="13.5" thickTop="1" x14ac:dyDescent="0.2">
      <c r="A38" s="2"/>
      <c r="B38" s="135"/>
      <c r="C38" s="136"/>
      <c r="D38" s="137"/>
      <c r="E38" s="137"/>
      <c r="F38" s="137"/>
      <c r="G38" s="138"/>
      <c r="H38" s="139"/>
      <c r="I38" s="140"/>
      <c r="J38" s="10"/>
    </row>
    <row r="39" spans="1:10" x14ac:dyDescent="0.2">
      <c r="A39" s="2"/>
      <c r="B39" s="141" t="s">
        <v>15</v>
      </c>
      <c r="C39" s="142"/>
      <c r="D39" s="143"/>
      <c r="E39" s="143"/>
      <c r="F39" s="143"/>
      <c r="G39" s="144"/>
      <c r="H39" s="145"/>
      <c r="I39" s="146">
        <f>+I36</f>
        <v>-31362448.099250078</v>
      </c>
    </row>
    <row r="40" spans="1:10" ht="13.5" thickBot="1" x14ac:dyDescent="0.25">
      <c r="A40" s="2"/>
      <c r="B40" s="147"/>
      <c r="C40" s="136"/>
      <c r="D40" s="148"/>
      <c r="E40" s="148"/>
      <c r="F40" s="148"/>
      <c r="G40" s="149"/>
      <c r="H40" s="149"/>
      <c r="I40" s="150"/>
      <c r="J40" s="10"/>
    </row>
    <row r="41" spans="1:10" ht="14.25" thickTop="1" thickBot="1" x14ac:dyDescent="0.25">
      <c r="A41" s="2"/>
      <c r="B41" s="151"/>
      <c r="C41" s="152"/>
      <c r="D41" s="153"/>
      <c r="E41" s="154"/>
      <c r="F41" s="154"/>
      <c r="G41" s="155"/>
      <c r="H41" s="155"/>
      <c r="I41" s="156"/>
    </row>
    <row r="42" spans="1:10" ht="14.25" thickTop="1" thickBot="1" x14ac:dyDescent="0.25">
      <c r="A42" s="2"/>
      <c r="B42" s="157" t="s">
        <v>16</v>
      </c>
      <c r="C42" s="158"/>
      <c r="D42" s="159"/>
      <c r="E42" s="159"/>
      <c r="F42" s="159"/>
      <c r="G42" s="160"/>
      <c r="H42" s="160"/>
      <c r="I42" s="161"/>
    </row>
    <row r="43" spans="1:10" ht="13.5" thickTop="1" x14ac:dyDescent="0.2">
      <c r="A43" s="2"/>
      <c r="B43" s="162"/>
      <c r="C43" s="163"/>
      <c r="D43" s="164"/>
      <c r="E43" s="164"/>
      <c r="F43" s="164"/>
      <c r="G43" s="165"/>
      <c r="H43" s="165"/>
      <c r="I43" s="166"/>
    </row>
    <row r="44" spans="1:10" x14ac:dyDescent="0.2">
      <c r="A44" s="2"/>
      <c r="B44" s="167" t="s">
        <v>509</v>
      </c>
      <c r="C44" s="167"/>
      <c r="D44" s="167"/>
      <c r="E44" s="167"/>
      <c r="F44" s="167"/>
      <c r="G44" s="168"/>
      <c r="H44" s="169"/>
      <c r="I44" s="170">
        <f>36%*(I9-I17-I25)+35%*(I10-I18-I26)+30%*(I11+I12-I20-I19-I27-I28-I29-I30)-2380734</f>
        <v>-7606505.417430032</v>
      </c>
    </row>
    <row r="45" spans="1:10" x14ac:dyDescent="0.2">
      <c r="A45" s="2"/>
      <c r="B45" s="171"/>
      <c r="C45" s="163"/>
      <c r="D45" s="164"/>
      <c r="E45" s="164"/>
      <c r="F45" s="164"/>
      <c r="G45" s="165"/>
      <c r="H45" s="165"/>
      <c r="I45" s="172"/>
    </row>
    <row r="46" spans="1:10" x14ac:dyDescent="0.2">
      <c r="A46" s="2"/>
      <c r="B46" s="167" t="s">
        <v>17</v>
      </c>
      <c r="C46" s="167"/>
      <c r="D46" s="167"/>
      <c r="E46" s="167"/>
      <c r="F46" s="167"/>
      <c r="G46" s="168"/>
      <c r="H46" s="169"/>
      <c r="I46" s="170">
        <f>0.25*I39</f>
        <v>-7840612.0248125196</v>
      </c>
    </row>
    <row r="47" spans="1:10" x14ac:dyDescent="0.2">
      <c r="A47" s="2"/>
      <c r="B47" s="171"/>
      <c r="C47" s="163"/>
      <c r="D47" s="164"/>
      <c r="E47" s="164"/>
      <c r="F47" s="164"/>
      <c r="G47" s="165"/>
      <c r="H47" s="165"/>
      <c r="I47" s="173"/>
    </row>
    <row r="48" spans="1:10" x14ac:dyDescent="0.2">
      <c r="A48" s="2"/>
      <c r="B48" s="167" t="s">
        <v>18</v>
      </c>
      <c r="C48" s="167"/>
      <c r="D48" s="167"/>
      <c r="E48" s="167"/>
      <c r="F48" s="167"/>
      <c r="G48" s="168"/>
      <c r="H48" s="169"/>
      <c r="I48" s="174">
        <f>0.25*I39</f>
        <v>-7840612.0248125196</v>
      </c>
    </row>
    <row r="49" spans="1:11" x14ac:dyDescent="0.2">
      <c r="A49" s="2"/>
      <c r="B49" s="171"/>
      <c r="C49" s="163"/>
      <c r="D49" s="164"/>
      <c r="E49" s="164"/>
      <c r="F49" s="164"/>
      <c r="G49" s="165"/>
      <c r="H49" s="165"/>
      <c r="I49" s="175"/>
    </row>
    <row r="50" spans="1:11" x14ac:dyDescent="0.2">
      <c r="A50" s="2"/>
      <c r="B50" s="167" t="s">
        <v>510</v>
      </c>
      <c r="C50" s="167"/>
      <c r="D50" s="167"/>
      <c r="E50" s="167"/>
      <c r="F50" s="167"/>
      <c r="G50" s="168"/>
      <c r="H50" s="169"/>
      <c r="I50" s="170">
        <f>9%*(I9-I17-I25)+10%*(I10-I18-I26)+15%*(I11-I19-I27)+20%*(I12-I20-I28-I29-I30)-601617</f>
        <v>-6610260.7341700085</v>
      </c>
    </row>
    <row r="51" spans="1:11" x14ac:dyDescent="0.2">
      <c r="A51" s="2"/>
      <c r="B51" s="176"/>
      <c r="C51" s="176"/>
      <c r="D51" s="176"/>
      <c r="E51" s="176"/>
      <c r="F51" s="176"/>
      <c r="G51" s="177"/>
      <c r="H51" s="178"/>
      <c r="I51" s="179"/>
    </row>
    <row r="52" spans="1:11" x14ac:dyDescent="0.2">
      <c r="A52" s="2"/>
      <c r="B52" s="167" t="s">
        <v>19</v>
      </c>
      <c r="C52" s="180"/>
      <c r="D52" s="180"/>
      <c r="E52" s="180"/>
      <c r="F52" s="180"/>
      <c r="G52" s="181"/>
      <c r="H52" s="182"/>
      <c r="I52" s="146">
        <f>5%*(I9+I10+I11-I17-I18-I19-I25-I26-I27)-331372</f>
        <v>-1464457.758025002</v>
      </c>
      <c r="K52" s="192"/>
    </row>
    <row r="53" spans="1:11" ht="13.5" thickBot="1" x14ac:dyDescent="0.25">
      <c r="A53" s="2"/>
      <c r="B53" s="12"/>
      <c r="C53" s="13"/>
      <c r="D53" s="14"/>
      <c r="E53" s="14"/>
      <c r="F53" s="14"/>
      <c r="G53" s="15"/>
      <c r="H53" s="15"/>
      <c r="I53" s="11"/>
      <c r="K53" s="192"/>
    </row>
    <row r="54" spans="1:11" ht="13.5" thickTop="1" x14ac:dyDescent="0.2">
      <c r="B54" s="17"/>
      <c r="C54" s="18"/>
      <c r="D54" s="19"/>
      <c r="E54" s="19"/>
      <c r="F54" s="19"/>
      <c r="G54" s="20"/>
      <c r="H54" s="20"/>
      <c r="I54" s="21"/>
    </row>
    <row r="55" spans="1:11" x14ac:dyDescent="0.2">
      <c r="B55" s="22" t="s">
        <v>20</v>
      </c>
      <c r="C55" s="23"/>
      <c r="D55" s="23"/>
      <c r="E55" s="23"/>
      <c r="F55" s="23"/>
      <c r="G55" s="23"/>
      <c r="H55" s="24"/>
      <c r="I55" s="25" t="s">
        <v>5995</v>
      </c>
    </row>
    <row r="56" spans="1:11" ht="13.5" thickBot="1" x14ac:dyDescent="0.25">
      <c r="B56" s="26" t="s">
        <v>21</v>
      </c>
      <c r="C56" s="27"/>
      <c r="D56" s="27"/>
      <c r="E56" s="27"/>
      <c r="F56" s="27"/>
      <c r="G56" s="27"/>
      <c r="H56" s="27"/>
      <c r="I56" s="28"/>
    </row>
    <row r="57" spans="1:11" ht="13.5" thickTop="1" x14ac:dyDescent="0.2">
      <c r="B57" s="16"/>
    </row>
  </sheetData>
  <mergeCells count="3">
    <mergeCell ref="B6:I6"/>
    <mergeCell ref="B8:D8"/>
    <mergeCell ref="B16:C16"/>
  </mergeCells>
  <printOptions horizontalCentered="1" verticalCentered="1"/>
  <pageMargins left="0.7" right="0.7" top="0.75" bottom="0.75" header="0.3" footer="0.3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9D75-74CF-4CC7-9699-1CFA0701952B}">
  <dimension ref="A1:X866"/>
  <sheetViews>
    <sheetView zoomScaleNormal="100" workbookViewId="0">
      <pane ySplit="1" topLeftCell="A523" activePane="bottomLeft" state="frozen"/>
      <selection pane="bottomLeft" activeCell="A538" sqref="A538"/>
    </sheetView>
  </sheetViews>
  <sheetFormatPr defaultColWidth="31.28515625" defaultRowHeight="12" x14ac:dyDescent="0.2"/>
  <cols>
    <col min="1" max="1" width="63.5703125" style="209" bestFit="1" customWidth="1"/>
    <col min="2" max="2" width="22.5703125" style="209" bestFit="1" customWidth="1"/>
    <col min="3" max="3" width="15.7109375" style="213" customWidth="1"/>
    <col min="4" max="4" width="16.140625" style="209" customWidth="1"/>
    <col min="5" max="5" width="13.28515625" style="211" customWidth="1"/>
    <col min="6" max="6" width="16.7109375" style="211" customWidth="1"/>
    <col min="7" max="7" width="12.85546875" style="211" customWidth="1"/>
    <col min="8" max="8" width="12.5703125" style="211" bestFit="1" customWidth="1"/>
    <col min="9" max="9" width="53.7109375" style="209" bestFit="1" customWidth="1"/>
    <col min="10" max="10" width="27.5703125" style="209" bestFit="1" customWidth="1"/>
    <col min="11" max="11" width="28.28515625" style="209" customWidth="1"/>
    <col min="12" max="12" width="21.7109375" style="209" bestFit="1" customWidth="1"/>
    <col min="13" max="13" width="17.7109375" style="209" customWidth="1"/>
    <col min="14" max="14" width="47.5703125" style="209" customWidth="1"/>
    <col min="15" max="15" width="21.140625" style="209" customWidth="1"/>
    <col min="16" max="16" width="9.85546875" style="213" customWidth="1"/>
    <col min="17" max="17" width="9" style="213" customWidth="1"/>
    <col min="18" max="18" width="14.28515625" style="213" customWidth="1"/>
    <col min="19" max="256" width="31.28515625" style="209"/>
    <col min="257" max="257" width="63.5703125" style="209" bestFit="1" customWidth="1"/>
    <col min="258" max="258" width="22.5703125" style="209" bestFit="1" customWidth="1"/>
    <col min="259" max="259" width="15.7109375" style="209" customWidth="1"/>
    <col min="260" max="260" width="16.140625" style="209" customWidth="1"/>
    <col min="261" max="261" width="13.28515625" style="209" customWidth="1"/>
    <col min="262" max="262" width="16.7109375" style="209" customWidth="1"/>
    <col min="263" max="263" width="12.85546875" style="209" customWidth="1"/>
    <col min="264" max="264" width="12.5703125" style="209" bestFit="1" customWidth="1"/>
    <col min="265" max="265" width="53.7109375" style="209" bestFit="1" customWidth="1"/>
    <col min="266" max="266" width="27.5703125" style="209" bestFit="1" customWidth="1"/>
    <col min="267" max="267" width="28.28515625" style="209" customWidth="1"/>
    <col min="268" max="268" width="21.7109375" style="209" bestFit="1" customWidth="1"/>
    <col min="269" max="269" width="17.7109375" style="209" customWidth="1"/>
    <col min="270" max="270" width="47.5703125" style="209" customWidth="1"/>
    <col min="271" max="271" width="21.140625" style="209" customWidth="1"/>
    <col min="272" max="272" width="9.85546875" style="209" customWidth="1"/>
    <col min="273" max="273" width="9" style="209" customWidth="1"/>
    <col min="274" max="274" width="14.28515625" style="209" customWidth="1"/>
    <col min="275" max="512" width="31.28515625" style="209"/>
    <col min="513" max="513" width="63.5703125" style="209" bestFit="1" customWidth="1"/>
    <col min="514" max="514" width="22.5703125" style="209" bestFit="1" customWidth="1"/>
    <col min="515" max="515" width="15.7109375" style="209" customWidth="1"/>
    <col min="516" max="516" width="16.140625" style="209" customWidth="1"/>
    <col min="517" max="517" width="13.28515625" style="209" customWidth="1"/>
    <col min="518" max="518" width="16.7109375" style="209" customWidth="1"/>
    <col min="519" max="519" width="12.85546875" style="209" customWidth="1"/>
    <col min="520" max="520" width="12.5703125" style="209" bestFit="1" customWidth="1"/>
    <col min="521" max="521" width="53.7109375" style="209" bestFit="1" customWidth="1"/>
    <col min="522" max="522" width="27.5703125" style="209" bestFit="1" customWidth="1"/>
    <col min="523" max="523" width="28.28515625" style="209" customWidth="1"/>
    <col min="524" max="524" width="21.7109375" style="209" bestFit="1" customWidth="1"/>
    <col min="525" max="525" width="17.7109375" style="209" customWidth="1"/>
    <col min="526" max="526" width="47.5703125" style="209" customWidth="1"/>
    <col min="527" max="527" width="21.140625" style="209" customWidth="1"/>
    <col min="528" max="528" width="9.85546875" style="209" customWidth="1"/>
    <col min="529" max="529" width="9" style="209" customWidth="1"/>
    <col min="530" max="530" width="14.28515625" style="209" customWidth="1"/>
    <col min="531" max="768" width="31.28515625" style="209"/>
    <col min="769" max="769" width="63.5703125" style="209" bestFit="1" customWidth="1"/>
    <col min="770" max="770" width="22.5703125" style="209" bestFit="1" customWidth="1"/>
    <col min="771" max="771" width="15.7109375" style="209" customWidth="1"/>
    <col min="772" max="772" width="16.140625" style="209" customWidth="1"/>
    <col min="773" max="773" width="13.28515625" style="209" customWidth="1"/>
    <col min="774" max="774" width="16.7109375" style="209" customWidth="1"/>
    <col min="775" max="775" width="12.85546875" style="209" customWidth="1"/>
    <col min="776" max="776" width="12.5703125" style="209" bestFit="1" customWidth="1"/>
    <col min="777" max="777" width="53.7109375" style="209" bestFit="1" customWidth="1"/>
    <col min="778" max="778" width="27.5703125" style="209" bestFit="1" customWidth="1"/>
    <col min="779" max="779" width="28.28515625" style="209" customWidth="1"/>
    <col min="780" max="780" width="21.7109375" style="209" bestFit="1" customWidth="1"/>
    <col min="781" max="781" width="17.7109375" style="209" customWidth="1"/>
    <col min="782" max="782" width="47.5703125" style="209" customWidth="1"/>
    <col min="783" max="783" width="21.140625" style="209" customWidth="1"/>
    <col min="784" max="784" width="9.85546875" style="209" customWidth="1"/>
    <col min="785" max="785" width="9" style="209" customWidth="1"/>
    <col min="786" max="786" width="14.28515625" style="209" customWidth="1"/>
    <col min="787" max="1024" width="31.28515625" style="209"/>
    <col min="1025" max="1025" width="63.5703125" style="209" bestFit="1" customWidth="1"/>
    <col min="1026" max="1026" width="22.5703125" style="209" bestFit="1" customWidth="1"/>
    <col min="1027" max="1027" width="15.7109375" style="209" customWidth="1"/>
    <col min="1028" max="1028" width="16.140625" style="209" customWidth="1"/>
    <col min="1029" max="1029" width="13.28515625" style="209" customWidth="1"/>
    <col min="1030" max="1030" width="16.7109375" style="209" customWidth="1"/>
    <col min="1031" max="1031" width="12.85546875" style="209" customWidth="1"/>
    <col min="1032" max="1032" width="12.5703125" style="209" bestFit="1" customWidth="1"/>
    <col min="1033" max="1033" width="53.7109375" style="209" bestFit="1" customWidth="1"/>
    <col min="1034" max="1034" width="27.5703125" style="209" bestFit="1" customWidth="1"/>
    <col min="1035" max="1035" width="28.28515625" style="209" customWidth="1"/>
    <col min="1036" max="1036" width="21.7109375" style="209" bestFit="1" customWidth="1"/>
    <col min="1037" max="1037" width="17.7109375" style="209" customWidth="1"/>
    <col min="1038" max="1038" width="47.5703125" style="209" customWidth="1"/>
    <col min="1039" max="1039" width="21.140625" style="209" customWidth="1"/>
    <col min="1040" max="1040" width="9.85546875" style="209" customWidth="1"/>
    <col min="1041" max="1041" width="9" style="209" customWidth="1"/>
    <col min="1042" max="1042" width="14.28515625" style="209" customWidth="1"/>
    <col min="1043" max="1280" width="31.28515625" style="209"/>
    <col min="1281" max="1281" width="63.5703125" style="209" bestFit="1" customWidth="1"/>
    <col min="1282" max="1282" width="22.5703125" style="209" bestFit="1" customWidth="1"/>
    <col min="1283" max="1283" width="15.7109375" style="209" customWidth="1"/>
    <col min="1284" max="1284" width="16.140625" style="209" customWidth="1"/>
    <col min="1285" max="1285" width="13.28515625" style="209" customWidth="1"/>
    <col min="1286" max="1286" width="16.7109375" style="209" customWidth="1"/>
    <col min="1287" max="1287" width="12.85546875" style="209" customWidth="1"/>
    <col min="1288" max="1288" width="12.5703125" style="209" bestFit="1" customWidth="1"/>
    <col min="1289" max="1289" width="53.7109375" style="209" bestFit="1" customWidth="1"/>
    <col min="1290" max="1290" width="27.5703125" style="209" bestFit="1" customWidth="1"/>
    <col min="1291" max="1291" width="28.28515625" style="209" customWidth="1"/>
    <col min="1292" max="1292" width="21.7109375" style="209" bestFit="1" customWidth="1"/>
    <col min="1293" max="1293" width="17.7109375" style="209" customWidth="1"/>
    <col min="1294" max="1294" width="47.5703125" style="209" customWidth="1"/>
    <col min="1295" max="1295" width="21.140625" style="209" customWidth="1"/>
    <col min="1296" max="1296" width="9.85546875" style="209" customWidth="1"/>
    <col min="1297" max="1297" width="9" style="209" customWidth="1"/>
    <col min="1298" max="1298" width="14.28515625" style="209" customWidth="1"/>
    <col min="1299" max="1536" width="31.28515625" style="209"/>
    <col min="1537" max="1537" width="63.5703125" style="209" bestFit="1" customWidth="1"/>
    <col min="1538" max="1538" width="22.5703125" style="209" bestFit="1" customWidth="1"/>
    <col min="1539" max="1539" width="15.7109375" style="209" customWidth="1"/>
    <col min="1540" max="1540" width="16.140625" style="209" customWidth="1"/>
    <col min="1541" max="1541" width="13.28515625" style="209" customWidth="1"/>
    <col min="1542" max="1542" width="16.7109375" style="209" customWidth="1"/>
    <col min="1543" max="1543" width="12.85546875" style="209" customWidth="1"/>
    <col min="1544" max="1544" width="12.5703125" style="209" bestFit="1" customWidth="1"/>
    <col min="1545" max="1545" width="53.7109375" style="209" bestFit="1" customWidth="1"/>
    <col min="1546" max="1546" width="27.5703125" style="209" bestFit="1" customWidth="1"/>
    <col min="1547" max="1547" width="28.28515625" style="209" customWidth="1"/>
    <col min="1548" max="1548" width="21.7109375" style="209" bestFit="1" customWidth="1"/>
    <col min="1549" max="1549" width="17.7109375" style="209" customWidth="1"/>
    <col min="1550" max="1550" width="47.5703125" style="209" customWidth="1"/>
    <col min="1551" max="1551" width="21.140625" style="209" customWidth="1"/>
    <col min="1552" max="1552" width="9.85546875" style="209" customWidth="1"/>
    <col min="1553" max="1553" width="9" style="209" customWidth="1"/>
    <col min="1554" max="1554" width="14.28515625" style="209" customWidth="1"/>
    <col min="1555" max="1792" width="31.28515625" style="209"/>
    <col min="1793" max="1793" width="63.5703125" style="209" bestFit="1" customWidth="1"/>
    <col min="1794" max="1794" width="22.5703125" style="209" bestFit="1" customWidth="1"/>
    <col min="1795" max="1795" width="15.7109375" style="209" customWidth="1"/>
    <col min="1796" max="1796" width="16.140625" style="209" customWidth="1"/>
    <col min="1797" max="1797" width="13.28515625" style="209" customWidth="1"/>
    <col min="1798" max="1798" width="16.7109375" style="209" customWidth="1"/>
    <col min="1799" max="1799" width="12.85546875" style="209" customWidth="1"/>
    <col min="1800" max="1800" width="12.5703125" style="209" bestFit="1" customWidth="1"/>
    <col min="1801" max="1801" width="53.7109375" style="209" bestFit="1" customWidth="1"/>
    <col min="1802" max="1802" width="27.5703125" style="209" bestFit="1" customWidth="1"/>
    <col min="1803" max="1803" width="28.28515625" style="209" customWidth="1"/>
    <col min="1804" max="1804" width="21.7109375" style="209" bestFit="1" customWidth="1"/>
    <col min="1805" max="1805" width="17.7109375" style="209" customWidth="1"/>
    <col min="1806" max="1806" width="47.5703125" style="209" customWidth="1"/>
    <col min="1807" max="1807" width="21.140625" style="209" customWidth="1"/>
    <col min="1808" max="1808" width="9.85546875" style="209" customWidth="1"/>
    <col min="1809" max="1809" width="9" style="209" customWidth="1"/>
    <col min="1810" max="1810" width="14.28515625" style="209" customWidth="1"/>
    <col min="1811" max="2048" width="31.28515625" style="209"/>
    <col min="2049" max="2049" width="63.5703125" style="209" bestFit="1" customWidth="1"/>
    <col min="2050" max="2050" width="22.5703125" style="209" bestFit="1" customWidth="1"/>
    <col min="2051" max="2051" width="15.7109375" style="209" customWidth="1"/>
    <col min="2052" max="2052" width="16.140625" style="209" customWidth="1"/>
    <col min="2053" max="2053" width="13.28515625" style="209" customWidth="1"/>
    <col min="2054" max="2054" width="16.7109375" style="209" customWidth="1"/>
    <col min="2055" max="2055" width="12.85546875" style="209" customWidth="1"/>
    <col min="2056" max="2056" width="12.5703125" style="209" bestFit="1" customWidth="1"/>
    <col min="2057" max="2057" width="53.7109375" style="209" bestFit="1" customWidth="1"/>
    <col min="2058" max="2058" width="27.5703125" style="209" bestFit="1" customWidth="1"/>
    <col min="2059" max="2059" width="28.28515625" style="209" customWidth="1"/>
    <col min="2060" max="2060" width="21.7109375" style="209" bestFit="1" customWidth="1"/>
    <col min="2061" max="2061" width="17.7109375" style="209" customWidth="1"/>
    <col min="2062" max="2062" width="47.5703125" style="209" customWidth="1"/>
    <col min="2063" max="2063" width="21.140625" style="209" customWidth="1"/>
    <col min="2064" max="2064" width="9.85546875" style="209" customWidth="1"/>
    <col min="2065" max="2065" width="9" style="209" customWidth="1"/>
    <col min="2066" max="2066" width="14.28515625" style="209" customWidth="1"/>
    <col min="2067" max="2304" width="31.28515625" style="209"/>
    <col min="2305" max="2305" width="63.5703125" style="209" bestFit="1" customWidth="1"/>
    <col min="2306" max="2306" width="22.5703125" style="209" bestFit="1" customWidth="1"/>
    <col min="2307" max="2307" width="15.7109375" style="209" customWidth="1"/>
    <col min="2308" max="2308" width="16.140625" style="209" customWidth="1"/>
    <col min="2309" max="2309" width="13.28515625" style="209" customWidth="1"/>
    <col min="2310" max="2310" width="16.7109375" style="209" customWidth="1"/>
    <col min="2311" max="2311" width="12.85546875" style="209" customWidth="1"/>
    <col min="2312" max="2312" width="12.5703125" style="209" bestFit="1" customWidth="1"/>
    <col min="2313" max="2313" width="53.7109375" style="209" bestFit="1" customWidth="1"/>
    <col min="2314" max="2314" width="27.5703125" style="209" bestFit="1" customWidth="1"/>
    <col min="2315" max="2315" width="28.28515625" style="209" customWidth="1"/>
    <col min="2316" max="2316" width="21.7109375" style="209" bestFit="1" customWidth="1"/>
    <col min="2317" max="2317" width="17.7109375" style="209" customWidth="1"/>
    <col min="2318" max="2318" width="47.5703125" style="209" customWidth="1"/>
    <col min="2319" max="2319" width="21.140625" style="209" customWidth="1"/>
    <col min="2320" max="2320" width="9.85546875" style="209" customWidth="1"/>
    <col min="2321" max="2321" width="9" style="209" customWidth="1"/>
    <col min="2322" max="2322" width="14.28515625" style="209" customWidth="1"/>
    <col min="2323" max="2560" width="31.28515625" style="209"/>
    <col min="2561" max="2561" width="63.5703125" style="209" bestFit="1" customWidth="1"/>
    <col min="2562" max="2562" width="22.5703125" style="209" bestFit="1" customWidth="1"/>
    <col min="2563" max="2563" width="15.7109375" style="209" customWidth="1"/>
    <col min="2564" max="2564" width="16.140625" style="209" customWidth="1"/>
    <col min="2565" max="2565" width="13.28515625" style="209" customWidth="1"/>
    <col min="2566" max="2566" width="16.7109375" style="209" customWidth="1"/>
    <col min="2567" max="2567" width="12.85546875" style="209" customWidth="1"/>
    <col min="2568" max="2568" width="12.5703125" style="209" bestFit="1" customWidth="1"/>
    <col min="2569" max="2569" width="53.7109375" style="209" bestFit="1" customWidth="1"/>
    <col min="2570" max="2570" width="27.5703125" style="209" bestFit="1" customWidth="1"/>
    <col min="2571" max="2571" width="28.28515625" style="209" customWidth="1"/>
    <col min="2572" max="2572" width="21.7109375" style="209" bestFit="1" customWidth="1"/>
    <col min="2573" max="2573" width="17.7109375" style="209" customWidth="1"/>
    <col min="2574" max="2574" width="47.5703125" style="209" customWidth="1"/>
    <col min="2575" max="2575" width="21.140625" style="209" customWidth="1"/>
    <col min="2576" max="2576" width="9.85546875" style="209" customWidth="1"/>
    <col min="2577" max="2577" width="9" style="209" customWidth="1"/>
    <col min="2578" max="2578" width="14.28515625" style="209" customWidth="1"/>
    <col min="2579" max="2816" width="31.28515625" style="209"/>
    <col min="2817" max="2817" width="63.5703125" style="209" bestFit="1" customWidth="1"/>
    <col min="2818" max="2818" width="22.5703125" style="209" bestFit="1" customWidth="1"/>
    <col min="2819" max="2819" width="15.7109375" style="209" customWidth="1"/>
    <col min="2820" max="2820" width="16.140625" style="209" customWidth="1"/>
    <col min="2821" max="2821" width="13.28515625" style="209" customWidth="1"/>
    <col min="2822" max="2822" width="16.7109375" style="209" customWidth="1"/>
    <col min="2823" max="2823" width="12.85546875" style="209" customWidth="1"/>
    <col min="2824" max="2824" width="12.5703125" style="209" bestFit="1" customWidth="1"/>
    <col min="2825" max="2825" width="53.7109375" style="209" bestFit="1" customWidth="1"/>
    <col min="2826" max="2826" width="27.5703125" style="209" bestFit="1" customWidth="1"/>
    <col min="2827" max="2827" width="28.28515625" style="209" customWidth="1"/>
    <col min="2828" max="2828" width="21.7109375" style="209" bestFit="1" customWidth="1"/>
    <col min="2829" max="2829" width="17.7109375" style="209" customWidth="1"/>
    <col min="2830" max="2830" width="47.5703125" style="209" customWidth="1"/>
    <col min="2831" max="2831" width="21.140625" style="209" customWidth="1"/>
    <col min="2832" max="2832" width="9.85546875" style="209" customWidth="1"/>
    <col min="2833" max="2833" width="9" style="209" customWidth="1"/>
    <col min="2834" max="2834" width="14.28515625" style="209" customWidth="1"/>
    <col min="2835" max="3072" width="31.28515625" style="209"/>
    <col min="3073" max="3073" width="63.5703125" style="209" bestFit="1" customWidth="1"/>
    <col min="3074" max="3074" width="22.5703125" style="209" bestFit="1" customWidth="1"/>
    <col min="3075" max="3075" width="15.7109375" style="209" customWidth="1"/>
    <col min="3076" max="3076" width="16.140625" style="209" customWidth="1"/>
    <col min="3077" max="3077" width="13.28515625" style="209" customWidth="1"/>
    <col min="3078" max="3078" width="16.7109375" style="209" customWidth="1"/>
    <col min="3079" max="3079" width="12.85546875" style="209" customWidth="1"/>
    <col min="3080" max="3080" width="12.5703125" style="209" bestFit="1" customWidth="1"/>
    <col min="3081" max="3081" width="53.7109375" style="209" bestFit="1" customWidth="1"/>
    <col min="3082" max="3082" width="27.5703125" style="209" bestFit="1" customWidth="1"/>
    <col min="3083" max="3083" width="28.28515625" style="209" customWidth="1"/>
    <col min="3084" max="3084" width="21.7109375" style="209" bestFit="1" customWidth="1"/>
    <col min="3085" max="3085" width="17.7109375" style="209" customWidth="1"/>
    <col min="3086" max="3086" width="47.5703125" style="209" customWidth="1"/>
    <col min="3087" max="3087" width="21.140625" style="209" customWidth="1"/>
    <col min="3088" max="3088" width="9.85546875" style="209" customWidth="1"/>
    <col min="3089" max="3089" width="9" style="209" customWidth="1"/>
    <col min="3090" max="3090" width="14.28515625" style="209" customWidth="1"/>
    <col min="3091" max="3328" width="31.28515625" style="209"/>
    <col min="3329" max="3329" width="63.5703125" style="209" bestFit="1" customWidth="1"/>
    <col min="3330" max="3330" width="22.5703125" style="209" bestFit="1" customWidth="1"/>
    <col min="3331" max="3331" width="15.7109375" style="209" customWidth="1"/>
    <col min="3332" max="3332" width="16.140625" style="209" customWidth="1"/>
    <col min="3333" max="3333" width="13.28515625" style="209" customWidth="1"/>
    <col min="3334" max="3334" width="16.7109375" style="209" customWidth="1"/>
    <col min="3335" max="3335" width="12.85546875" style="209" customWidth="1"/>
    <col min="3336" max="3336" width="12.5703125" style="209" bestFit="1" customWidth="1"/>
    <col min="3337" max="3337" width="53.7109375" style="209" bestFit="1" customWidth="1"/>
    <col min="3338" max="3338" width="27.5703125" style="209" bestFit="1" customWidth="1"/>
    <col min="3339" max="3339" width="28.28515625" style="209" customWidth="1"/>
    <col min="3340" max="3340" width="21.7109375" style="209" bestFit="1" customWidth="1"/>
    <col min="3341" max="3341" width="17.7109375" style="209" customWidth="1"/>
    <col min="3342" max="3342" width="47.5703125" style="209" customWidth="1"/>
    <col min="3343" max="3343" width="21.140625" style="209" customWidth="1"/>
    <col min="3344" max="3344" width="9.85546875" style="209" customWidth="1"/>
    <col min="3345" max="3345" width="9" style="209" customWidth="1"/>
    <col min="3346" max="3346" width="14.28515625" style="209" customWidth="1"/>
    <col min="3347" max="3584" width="31.28515625" style="209"/>
    <col min="3585" max="3585" width="63.5703125" style="209" bestFit="1" customWidth="1"/>
    <col min="3586" max="3586" width="22.5703125" style="209" bestFit="1" customWidth="1"/>
    <col min="3587" max="3587" width="15.7109375" style="209" customWidth="1"/>
    <col min="3588" max="3588" width="16.140625" style="209" customWidth="1"/>
    <col min="3589" max="3589" width="13.28515625" style="209" customWidth="1"/>
    <col min="3590" max="3590" width="16.7109375" style="209" customWidth="1"/>
    <col min="3591" max="3591" width="12.85546875" style="209" customWidth="1"/>
    <col min="3592" max="3592" width="12.5703125" style="209" bestFit="1" customWidth="1"/>
    <col min="3593" max="3593" width="53.7109375" style="209" bestFit="1" customWidth="1"/>
    <col min="3594" max="3594" width="27.5703125" style="209" bestFit="1" customWidth="1"/>
    <col min="3595" max="3595" width="28.28515625" style="209" customWidth="1"/>
    <col min="3596" max="3596" width="21.7109375" style="209" bestFit="1" customWidth="1"/>
    <col min="3597" max="3597" width="17.7109375" style="209" customWidth="1"/>
    <col min="3598" max="3598" width="47.5703125" style="209" customWidth="1"/>
    <col min="3599" max="3599" width="21.140625" style="209" customWidth="1"/>
    <col min="3600" max="3600" width="9.85546875" style="209" customWidth="1"/>
    <col min="3601" max="3601" width="9" style="209" customWidth="1"/>
    <col min="3602" max="3602" width="14.28515625" style="209" customWidth="1"/>
    <col min="3603" max="3840" width="31.28515625" style="209"/>
    <col min="3841" max="3841" width="63.5703125" style="209" bestFit="1" customWidth="1"/>
    <col min="3842" max="3842" width="22.5703125" style="209" bestFit="1" customWidth="1"/>
    <col min="3843" max="3843" width="15.7109375" style="209" customWidth="1"/>
    <col min="3844" max="3844" width="16.140625" style="209" customWidth="1"/>
    <col min="3845" max="3845" width="13.28515625" style="209" customWidth="1"/>
    <col min="3846" max="3846" width="16.7109375" style="209" customWidth="1"/>
    <col min="3847" max="3847" width="12.85546875" style="209" customWidth="1"/>
    <col min="3848" max="3848" width="12.5703125" style="209" bestFit="1" customWidth="1"/>
    <col min="3849" max="3849" width="53.7109375" style="209" bestFit="1" customWidth="1"/>
    <col min="3850" max="3850" width="27.5703125" style="209" bestFit="1" customWidth="1"/>
    <col min="3851" max="3851" width="28.28515625" style="209" customWidth="1"/>
    <col min="3852" max="3852" width="21.7109375" style="209" bestFit="1" customWidth="1"/>
    <col min="3853" max="3853" width="17.7109375" style="209" customWidth="1"/>
    <col min="3854" max="3854" width="47.5703125" style="209" customWidth="1"/>
    <col min="3855" max="3855" width="21.140625" style="209" customWidth="1"/>
    <col min="3856" max="3856" width="9.85546875" style="209" customWidth="1"/>
    <col min="3857" max="3857" width="9" style="209" customWidth="1"/>
    <col min="3858" max="3858" width="14.28515625" style="209" customWidth="1"/>
    <col min="3859" max="4096" width="31.28515625" style="209"/>
    <col min="4097" max="4097" width="63.5703125" style="209" bestFit="1" customWidth="1"/>
    <col min="4098" max="4098" width="22.5703125" style="209" bestFit="1" customWidth="1"/>
    <col min="4099" max="4099" width="15.7109375" style="209" customWidth="1"/>
    <col min="4100" max="4100" width="16.140625" style="209" customWidth="1"/>
    <col min="4101" max="4101" width="13.28515625" style="209" customWidth="1"/>
    <col min="4102" max="4102" width="16.7109375" style="209" customWidth="1"/>
    <col min="4103" max="4103" width="12.85546875" style="209" customWidth="1"/>
    <col min="4104" max="4104" width="12.5703125" style="209" bestFit="1" customWidth="1"/>
    <col min="4105" max="4105" width="53.7109375" style="209" bestFit="1" customWidth="1"/>
    <col min="4106" max="4106" width="27.5703125" style="209" bestFit="1" customWidth="1"/>
    <col min="4107" max="4107" width="28.28515625" style="209" customWidth="1"/>
    <col min="4108" max="4108" width="21.7109375" style="209" bestFit="1" customWidth="1"/>
    <col min="4109" max="4109" width="17.7109375" style="209" customWidth="1"/>
    <col min="4110" max="4110" width="47.5703125" style="209" customWidth="1"/>
    <col min="4111" max="4111" width="21.140625" style="209" customWidth="1"/>
    <col min="4112" max="4112" width="9.85546875" style="209" customWidth="1"/>
    <col min="4113" max="4113" width="9" style="209" customWidth="1"/>
    <col min="4114" max="4114" width="14.28515625" style="209" customWidth="1"/>
    <col min="4115" max="4352" width="31.28515625" style="209"/>
    <col min="4353" max="4353" width="63.5703125" style="209" bestFit="1" customWidth="1"/>
    <col min="4354" max="4354" width="22.5703125" style="209" bestFit="1" customWidth="1"/>
    <col min="4355" max="4355" width="15.7109375" style="209" customWidth="1"/>
    <col min="4356" max="4356" width="16.140625" style="209" customWidth="1"/>
    <col min="4357" max="4357" width="13.28515625" style="209" customWidth="1"/>
    <col min="4358" max="4358" width="16.7109375" style="209" customWidth="1"/>
    <col min="4359" max="4359" width="12.85546875" style="209" customWidth="1"/>
    <col min="4360" max="4360" width="12.5703125" style="209" bestFit="1" customWidth="1"/>
    <col min="4361" max="4361" width="53.7109375" style="209" bestFit="1" customWidth="1"/>
    <col min="4362" max="4362" width="27.5703125" style="209" bestFit="1" customWidth="1"/>
    <col min="4363" max="4363" width="28.28515625" style="209" customWidth="1"/>
    <col min="4364" max="4364" width="21.7109375" style="209" bestFit="1" customWidth="1"/>
    <col min="4365" max="4365" width="17.7109375" style="209" customWidth="1"/>
    <col min="4366" max="4366" width="47.5703125" style="209" customWidth="1"/>
    <col min="4367" max="4367" width="21.140625" style="209" customWidth="1"/>
    <col min="4368" max="4368" width="9.85546875" style="209" customWidth="1"/>
    <col min="4369" max="4369" width="9" style="209" customWidth="1"/>
    <col min="4370" max="4370" width="14.28515625" style="209" customWidth="1"/>
    <col min="4371" max="4608" width="31.28515625" style="209"/>
    <col min="4609" max="4609" width="63.5703125" style="209" bestFit="1" customWidth="1"/>
    <col min="4610" max="4610" width="22.5703125" style="209" bestFit="1" customWidth="1"/>
    <col min="4611" max="4611" width="15.7109375" style="209" customWidth="1"/>
    <col min="4612" max="4612" width="16.140625" style="209" customWidth="1"/>
    <col min="4613" max="4613" width="13.28515625" style="209" customWidth="1"/>
    <col min="4614" max="4614" width="16.7109375" style="209" customWidth="1"/>
    <col min="4615" max="4615" width="12.85546875" style="209" customWidth="1"/>
    <col min="4616" max="4616" width="12.5703125" style="209" bestFit="1" customWidth="1"/>
    <col min="4617" max="4617" width="53.7109375" style="209" bestFit="1" customWidth="1"/>
    <col min="4618" max="4618" width="27.5703125" style="209" bestFit="1" customWidth="1"/>
    <col min="4619" max="4619" width="28.28515625" style="209" customWidth="1"/>
    <col min="4620" max="4620" width="21.7109375" style="209" bestFit="1" customWidth="1"/>
    <col min="4621" max="4621" width="17.7109375" style="209" customWidth="1"/>
    <col min="4622" max="4622" width="47.5703125" style="209" customWidth="1"/>
    <col min="4623" max="4623" width="21.140625" style="209" customWidth="1"/>
    <col min="4624" max="4624" width="9.85546875" style="209" customWidth="1"/>
    <col min="4625" max="4625" width="9" style="209" customWidth="1"/>
    <col min="4626" max="4626" width="14.28515625" style="209" customWidth="1"/>
    <col min="4627" max="4864" width="31.28515625" style="209"/>
    <col min="4865" max="4865" width="63.5703125" style="209" bestFit="1" customWidth="1"/>
    <col min="4866" max="4866" width="22.5703125" style="209" bestFit="1" customWidth="1"/>
    <col min="4867" max="4867" width="15.7109375" style="209" customWidth="1"/>
    <col min="4868" max="4868" width="16.140625" style="209" customWidth="1"/>
    <col min="4869" max="4869" width="13.28515625" style="209" customWidth="1"/>
    <col min="4870" max="4870" width="16.7109375" style="209" customWidth="1"/>
    <col min="4871" max="4871" width="12.85546875" style="209" customWidth="1"/>
    <col min="4872" max="4872" width="12.5703125" style="209" bestFit="1" customWidth="1"/>
    <col min="4873" max="4873" width="53.7109375" style="209" bestFit="1" customWidth="1"/>
    <col min="4874" max="4874" width="27.5703125" style="209" bestFit="1" customWidth="1"/>
    <col min="4875" max="4875" width="28.28515625" style="209" customWidth="1"/>
    <col min="4876" max="4876" width="21.7109375" style="209" bestFit="1" customWidth="1"/>
    <col min="4877" max="4877" width="17.7109375" style="209" customWidth="1"/>
    <col min="4878" max="4878" width="47.5703125" style="209" customWidth="1"/>
    <col min="4879" max="4879" width="21.140625" style="209" customWidth="1"/>
    <col min="4880" max="4880" width="9.85546875" style="209" customWidth="1"/>
    <col min="4881" max="4881" width="9" style="209" customWidth="1"/>
    <col min="4882" max="4882" width="14.28515625" style="209" customWidth="1"/>
    <col min="4883" max="5120" width="31.28515625" style="209"/>
    <col min="5121" max="5121" width="63.5703125" style="209" bestFit="1" customWidth="1"/>
    <col min="5122" max="5122" width="22.5703125" style="209" bestFit="1" customWidth="1"/>
    <col min="5123" max="5123" width="15.7109375" style="209" customWidth="1"/>
    <col min="5124" max="5124" width="16.140625" style="209" customWidth="1"/>
    <col min="5125" max="5125" width="13.28515625" style="209" customWidth="1"/>
    <col min="5126" max="5126" width="16.7109375" style="209" customWidth="1"/>
    <col min="5127" max="5127" width="12.85546875" style="209" customWidth="1"/>
    <col min="5128" max="5128" width="12.5703125" style="209" bestFit="1" customWidth="1"/>
    <col min="5129" max="5129" width="53.7109375" style="209" bestFit="1" customWidth="1"/>
    <col min="5130" max="5130" width="27.5703125" style="209" bestFit="1" customWidth="1"/>
    <col min="5131" max="5131" width="28.28515625" style="209" customWidth="1"/>
    <col min="5132" max="5132" width="21.7109375" style="209" bestFit="1" customWidth="1"/>
    <col min="5133" max="5133" width="17.7109375" style="209" customWidth="1"/>
    <col min="5134" max="5134" width="47.5703125" style="209" customWidth="1"/>
    <col min="5135" max="5135" width="21.140625" style="209" customWidth="1"/>
    <col min="5136" max="5136" width="9.85546875" style="209" customWidth="1"/>
    <col min="5137" max="5137" width="9" style="209" customWidth="1"/>
    <col min="5138" max="5138" width="14.28515625" style="209" customWidth="1"/>
    <col min="5139" max="5376" width="31.28515625" style="209"/>
    <col min="5377" max="5377" width="63.5703125" style="209" bestFit="1" customWidth="1"/>
    <col min="5378" max="5378" width="22.5703125" style="209" bestFit="1" customWidth="1"/>
    <col min="5379" max="5379" width="15.7109375" style="209" customWidth="1"/>
    <col min="5380" max="5380" width="16.140625" style="209" customWidth="1"/>
    <col min="5381" max="5381" width="13.28515625" style="209" customWidth="1"/>
    <col min="5382" max="5382" width="16.7109375" style="209" customWidth="1"/>
    <col min="5383" max="5383" width="12.85546875" style="209" customWidth="1"/>
    <col min="5384" max="5384" width="12.5703125" style="209" bestFit="1" customWidth="1"/>
    <col min="5385" max="5385" width="53.7109375" style="209" bestFit="1" customWidth="1"/>
    <col min="5386" max="5386" width="27.5703125" style="209" bestFit="1" customWidth="1"/>
    <col min="5387" max="5387" width="28.28515625" style="209" customWidth="1"/>
    <col min="5388" max="5388" width="21.7109375" style="209" bestFit="1" customWidth="1"/>
    <col min="5389" max="5389" width="17.7109375" style="209" customWidth="1"/>
    <col min="5390" max="5390" width="47.5703125" style="209" customWidth="1"/>
    <col min="5391" max="5391" width="21.140625" style="209" customWidth="1"/>
    <col min="5392" max="5392" width="9.85546875" style="209" customWidth="1"/>
    <col min="5393" max="5393" width="9" style="209" customWidth="1"/>
    <col min="5394" max="5394" width="14.28515625" style="209" customWidth="1"/>
    <col min="5395" max="5632" width="31.28515625" style="209"/>
    <col min="5633" max="5633" width="63.5703125" style="209" bestFit="1" customWidth="1"/>
    <col min="5634" max="5634" width="22.5703125" style="209" bestFit="1" customWidth="1"/>
    <col min="5635" max="5635" width="15.7109375" style="209" customWidth="1"/>
    <col min="5636" max="5636" width="16.140625" style="209" customWidth="1"/>
    <col min="5637" max="5637" width="13.28515625" style="209" customWidth="1"/>
    <col min="5638" max="5638" width="16.7109375" style="209" customWidth="1"/>
    <col min="5639" max="5639" width="12.85546875" style="209" customWidth="1"/>
    <col min="5640" max="5640" width="12.5703125" style="209" bestFit="1" customWidth="1"/>
    <col min="5641" max="5641" width="53.7109375" style="209" bestFit="1" customWidth="1"/>
    <col min="5642" max="5642" width="27.5703125" style="209" bestFit="1" customWidth="1"/>
    <col min="5643" max="5643" width="28.28515625" style="209" customWidth="1"/>
    <col min="5644" max="5644" width="21.7109375" style="209" bestFit="1" customWidth="1"/>
    <col min="5645" max="5645" width="17.7109375" style="209" customWidth="1"/>
    <col min="5646" max="5646" width="47.5703125" style="209" customWidth="1"/>
    <col min="5647" max="5647" width="21.140625" style="209" customWidth="1"/>
    <col min="5648" max="5648" width="9.85546875" style="209" customWidth="1"/>
    <col min="5649" max="5649" width="9" style="209" customWidth="1"/>
    <col min="5650" max="5650" width="14.28515625" style="209" customWidth="1"/>
    <col min="5651" max="5888" width="31.28515625" style="209"/>
    <col min="5889" max="5889" width="63.5703125" style="209" bestFit="1" customWidth="1"/>
    <col min="5890" max="5890" width="22.5703125" style="209" bestFit="1" customWidth="1"/>
    <col min="5891" max="5891" width="15.7109375" style="209" customWidth="1"/>
    <col min="5892" max="5892" width="16.140625" style="209" customWidth="1"/>
    <col min="5893" max="5893" width="13.28515625" style="209" customWidth="1"/>
    <col min="5894" max="5894" width="16.7109375" style="209" customWidth="1"/>
    <col min="5895" max="5895" width="12.85546875" style="209" customWidth="1"/>
    <col min="5896" max="5896" width="12.5703125" style="209" bestFit="1" customWidth="1"/>
    <col min="5897" max="5897" width="53.7109375" style="209" bestFit="1" customWidth="1"/>
    <col min="5898" max="5898" width="27.5703125" style="209" bestFit="1" customWidth="1"/>
    <col min="5899" max="5899" width="28.28515625" style="209" customWidth="1"/>
    <col min="5900" max="5900" width="21.7109375" style="209" bestFit="1" customWidth="1"/>
    <col min="5901" max="5901" width="17.7109375" style="209" customWidth="1"/>
    <col min="5902" max="5902" width="47.5703125" style="209" customWidth="1"/>
    <col min="5903" max="5903" width="21.140625" style="209" customWidth="1"/>
    <col min="5904" max="5904" width="9.85546875" style="209" customWidth="1"/>
    <col min="5905" max="5905" width="9" style="209" customWidth="1"/>
    <col min="5906" max="5906" width="14.28515625" style="209" customWidth="1"/>
    <col min="5907" max="6144" width="31.28515625" style="209"/>
    <col min="6145" max="6145" width="63.5703125" style="209" bestFit="1" customWidth="1"/>
    <col min="6146" max="6146" width="22.5703125" style="209" bestFit="1" customWidth="1"/>
    <col min="6147" max="6147" width="15.7109375" style="209" customWidth="1"/>
    <col min="6148" max="6148" width="16.140625" style="209" customWidth="1"/>
    <col min="6149" max="6149" width="13.28515625" style="209" customWidth="1"/>
    <col min="6150" max="6150" width="16.7109375" style="209" customWidth="1"/>
    <col min="6151" max="6151" width="12.85546875" style="209" customWidth="1"/>
    <col min="6152" max="6152" width="12.5703125" style="209" bestFit="1" customWidth="1"/>
    <col min="6153" max="6153" width="53.7109375" style="209" bestFit="1" customWidth="1"/>
    <col min="6154" max="6154" width="27.5703125" style="209" bestFit="1" customWidth="1"/>
    <col min="6155" max="6155" width="28.28515625" style="209" customWidth="1"/>
    <col min="6156" max="6156" width="21.7109375" style="209" bestFit="1" customWidth="1"/>
    <col min="6157" max="6157" width="17.7109375" style="209" customWidth="1"/>
    <col min="6158" max="6158" width="47.5703125" style="209" customWidth="1"/>
    <col min="6159" max="6159" width="21.140625" style="209" customWidth="1"/>
    <col min="6160" max="6160" width="9.85546875" style="209" customWidth="1"/>
    <col min="6161" max="6161" width="9" style="209" customWidth="1"/>
    <col min="6162" max="6162" width="14.28515625" style="209" customWidth="1"/>
    <col min="6163" max="6400" width="31.28515625" style="209"/>
    <col min="6401" max="6401" width="63.5703125" style="209" bestFit="1" customWidth="1"/>
    <col min="6402" max="6402" width="22.5703125" style="209" bestFit="1" customWidth="1"/>
    <col min="6403" max="6403" width="15.7109375" style="209" customWidth="1"/>
    <col min="6404" max="6404" width="16.140625" style="209" customWidth="1"/>
    <col min="6405" max="6405" width="13.28515625" style="209" customWidth="1"/>
    <col min="6406" max="6406" width="16.7109375" style="209" customWidth="1"/>
    <col min="6407" max="6407" width="12.85546875" style="209" customWidth="1"/>
    <col min="6408" max="6408" width="12.5703125" style="209" bestFit="1" customWidth="1"/>
    <col min="6409" max="6409" width="53.7109375" style="209" bestFit="1" customWidth="1"/>
    <col min="6410" max="6410" width="27.5703125" style="209" bestFit="1" customWidth="1"/>
    <col min="6411" max="6411" width="28.28515625" style="209" customWidth="1"/>
    <col min="6412" max="6412" width="21.7109375" style="209" bestFit="1" customWidth="1"/>
    <col min="6413" max="6413" width="17.7109375" style="209" customWidth="1"/>
    <col min="6414" max="6414" width="47.5703125" style="209" customWidth="1"/>
    <col min="6415" max="6415" width="21.140625" style="209" customWidth="1"/>
    <col min="6416" max="6416" width="9.85546875" style="209" customWidth="1"/>
    <col min="6417" max="6417" width="9" style="209" customWidth="1"/>
    <col min="6418" max="6418" width="14.28515625" style="209" customWidth="1"/>
    <col min="6419" max="6656" width="31.28515625" style="209"/>
    <col min="6657" max="6657" width="63.5703125" style="209" bestFit="1" customWidth="1"/>
    <col min="6658" max="6658" width="22.5703125" style="209" bestFit="1" customWidth="1"/>
    <col min="6659" max="6659" width="15.7109375" style="209" customWidth="1"/>
    <col min="6660" max="6660" width="16.140625" style="209" customWidth="1"/>
    <col min="6661" max="6661" width="13.28515625" style="209" customWidth="1"/>
    <col min="6662" max="6662" width="16.7109375" style="209" customWidth="1"/>
    <col min="6663" max="6663" width="12.85546875" style="209" customWidth="1"/>
    <col min="6664" max="6664" width="12.5703125" style="209" bestFit="1" customWidth="1"/>
    <col min="6665" max="6665" width="53.7109375" style="209" bestFit="1" customWidth="1"/>
    <col min="6666" max="6666" width="27.5703125" style="209" bestFit="1" customWidth="1"/>
    <col min="6667" max="6667" width="28.28515625" style="209" customWidth="1"/>
    <col min="6668" max="6668" width="21.7109375" style="209" bestFit="1" customWidth="1"/>
    <col min="6669" max="6669" width="17.7109375" style="209" customWidth="1"/>
    <col min="6670" max="6670" width="47.5703125" style="209" customWidth="1"/>
    <col min="6671" max="6671" width="21.140625" style="209" customWidth="1"/>
    <col min="6672" max="6672" width="9.85546875" style="209" customWidth="1"/>
    <col min="6673" max="6673" width="9" style="209" customWidth="1"/>
    <col min="6674" max="6674" width="14.28515625" style="209" customWidth="1"/>
    <col min="6675" max="6912" width="31.28515625" style="209"/>
    <col min="6913" max="6913" width="63.5703125" style="209" bestFit="1" customWidth="1"/>
    <col min="6914" max="6914" width="22.5703125" style="209" bestFit="1" customWidth="1"/>
    <col min="6915" max="6915" width="15.7109375" style="209" customWidth="1"/>
    <col min="6916" max="6916" width="16.140625" style="209" customWidth="1"/>
    <col min="6917" max="6917" width="13.28515625" style="209" customWidth="1"/>
    <col min="6918" max="6918" width="16.7109375" style="209" customWidth="1"/>
    <col min="6919" max="6919" width="12.85546875" style="209" customWidth="1"/>
    <col min="6920" max="6920" width="12.5703125" style="209" bestFit="1" customWidth="1"/>
    <col min="6921" max="6921" width="53.7109375" style="209" bestFit="1" customWidth="1"/>
    <col min="6922" max="6922" width="27.5703125" style="209" bestFit="1" customWidth="1"/>
    <col min="6923" max="6923" width="28.28515625" style="209" customWidth="1"/>
    <col min="6924" max="6924" width="21.7109375" style="209" bestFit="1" customWidth="1"/>
    <col min="6925" max="6925" width="17.7109375" style="209" customWidth="1"/>
    <col min="6926" max="6926" width="47.5703125" style="209" customWidth="1"/>
    <col min="6927" max="6927" width="21.140625" style="209" customWidth="1"/>
    <col min="6928" max="6928" width="9.85546875" style="209" customWidth="1"/>
    <col min="6929" max="6929" width="9" style="209" customWidth="1"/>
    <col min="6930" max="6930" width="14.28515625" style="209" customWidth="1"/>
    <col min="6931" max="7168" width="31.28515625" style="209"/>
    <col min="7169" max="7169" width="63.5703125" style="209" bestFit="1" customWidth="1"/>
    <col min="7170" max="7170" width="22.5703125" style="209" bestFit="1" customWidth="1"/>
    <col min="7171" max="7171" width="15.7109375" style="209" customWidth="1"/>
    <col min="7172" max="7172" width="16.140625" style="209" customWidth="1"/>
    <col min="7173" max="7173" width="13.28515625" style="209" customWidth="1"/>
    <col min="7174" max="7174" width="16.7109375" style="209" customWidth="1"/>
    <col min="7175" max="7175" width="12.85546875" style="209" customWidth="1"/>
    <col min="7176" max="7176" width="12.5703125" style="209" bestFit="1" customWidth="1"/>
    <col min="7177" max="7177" width="53.7109375" style="209" bestFit="1" customWidth="1"/>
    <col min="7178" max="7178" width="27.5703125" style="209" bestFit="1" customWidth="1"/>
    <col min="7179" max="7179" width="28.28515625" style="209" customWidth="1"/>
    <col min="7180" max="7180" width="21.7109375" style="209" bestFit="1" customWidth="1"/>
    <col min="7181" max="7181" width="17.7109375" style="209" customWidth="1"/>
    <col min="7182" max="7182" width="47.5703125" style="209" customWidth="1"/>
    <col min="7183" max="7183" width="21.140625" style="209" customWidth="1"/>
    <col min="7184" max="7184" width="9.85546875" style="209" customWidth="1"/>
    <col min="7185" max="7185" width="9" style="209" customWidth="1"/>
    <col min="7186" max="7186" width="14.28515625" style="209" customWidth="1"/>
    <col min="7187" max="7424" width="31.28515625" style="209"/>
    <col min="7425" max="7425" width="63.5703125" style="209" bestFit="1" customWidth="1"/>
    <col min="7426" max="7426" width="22.5703125" style="209" bestFit="1" customWidth="1"/>
    <col min="7427" max="7427" width="15.7109375" style="209" customWidth="1"/>
    <col min="7428" max="7428" width="16.140625" style="209" customWidth="1"/>
    <col min="7429" max="7429" width="13.28515625" style="209" customWidth="1"/>
    <col min="7430" max="7430" width="16.7109375" style="209" customWidth="1"/>
    <col min="7431" max="7431" width="12.85546875" style="209" customWidth="1"/>
    <col min="7432" max="7432" width="12.5703125" style="209" bestFit="1" customWidth="1"/>
    <col min="7433" max="7433" width="53.7109375" style="209" bestFit="1" customWidth="1"/>
    <col min="7434" max="7434" width="27.5703125" style="209" bestFit="1" customWidth="1"/>
    <col min="7435" max="7435" width="28.28515625" style="209" customWidth="1"/>
    <col min="7436" max="7436" width="21.7109375" style="209" bestFit="1" customWidth="1"/>
    <col min="7437" max="7437" width="17.7109375" style="209" customWidth="1"/>
    <col min="7438" max="7438" width="47.5703125" style="209" customWidth="1"/>
    <col min="7439" max="7439" width="21.140625" style="209" customWidth="1"/>
    <col min="7440" max="7440" width="9.85546875" style="209" customWidth="1"/>
    <col min="7441" max="7441" width="9" style="209" customWidth="1"/>
    <col min="7442" max="7442" width="14.28515625" style="209" customWidth="1"/>
    <col min="7443" max="7680" width="31.28515625" style="209"/>
    <col min="7681" max="7681" width="63.5703125" style="209" bestFit="1" customWidth="1"/>
    <col min="7682" max="7682" width="22.5703125" style="209" bestFit="1" customWidth="1"/>
    <col min="7683" max="7683" width="15.7109375" style="209" customWidth="1"/>
    <col min="7684" max="7684" width="16.140625" style="209" customWidth="1"/>
    <col min="7685" max="7685" width="13.28515625" style="209" customWidth="1"/>
    <col min="7686" max="7686" width="16.7109375" style="209" customWidth="1"/>
    <col min="7687" max="7687" width="12.85546875" style="209" customWidth="1"/>
    <col min="7688" max="7688" width="12.5703125" style="209" bestFit="1" customWidth="1"/>
    <col min="7689" max="7689" width="53.7109375" style="209" bestFit="1" customWidth="1"/>
    <col min="7690" max="7690" width="27.5703125" style="209" bestFit="1" customWidth="1"/>
    <col min="7691" max="7691" width="28.28515625" style="209" customWidth="1"/>
    <col min="7692" max="7692" width="21.7109375" style="209" bestFit="1" customWidth="1"/>
    <col min="7693" max="7693" width="17.7109375" style="209" customWidth="1"/>
    <col min="7694" max="7694" width="47.5703125" style="209" customWidth="1"/>
    <col min="7695" max="7695" width="21.140625" style="209" customWidth="1"/>
    <col min="7696" max="7696" width="9.85546875" style="209" customWidth="1"/>
    <col min="7697" max="7697" width="9" style="209" customWidth="1"/>
    <col min="7698" max="7698" width="14.28515625" style="209" customWidth="1"/>
    <col min="7699" max="7936" width="31.28515625" style="209"/>
    <col min="7937" max="7937" width="63.5703125" style="209" bestFit="1" customWidth="1"/>
    <col min="7938" max="7938" width="22.5703125" style="209" bestFit="1" customWidth="1"/>
    <col min="7939" max="7939" width="15.7109375" style="209" customWidth="1"/>
    <col min="7940" max="7940" width="16.140625" style="209" customWidth="1"/>
    <col min="7941" max="7941" width="13.28515625" style="209" customWidth="1"/>
    <col min="7942" max="7942" width="16.7109375" style="209" customWidth="1"/>
    <col min="7943" max="7943" width="12.85546875" style="209" customWidth="1"/>
    <col min="7944" max="7944" width="12.5703125" style="209" bestFit="1" customWidth="1"/>
    <col min="7945" max="7945" width="53.7109375" style="209" bestFit="1" customWidth="1"/>
    <col min="7946" max="7946" width="27.5703125" style="209" bestFit="1" customWidth="1"/>
    <col min="7947" max="7947" width="28.28515625" style="209" customWidth="1"/>
    <col min="7948" max="7948" width="21.7109375" style="209" bestFit="1" customWidth="1"/>
    <col min="7949" max="7949" width="17.7109375" style="209" customWidth="1"/>
    <col min="7950" max="7950" width="47.5703125" style="209" customWidth="1"/>
    <col min="7951" max="7951" width="21.140625" style="209" customWidth="1"/>
    <col min="7952" max="7952" width="9.85546875" style="209" customWidth="1"/>
    <col min="7953" max="7953" width="9" style="209" customWidth="1"/>
    <col min="7954" max="7954" width="14.28515625" style="209" customWidth="1"/>
    <col min="7955" max="8192" width="31.28515625" style="209"/>
    <col min="8193" max="8193" width="63.5703125" style="209" bestFit="1" customWidth="1"/>
    <col min="8194" max="8194" width="22.5703125" style="209" bestFit="1" customWidth="1"/>
    <col min="8195" max="8195" width="15.7109375" style="209" customWidth="1"/>
    <col min="8196" max="8196" width="16.140625" style="209" customWidth="1"/>
    <col min="8197" max="8197" width="13.28515625" style="209" customWidth="1"/>
    <col min="8198" max="8198" width="16.7109375" style="209" customWidth="1"/>
    <col min="8199" max="8199" width="12.85546875" style="209" customWidth="1"/>
    <col min="8200" max="8200" width="12.5703125" style="209" bestFit="1" customWidth="1"/>
    <col min="8201" max="8201" width="53.7109375" style="209" bestFit="1" customWidth="1"/>
    <col min="8202" max="8202" width="27.5703125" style="209" bestFit="1" customWidth="1"/>
    <col min="8203" max="8203" width="28.28515625" style="209" customWidth="1"/>
    <col min="8204" max="8204" width="21.7109375" style="209" bestFit="1" customWidth="1"/>
    <col min="8205" max="8205" width="17.7109375" style="209" customWidth="1"/>
    <col min="8206" max="8206" width="47.5703125" style="209" customWidth="1"/>
    <col min="8207" max="8207" width="21.140625" style="209" customWidth="1"/>
    <col min="8208" max="8208" width="9.85546875" style="209" customWidth="1"/>
    <col min="8209" max="8209" width="9" style="209" customWidth="1"/>
    <col min="8210" max="8210" width="14.28515625" style="209" customWidth="1"/>
    <col min="8211" max="8448" width="31.28515625" style="209"/>
    <col min="8449" max="8449" width="63.5703125" style="209" bestFit="1" customWidth="1"/>
    <col min="8450" max="8450" width="22.5703125" style="209" bestFit="1" customWidth="1"/>
    <col min="8451" max="8451" width="15.7109375" style="209" customWidth="1"/>
    <col min="8452" max="8452" width="16.140625" style="209" customWidth="1"/>
    <col min="8453" max="8453" width="13.28515625" style="209" customWidth="1"/>
    <col min="8454" max="8454" width="16.7109375" style="209" customWidth="1"/>
    <col min="8455" max="8455" width="12.85546875" style="209" customWidth="1"/>
    <col min="8456" max="8456" width="12.5703125" style="209" bestFit="1" customWidth="1"/>
    <col min="8457" max="8457" width="53.7109375" style="209" bestFit="1" customWidth="1"/>
    <col min="8458" max="8458" width="27.5703125" style="209" bestFit="1" customWidth="1"/>
    <col min="8459" max="8459" width="28.28515625" style="209" customWidth="1"/>
    <col min="8460" max="8460" width="21.7109375" style="209" bestFit="1" customWidth="1"/>
    <col min="8461" max="8461" width="17.7109375" style="209" customWidth="1"/>
    <col min="8462" max="8462" width="47.5703125" style="209" customWidth="1"/>
    <col min="8463" max="8463" width="21.140625" style="209" customWidth="1"/>
    <col min="8464" max="8464" width="9.85546875" style="209" customWidth="1"/>
    <col min="8465" max="8465" width="9" style="209" customWidth="1"/>
    <col min="8466" max="8466" width="14.28515625" style="209" customWidth="1"/>
    <col min="8467" max="8704" width="31.28515625" style="209"/>
    <col min="8705" max="8705" width="63.5703125" style="209" bestFit="1" customWidth="1"/>
    <col min="8706" max="8706" width="22.5703125" style="209" bestFit="1" customWidth="1"/>
    <col min="8707" max="8707" width="15.7109375" style="209" customWidth="1"/>
    <col min="8708" max="8708" width="16.140625" style="209" customWidth="1"/>
    <col min="8709" max="8709" width="13.28515625" style="209" customWidth="1"/>
    <col min="8710" max="8710" width="16.7109375" style="209" customWidth="1"/>
    <col min="8711" max="8711" width="12.85546875" style="209" customWidth="1"/>
    <col min="8712" max="8712" width="12.5703125" style="209" bestFit="1" customWidth="1"/>
    <col min="8713" max="8713" width="53.7109375" style="209" bestFit="1" customWidth="1"/>
    <col min="8714" max="8714" width="27.5703125" style="209" bestFit="1" customWidth="1"/>
    <col min="8715" max="8715" width="28.28515625" style="209" customWidth="1"/>
    <col min="8716" max="8716" width="21.7109375" style="209" bestFit="1" customWidth="1"/>
    <col min="8717" max="8717" width="17.7109375" style="209" customWidth="1"/>
    <col min="8718" max="8718" width="47.5703125" style="209" customWidth="1"/>
    <col min="8719" max="8719" width="21.140625" style="209" customWidth="1"/>
    <col min="8720" max="8720" width="9.85546875" style="209" customWidth="1"/>
    <col min="8721" max="8721" width="9" style="209" customWidth="1"/>
    <col min="8722" max="8722" width="14.28515625" style="209" customWidth="1"/>
    <col min="8723" max="8960" width="31.28515625" style="209"/>
    <col min="8961" max="8961" width="63.5703125" style="209" bestFit="1" customWidth="1"/>
    <col min="8962" max="8962" width="22.5703125" style="209" bestFit="1" customWidth="1"/>
    <col min="8963" max="8963" width="15.7109375" style="209" customWidth="1"/>
    <col min="8964" max="8964" width="16.140625" style="209" customWidth="1"/>
    <col min="8965" max="8965" width="13.28515625" style="209" customWidth="1"/>
    <col min="8966" max="8966" width="16.7109375" style="209" customWidth="1"/>
    <col min="8967" max="8967" width="12.85546875" style="209" customWidth="1"/>
    <col min="8968" max="8968" width="12.5703125" style="209" bestFit="1" customWidth="1"/>
    <col min="8969" max="8969" width="53.7109375" style="209" bestFit="1" customWidth="1"/>
    <col min="8970" max="8970" width="27.5703125" style="209" bestFit="1" customWidth="1"/>
    <col min="8971" max="8971" width="28.28515625" style="209" customWidth="1"/>
    <col min="8972" max="8972" width="21.7109375" style="209" bestFit="1" customWidth="1"/>
    <col min="8973" max="8973" width="17.7109375" style="209" customWidth="1"/>
    <col min="8974" max="8974" width="47.5703125" style="209" customWidth="1"/>
    <col min="8975" max="8975" width="21.140625" style="209" customWidth="1"/>
    <col min="8976" max="8976" width="9.85546875" style="209" customWidth="1"/>
    <col min="8977" max="8977" width="9" style="209" customWidth="1"/>
    <col min="8978" max="8978" width="14.28515625" style="209" customWidth="1"/>
    <col min="8979" max="9216" width="31.28515625" style="209"/>
    <col min="9217" max="9217" width="63.5703125" style="209" bestFit="1" customWidth="1"/>
    <col min="9218" max="9218" width="22.5703125" style="209" bestFit="1" customWidth="1"/>
    <col min="9219" max="9219" width="15.7109375" style="209" customWidth="1"/>
    <col min="9220" max="9220" width="16.140625" style="209" customWidth="1"/>
    <col min="9221" max="9221" width="13.28515625" style="209" customWidth="1"/>
    <col min="9222" max="9222" width="16.7109375" style="209" customWidth="1"/>
    <col min="9223" max="9223" width="12.85546875" style="209" customWidth="1"/>
    <col min="9224" max="9224" width="12.5703125" style="209" bestFit="1" customWidth="1"/>
    <col min="9225" max="9225" width="53.7109375" style="209" bestFit="1" customWidth="1"/>
    <col min="9226" max="9226" width="27.5703125" style="209" bestFit="1" customWidth="1"/>
    <col min="9227" max="9227" width="28.28515625" style="209" customWidth="1"/>
    <col min="9228" max="9228" width="21.7109375" style="209" bestFit="1" customWidth="1"/>
    <col min="9229" max="9229" width="17.7109375" style="209" customWidth="1"/>
    <col min="9230" max="9230" width="47.5703125" style="209" customWidth="1"/>
    <col min="9231" max="9231" width="21.140625" style="209" customWidth="1"/>
    <col min="9232" max="9232" width="9.85546875" style="209" customWidth="1"/>
    <col min="9233" max="9233" width="9" style="209" customWidth="1"/>
    <col min="9234" max="9234" width="14.28515625" style="209" customWidth="1"/>
    <col min="9235" max="9472" width="31.28515625" style="209"/>
    <col min="9473" max="9473" width="63.5703125" style="209" bestFit="1" customWidth="1"/>
    <col min="9474" max="9474" width="22.5703125" style="209" bestFit="1" customWidth="1"/>
    <col min="9475" max="9475" width="15.7109375" style="209" customWidth="1"/>
    <col min="9476" max="9476" width="16.140625" style="209" customWidth="1"/>
    <col min="9477" max="9477" width="13.28515625" style="209" customWidth="1"/>
    <col min="9478" max="9478" width="16.7109375" style="209" customWidth="1"/>
    <col min="9479" max="9479" width="12.85546875" style="209" customWidth="1"/>
    <col min="9480" max="9480" width="12.5703125" style="209" bestFit="1" customWidth="1"/>
    <col min="9481" max="9481" width="53.7109375" style="209" bestFit="1" customWidth="1"/>
    <col min="9482" max="9482" width="27.5703125" style="209" bestFit="1" customWidth="1"/>
    <col min="9483" max="9483" width="28.28515625" style="209" customWidth="1"/>
    <col min="9484" max="9484" width="21.7109375" style="209" bestFit="1" customWidth="1"/>
    <col min="9485" max="9485" width="17.7109375" style="209" customWidth="1"/>
    <col min="9486" max="9486" width="47.5703125" style="209" customWidth="1"/>
    <col min="9487" max="9487" width="21.140625" style="209" customWidth="1"/>
    <col min="9488" max="9488" width="9.85546875" style="209" customWidth="1"/>
    <col min="9489" max="9489" width="9" style="209" customWidth="1"/>
    <col min="9490" max="9490" width="14.28515625" style="209" customWidth="1"/>
    <col min="9491" max="9728" width="31.28515625" style="209"/>
    <col min="9729" max="9729" width="63.5703125" style="209" bestFit="1" customWidth="1"/>
    <col min="9730" max="9730" width="22.5703125" style="209" bestFit="1" customWidth="1"/>
    <col min="9731" max="9731" width="15.7109375" style="209" customWidth="1"/>
    <col min="9732" max="9732" width="16.140625" style="209" customWidth="1"/>
    <col min="9733" max="9733" width="13.28515625" style="209" customWidth="1"/>
    <col min="9734" max="9734" width="16.7109375" style="209" customWidth="1"/>
    <col min="9735" max="9735" width="12.85546875" style="209" customWidth="1"/>
    <col min="9736" max="9736" width="12.5703125" style="209" bestFit="1" customWidth="1"/>
    <col min="9737" max="9737" width="53.7109375" style="209" bestFit="1" customWidth="1"/>
    <col min="9738" max="9738" width="27.5703125" style="209" bestFit="1" customWidth="1"/>
    <col min="9739" max="9739" width="28.28515625" style="209" customWidth="1"/>
    <col min="9740" max="9740" width="21.7109375" style="209" bestFit="1" customWidth="1"/>
    <col min="9741" max="9741" width="17.7109375" style="209" customWidth="1"/>
    <col min="9742" max="9742" width="47.5703125" style="209" customWidth="1"/>
    <col min="9743" max="9743" width="21.140625" style="209" customWidth="1"/>
    <col min="9744" max="9744" width="9.85546875" style="209" customWidth="1"/>
    <col min="9745" max="9745" width="9" style="209" customWidth="1"/>
    <col min="9746" max="9746" width="14.28515625" style="209" customWidth="1"/>
    <col min="9747" max="9984" width="31.28515625" style="209"/>
    <col min="9985" max="9985" width="63.5703125" style="209" bestFit="1" customWidth="1"/>
    <col min="9986" max="9986" width="22.5703125" style="209" bestFit="1" customWidth="1"/>
    <col min="9987" max="9987" width="15.7109375" style="209" customWidth="1"/>
    <col min="9988" max="9988" width="16.140625" style="209" customWidth="1"/>
    <col min="9989" max="9989" width="13.28515625" style="209" customWidth="1"/>
    <col min="9990" max="9990" width="16.7109375" style="209" customWidth="1"/>
    <col min="9991" max="9991" width="12.85546875" style="209" customWidth="1"/>
    <col min="9992" max="9992" width="12.5703125" style="209" bestFit="1" customWidth="1"/>
    <col min="9993" max="9993" width="53.7109375" style="209" bestFit="1" customWidth="1"/>
    <col min="9994" max="9994" width="27.5703125" style="209" bestFit="1" customWidth="1"/>
    <col min="9995" max="9995" width="28.28515625" style="209" customWidth="1"/>
    <col min="9996" max="9996" width="21.7109375" style="209" bestFit="1" customWidth="1"/>
    <col min="9997" max="9997" width="17.7109375" style="209" customWidth="1"/>
    <col min="9998" max="9998" width="47.5703125" style="209" customWidth="1"/>
    <col min="9999" max="9999" width="21.140625" style="209" customWidth="1"/>
    <col min="10000" max="10000" width="9.85546875" style="209" customWidth="1"/>
    <col min="10001" max="10001" width="9" style="209" customWidth="1"/>
    <col min="10002" max="10002" width="14.28515625" style="209" customWidth="1"/>
    <col min="10003" max="10240" width="31.28515625" style="209"/>
    <col min="10241" max="10241" width="63.5703125" style="209" bestFit="1" customWidth="1"/>
    <col min="10242" max="10242" width="22.5703125" style="209" bestFit="1" customWidth="1"/>
    <col min="10243" max="10243" width="15.7109375" style="209" customWidth="1"/>
    <col min="10244" max="10244" width="16.140625" style="209" customWidth="1"/>
    <col min="10245" max="10245" width="13.28515625" style="209" customWidth="1"/>
    <col min="10246" max="10246" width="16.7109375" style="209" customWidth="1"/>
    <col min="10247" max="10247" width="12.85546875" style="209" customWidth="1"/>
    <col min="10248" max="10248" width="12.5703125" style="209" bestFit="1" customWidth="1"/>
    <col min="10249" max="10249" width="53.7109375" style="209" bestFit="1" customWidth="1"/>
    <col min="10250" max="10250" width="27.5703125" style="209" bestFit="1" customWidth="1"/>
    <col min="10251" max="10251" width="28.28515625" style="209" customWidth="1"/>
    <col min="10252" max="10252" width="21.7109375" style="209" bestFit="1" customWidth="1"/>
    <col min="10253" max="10253" width="17.7109375" style="209" customWidth="1"/>
    <col min="10254" max="10254" width="47.5703125" style="209" customWidth="1"/>
    <col min="10255" max="10255" width="21.140625" style="209" customWidth="1"/>
    <col min="10256" max="10256" width="9.85546875" style="209" customWidth="1"/>
    <col min="10257" max="10257" width="9" style="209" customWidth="1"/>
    <col min="10258" max="10258" width="14.28515625" style="209" customWidth="1"/>
    <col min="10259" max="10496" width="31.28515625" style="209"/>
    <col min="10497" max="10497" width="63.5703125" style="209" bestFit="1" customWidth="1"/>
    <col min="10498" max="10498" width="22.5703125" style="209" bestFit="1" customWidth="1"/>
    <col min="10499" max="10499" width="15.7109375" style="209" customWidth="1"/>
    <col min="10500" max="10500" width="16.140625" style="209" customWidth="1"/>
    <col min="10501" max="10501" width="13.28515625" style="209" customWidth="1"/>
    <col min="10502" max="10502" width="16.7109375" style="209" customWidth="1"/>
    <col min="10503" max="10503" width="12.85546875" style="209" customWidth="1"/>
    <col min="10504" max="10504" width="12.5703125" style="209" bestFit="1" customWidth="1"/>
    <col min="10505" max="10505" width="53.7109375" style="209" bestFit="1" customWidth="1"/>
    <col min="10506" max="10506" width="27.5703125" style="209" bestFit="1" customWidth="1"/>
    <col min="10507" max="10507" width="28.28515625" style="209" customWidth="1"/>
    <col min="10508" max="10508" width="21.7109375" style="209" bestFit="1" customWidth="1"/>
    <col min="10509" max="10509" width="17.7109375" style="209" customWidth="1"/>
    <col min="10510" max="10510" width="47.5703125" style="209" customWidth="1"/>
    <col min="10511" max="10511" width="21.140625" style="209" customWidth="1"/>
    <col min="10512" max="10512" width="9.85546875" style="209" customWidth="1"/>
    <col min="10513" max="10513" width="9" style="209" customWidth="1"/>
    <col min="10514" max="10514" width="14.28515625" style="209" customWidth="1"/>
    <col min="10515" max="10752" width="31.28515625" style="209"/>
    <col min="10753" max="10753" width="63.5703125" style="209" bestFit="1" customWidth="1"/>
    <col min="10754" max="10754" width="22.5703125" style="209" bestFit="1" customWidth="1"/>
    <col min="10755" max="10755" width="15.7109375" style="209" customWidth="1"/>
    <col min="10756" max="10756" width="16.140625" style="209" customWidth="1"/>
    <col min="10757" max="10757" width="13.28515625" style="209" customWidth="1"/>
    <col min="10758" max="10758" width="16.7109375" style="209" customWidth="1"/>
    <col min="10759" max="10759" width="12.85546875" style="209" customWidth="1"/>
    <col min="10760" max="10760" width="12.5703125" style="209" bestFit="1" customWidth="1"/>
    <col min="10761" max="10761" width="53.7109375" style="209" bestFit="1" customWidth="1"/>
    <col min="10762" max="10762" width="27.5703125" style="209" bestFit="1" customWidth="1"/>
    <col min="10763" max="10763" width="28.28515625" style="209" customWidth="1"/>
    <col min="10764" max="10764" width="21.7109375" style="209" bestFit="1" customWidth="1"/>
    <col min="10765" max="10765" width="17.7109375" style="209" customWidth="1"/>
    <col min="10766" max="10766" width="47.5703125" style="209" customWidth="1"/>
    <col min="10767" max="10767" width="21.140625" style="209" customWidth="1"/>
    <col min="10768" max="10768" width="9.85546875" style="209" customWidth="1"/>
    <col min="10769" max="10769" width="9" style="209" customWidth="1"/>
    <col min="10770" max="10770" width="14.28515625" style="209" customWidth="1"/>
    <col min="10771" max="11008" width="31.28515625" style="209"/>
    <col min="11009" max="11009" width="63.5703125" style="209" bestFit="1" customWidth="1"/>
    <col min="11010" max="11010" width="22.5703125" style="209" bestFit="1" customWidth="1"/>
    <col min="11011" max="11011" width="15.7109375" style="209" customWidth="1"/>
    <col min="11012" max="11012" width="16.140625" style="209" customWidth="1"/>
    <col min="11013" max="11013" width="13.28515625" style="209" customWidth="1"/>
    <col min="11014" max="11014" width="16.7109375" style="209" customWidth="1"/>
    <col min="11015" max="11015" width="12.85546875" style="209" customWidth="1"/>
    <col min="11016" max="11016" width="12.5703125" style="209" bestFit="1" customWidth="1"/>
    <col min="11017" max="11017" width="53.7109375" style="209" bestFit="1" customWidth="1"/>
    <col min="11018" max="11018" width="27.5703125" style="209" bestFit="1" customWidth="1"/>
    <col min="11019" max="11019" width="28.28515625" style="209" customWidth="1"/>
    <col min="11020" max="11020" width="21.7109375" style="209" bestFit="1" customWidth="1"/>
    <col min="11021" max="11021" width="17.7109375" style="209" customWidth="1"/>
    <col min="11022" max="11022" width="47.5703125" style="209" customWidth="1"/>
    <col min="11023" max="11023" width="21.140625" style="209" customWidth="1"/>
    <col min="11024" max="11024" width="9.85546875" style="209" customWidth="1"/>
    <col min="11025" max="11025" width="9" style="209" customWidth="1"/>
    <col min="11026" max="11026" width="14.28515625" style="209" customWidth="1"/>
    <col min="11027" max="11264" width="31.28515625" style="209"/>
    <col min="11265" max="11265" width="63.5703125" style="209" bestFit="1" customWidth="1"/>
    <col min="11266" max="11266" width="22.5703125" style="209" bestFit="1" customWidth="1"/>
    <col min="11267" max="11267" width="15.7109375" style="209" customWidth="1"/>
    <col min="11268" max="11268" width="16.140625" style="209" customWidth="1"/>
    <col min="11269" max="11269" width="13.28515625" style="209" customWidth="1"/>
    <col min="11270" max="11270" width="16.7109375" style="209" customWidth="1"/>
    <col min="11271" max="11271" width="12.85546875" style="209" customWidth="1"/>
    <col min="11272" max="11272" width="12.5703125" style="209" bestFit="1" customWidth="1"/>
    <col min="11273" max="11273" width="53.7109375" style="209" bestFit="1" customWidth="1"/>
    <col min="11274" max="11274" width="27.5703125" style="209" bestFit="1" customWidth="1"/>
    <col min="11275" max="11275" width="28.28515625" style="209" customWidth="1"/>
    <col min="11276" max="11276" width="21.7109375" style="209" bestFit="1" customWidth="1"/>
    <col min="11277" max="11277" width="17.7109375" style="209" customWidth="1"/>
    <col min="11278" max="11278" width="47.5703125" style="209" customWidth="1"/>
    <col min="11279" max="11279" width="21.140625" style="209" customWidth="1"/>
    <col min="11280" max="11280" width="9.85546875" style="209" customWidth="1"/>
    <col min="11281" max="11281" width="9" style="209" customWidth="1"/>
    <col min="11282" max="11282" width="14.28515625" style="209" customWidth="1"/>
    <col min="11283" max="11520" width="31.28515625" style="209"/>
    <col min="11521" max="11521" width="63.5703125" style="209" bestFit="1" customWidth="1"/>
    <col min="11522" max="11522" width="22.5703125" style="209" bestFit="1" customWidth="1"/>
    <col min="11523" max="11523" width="15.7109375" style="209" customWidth="1"/>
    <col min="11524" max="11524" width="16.140625" style="209" customWidth="1"/>
    <col min="11525" max="11525" width="13.28515625" style="209" customWidth="1"/>
    <col min="11526" max="11526" width="16.7109375" style="209" customWidth="1"/>
    <col min="11527" max="11527" width="12.85546875" style="209" customWidth="1"/>
    <col min="11528" max="11528" width="12.5703125" style="209" bestFit="1" customWidth="1"/>
    <col min="11529" max="11529" width="53.7109375" style="209" bestFit="1" customWidth="1"/>
    <col min="11530" max="11530" width="27.5703125" style="209" bestFit="1" customWidth="1"/>
    <col min="11531" max="11531" width="28.28515625" style="209" customWidth="1"/>
    <col min="11532" max="11532" width="21.7109375" style="209" bestFit="1" customWidth="1"/>
    <col min="11533" max="11533" width="17.7109375" style="209" customWidth="1"/>
    <col min="11534" max="11534" width="47.5703125" style="209" customWidth="1"/>
    <col min="11535" max="11535" width="21.140625" style="209" customWidth="1"/>
    <col min="11536" max="11536" width="9.85546875" style="209" customWidth="1"/>
    <col min="11537" max="11537" width="9" style="209" customWidth="1"/>
    <col min="11538" max="11538" width="14.28515625" style="209" customWidth="1"/>
    <col min="11539" max="11776" width="31.28515625" style="209"/>
    <col min="11777" max="11777" width="63.5703125" style="209" bestFit="1" customWidth="1"/>
    <col min="11778" max="11778" width="22.5703125" style="209" bestFit="1" customWidth="1"/>
    <col min="11779" max="11779" width="15.7109375" style="209" customWidth="1"/>
    <col min="11780" max="11780" width="16.140625" style="209" customWidth="1"/>
    <col min="11781" max="11781" width="13.28515625" style="209" customWidth="1"/>
    <col min="11782" max="11782" width="16.7109375" style="209" customWidth="1"/>
    <col min="11783" max="11783" width="12.85546875" style="209" customWidth="1"/>
    <col min="11784" max="11784" width="12.5703125" style="209" bestFit="1" customWidth="1"/>
    <col min="11785" max="11785" width="53.7109375" style="209" bestFit="1" customWidth="1"/>
    <col min="11786" max="11786" width="27.5703125" style="209" bestFit="1" customWidth="1"/>
    <col min="11787" max="11787" width="28.28515625" style="209" customWidth="1"/>
    <col min="11788" max="11788" width="21.7109375" style="209" bestFit="1" customWidth="1"/>
    <col min="11789" max="11789" width="17.7109375" style="209" customWidth="1"/>
    <col min="11790" max="11790" width="47.5703125" style="209" customWidth="1"/>
    <col min="11791" max="11791" width="21.140625" style="209" customWidth="1"/>
    <col min="11792" max="11792" width="9.85546875" style="209" customWidth="1"/>
    <col min="11793" max="11793" width="9" style="209" customWidth="1"/>
    <col min="11794" max="11794" width="14.28515625" style="209" customWidth="1"/>
    <col min="11795" max="12032" width="31.28515625" style="209"/>
    <col min="12033" max="12033" width="63.5703125" style="209" bestFit="1" customWidth="1"/>
    <col min="12034" max="12034" width="22.5703125" style="209" bestFit="1" customWidth="1"/>
    <col min="12035" max="12035" width="15.7109375" style="209" customWidth="1"/>
    <col min="12036" max="12036" width="16.140625" style="209" customWidth="1"/>
    <col min="12037" max="12037" width="13.28515625" style="209" customWidth="1"/>
    <col min="12038" max="12038" width="16.7109375" style="209" customWidth="1"/>
    <col min="12039" max="12039" width="12.85546875" style="209" customWidth="1"/>
    <col min="12040" max="12040" width="12.5703125" style="209" bestFit="1" customWidth="1"/>
    <col min="12041" max="12041" width="53.7109375" style="209" bestFit="1" customWidth="1"/>
    <col min="12042" max="12042" width="27.5703125" style="209" bestFit="1" customWidth="1"/>
    <col min="12043" max="12043" width="28.28515625" style="209" customWidth="1"/>
    <col min="12044" max="12044" width="21.7109375" style="209" bestFit="1" customWidth="1"/>
    <col min="12045" max="12045" width="17.7109375" style="209" customWidth="1"/>
    <col min="12046" max="12046" width="47.5703125" style="209" customWidth="1"/>
    <col min="12047" max="12047" width="21.140625" style="209" customWidth="1"/>
    <col min="12048" max="12048" width="9.85546875" style="209" customWidth="1"/>
    <col min="12049" max="12049" width="9" style="209" customWidth="1"/>
    <col min="12050" max="12050" width="14.28515625" style="209" customWidth="1"/>
    <col min="12051" max="12288" width="31.28515625" style="209"/>
    <col min="12289" max="12289" width="63.5703125" style="209" bestFit="1" customWidth="1"/>
    <col min="12290" max="12290" width="22.5703125" style="209" bestFit="1" customWidth="1"/>
    <col min="12291" max="12291" width="15.7109375" style="209" customWidth="1"/>
    <col min="12292" max="12292" width="16.140625" style="209" customWidth="1"/>
    <col min="12293" max="12293" width="13.28515625" style="209" customWidth="1"/>
    <col min="12294" max="12294" width="16.7109375" style="209" customWidth="1"/>
    <col min="12295" max="12295" width="12.85546875" style="209" customWidth="1"/>
    <col min="12296" max="12296" width="12.5703125" style="209" bestFit="1" customWidth="1"/>
    <col min="12297" max="12297" width="53.7109375" style="209" bestFit="1" customWidth="1"/>
    <col min="12298" max="12298" width="27.5703125" style="209" bestFit="1" customWidth="1"/>
    <col min="12299" max="12299" width="28.28515625" style="209" customWidth="1"/>
    <col min="12300" max="12300" width="21.7109375" style="209" bestFit="1" customWidth="1"/>
    <col min="12301" max="12301" width="17.7109375" style="209" customWidth="1"/>
    <col min="12302" max="12302" width="47.5703125" style="209" customWidth="1"/>
    <col min="12303" max="12303" width="21.140625" style="209" customWidth="1"/>
    <col min="12304" max="12304" width="9.85546875" style="209" customWidth="1"/>
    <col min="12305" max="12305" width="9" style="209" customWidth="1"/>
    <col min="12306" max="12306" width="14.28515625" style="209" customWidth="1"/>
    <col min="12307" max="12544" width="31.28515625" style="209"/>
    <col min="12545" max="12545" width="63.5703125" style="209" bestFit="1" customWidth="1"/>
    <col min="12546" max="12546" width="22.5703125" style="209" bestFit="1" customWidth="1"/>
    <col min="12547" max="12547" width="15.7109375" style="209" customWidth="1"/>
    <col min="12548" max="12548" width="16.140625" style="209" customWidth="1"/>
    <col min="12549" max="12549" width="13.28515625" style="209" customWidth="1"/>
    <col min="12550" max="12550" width="16.7109375" style="209" customWidth="1"/>
    <col min="12551" max="12551" width="12.85546875" style="209" customWidth="1"/>
    <col min="12552" max="12552" width="12.5703125" style="209" bestFit="1" customWidth="1"/>
    <col min="12553" max="12553" width="53.7109375" style="209" bestFit="1" customWidth="1"/>
    <col min="12554" max="12554" width="27.5703125" style="209" bestFit="1" customWidth="1"/>
    <col min="12555" max="12555" width="28.28515625" style="209" customWidth="1"/>
    <col min="12556" max="12556" width="21.7109375" style="209" bestFit="1" customWidth="1"/>
    <col min="12557" max="12557" width="17.7109375" style="209" customWidth="1"/>
    <col min="12558" max="12558" width="47.5703125" style="209" customWidth="1"/>
    <col min="12559" max="12559" width="21.140625" style="209" customWidth="1"/>
    <col min="12560" max="12560" width="9.85546875" style="209" customWidth="1"/>
    <col min="12561" max="12561" width="9" style="209" customWidth="1"/>
    <col min="12562" max="12562" width="14.28515625" style="209" customWidth="1"/>
    <col min="12563" max="12800" width="31.28515625" style="209"/>
    <col min="12801" max="12801" width="63.5703125" style="209" bestFit="1" customWidth="1"/>
    <col min="12802" max="12802" width="22.5703125" style="209" bestFit="1" customWidth="1"/>
    <col min="12803" max="12803" width="15.7109375" style="209" customWidth="1"/>
    <col min="12804" max="12804" width="16.140625" style="209" customWidth="1"/>
    <col min="12805" max="12805" width="13.28515625" style="209" customWidth="1"/>
    <col min="12806" max="12806" width="16.7109375" style="209" customWidth="1"/>
    <col min="12807" max="12807" width="12.85546875" style="209" customWidth="1"/>
    <col min="12808" max="12808" width="12.5703125" style="209" bestFit="1" customWidth="1"/>
    <col min="12809" max="12809" width="53.7109375" style="209" bestFit="1" customWidth="1"/>
    <col min="12810" max="12810" width="27.5703125" style="209" bestFit="1" customWidth="1"/>
    <col min="12811" max="12811" width="28.28515625" style="209" customWidth="1"/>
    <col min="12812" max="12812" width="21.7109375" style="209" bestFit="1" customWidth="1"/>
    <col min="12813" max="12813" width="17.7109375" style="209" customWidth="1"/>
    <col min="12814" max="12814" width="47.5703125" style="209" customWidth="1"/>
    <col min="12815" max="12815" width="21.140625" style="209" customWidth="1"/>
    <col min="12816" max="12816" width="9.85546875" style="209" customWidth="1"/>
    <col min="12817" max="12817" width="9" style="209" customWidth="1"/>
    <col min="12818" max="12818" width="14.28515625" style="209" customWidth="1"/>
    <col min="12819" max="13056" width="31.28515625" style="209"/>
    <col min="13057" max="13057" width="63.5703125" style="209" bestFit="1" customWidth="1"/>
    <col min="13058" max="13058" width="22.5703125" style="209" bestFit="1" customWidth="1"/>
    <col min="13059" max="13059" width="15.7109375" style="209" customWidth="1"/>
    <col min="13060" max="13060" width="16.140625" style="209" customWidth="1"/>
    <col min="13061" max="13061" width="13.28515625" style="209" customWidth="1"/>
    <col min="13062" max="13062" width="16.7109375" style="209" customWidth="1"/>
    <col min="13063" max="13063" width="12.85546875" style="209" customWidth="1"/>
    <col min="13064" max="13064" width="12.5703125" style="209" bestFit="1" customWidth="1"/>
    <col min="13065" max="13065" width="53.7109375" style="209" bestFit="1" customWidth="1"/>
    <col min="13066" max="13066" width="27.5703125" style="209" bestFit="1" customWidth="1"/>
    <col min="13067" max="13067" width="28.28515625" style="209" customWidth="1"/>
    <col min="13068" max="13068" width="21.7109375" style="209" bestFit="1" customWidth="1"/>
    <col min="13069" max="13069" width="17.7109375" style="209" customWidth="1"/>
    <col min="13070" max="13070" width="47.5703125" style="209" customWidth="1"/>
    <col min="13071" max="13071" width="21.140625" style="209" customWidth="1"/>
    <col min="13072" max="13072" width="9.85546875" style="209" customWidth="1"/>
    <col min="13073" max="13073" width="9" style="209" customWidth="1"/>
    <col min="13074" max="13074" width="14.28515625" style="209" customWidth="1"/>
    <col min="13075" max="13312" width="31.28515625" style="209"/>
    <col min="13313" max="13313" width="63.5703125" style="209" bestFit="1" customWidth="1"/>
    <col min="13314" max="13314" width="22.5703125" style="209" bestFit="1" customWidth="1"/>
    <col min="13315" max="13315" width="15.7109375" style="209" customWidth="1"/>
    <col min="13316" max="13316" width="16.140625" style="209" customWidth="1"/>
    <col min="13317" max="13317" width="13.28515625" style="209" customWidth="1"/>
    <col min="13318" max="13318" width="16.7109375" style="209" customWidth="1"/>
    <col min="13319" max="13319" width="12.85546875" style="209" customWidth="1"/>
    <col min="13320" max="13320" width="12.5703125" style="209" bestFit="1" customWidth="1"/>
    <col min="13321" max="13321" width="53.7109375" style="209" bestFit="1" customWidth="1"/>
    <col min="13322" max="13322" width="27.5703125" style="209" bestFit="1" customWidth="1"/>
    <col min="13323" max="13323" width="28.28515625" style="209" customWidth="1"/>
    <col min="13324" max="13324" width="21.7109375" style="209" bestFit="1" customWidth="1"/>
    <col min="13325" max="13325" width="17.7109375" style="209" customWidth="1"/>
    <col min="13326" max="13326" width="47.5703125" style="209" customWidth="1"/>
    <col min="13327" max="13327" width="21.140625" style="209" customWidth="1"/>
    <col min="13328" max="13328" width="9.85546875" style="209" customWidth="1"/>
    <col min="13329" max="13329" width="9" style="209" customWidth="1"/>
    <col min="13330" max="13330" width="14.28515625" style="209" customWidth="1"/>
    <col min="13331" max="13568" width="31.28515625" style="209"/>
    <col min="13569" max="13569" width="63.5703125" style="209" bestFit="1" customWidth="1"/>
    <col min="13570" max="13570" width="22.5703125" style="209" bestFit="1" customWidth="1"/>
    <col min="13571" max="13571" width="15.7109375" style="209" customWidth="1"/>
    <col min="13572" max="13572" width="16.140625" style="209" customWidth="1"/>
    <col min="13573" max="13573" width="13.28515625" style="209" customWidth="1"/>
    <col min="13574" max="13574" width="16.7109375" style="209" customWidth="1"/>
    <col min="13575" max="13575" width="12.85546875" style="209" customWidth="1"/>
    <col min="13576" max="13576" width="12.5703125" style="209" bestFit="1" customWidth="1"/>
    <col min="13577" max="13577" width="53.7109375" style="209" bestFit="1" customWidth="1"/>
    <col min="13578" max="13578" width="27.5703125" style="209" bestFit="1" customWidth="1"/>
    <col min="13579" max="13579" width="28.28515625" style="209" customWidth="1"/>
    <col min="13580" max="13580" width="21.7109375" style="209" bestFit="1" customWidth="1"/>
    <col min="13581" max="13581" width="17.7109375" style="209" customWidth="1"/>
    <col min="13582" max="13582" width="47.5703125" style="209" customWidth="1"/>
    <col min="13583" max="13583" width="21.140625" style="209" customWidth="1"/>
    <col min="13584" max="13584" width="9.85546875" style="209" customWidth="1"/>
    <col min="13585" max="13585" width="9" style="209" customWidth="1"/>
    <col min="13586" max="13586" width="14.28515625" style="209" customWidth="1"/>
    <col min="13587" max="13824" width="31.28515625" style="209"/>
    <col min="13825" max="13825" width="63.5703125" style="209" bestFit="1" customWidth="1"/>
    <col min="13826" max="13826" width="22.5703125" style="209" bestFit="1" customWidth="1"/>
    <col min="13827" max="13827" width="15.7109375" style="209" customWidth="1"/>
    <col min="13828" max="13828" width="16.140625" style="209" customWidth="1"/>
    <col min="13829" max="13829" width="13.28515625" style="209" customWidth="1"/>
    <col min="13830" max="13830" width="16.7109375" style="209" customWidth="1"/>
    <col min="13831" max="13831" width="12.85546875" style="209" customWidth="1"/>
    <col min="13832" max="13832" width="12.5703125" style="209" bestFit="1" customWidth="1"/>
    <col min="13833" max="13833" width="53.7109375" style="209" bestFit="1" customWidth="1"/>
    <col min="13834" max="13834" width="27.5703125" style="209" bestFit="1" customWidth="1"/>
    <col min="13835" max="13835" width="28.28515625" style="209" customWidth="1"/>
    <col min="13836" max="13836" width="21.7109375" style="209" bestFit="1" customWidth="1"/>
    <col min="13837" max="13837" width="17.7109375" style="209" customWidth="1"/>
    <col min="13838" max="13838" width="47.5703125" style="209" customWidth="1"/>
    <col min="13839" max="13839" width="21.140625" style="209" customWidth="1"/>
    <col min="13840" max="13840" width="9.85546875" style="209" customWidth="1"/>
    <col min="13841" max="13841" width="9" style="209" customWidth="1"/>
    <col min="13842" max="13842" width="14.28515625" style="209" customWidth="1"/>
    <col min="13843" max="14080" width="31.28515625" style="209"/>
    <col min="14081" max="14081" width="63.5703125" style="209" bestFit="1" customWidth="1"/>
    <col min="14082" max="14082" width="22.5703125" style="209" bestFit="1" customWidth="1"/>
    <col min="14083" max="14083" width="15.7109375" style="209" customWidth="1"/>
    <col min="14084" max="14084" width="16.140625" style="209" customWidth="1"/>
    <col min="14085" max="14085" width="13.28515625" style="209" customWidth="1"/>
    <col min="14086" max="14086" width="16.7109375" style="209" customWidth="1"/>
    <col min="14087" max="14087" width="12.85546875" style="209" customWidth="1"/>
    <col min="14088" max="14088" width="12.5703125" style="209" bestFit="1" customWidth="1"/>
    <col min="14089" max="14089" width="53.7109375" style="209" bestFit="1" customWidth="1"/>
    <col min="14090" max="14090" width="27.5703125" style="209" bestFit="1" customWidth="1"/>
    <col min="14091" max="14091" width="28.28515625" style="209" customWidth="1"/>
    <col min="14092" max="14092" width="21.7109375" style="209" bestFit="1" customWidth="1"/>
    <col min="14093" max="14093" width="17.7109375" style="209" customWidth="1"/>
    <col min="14094" max="14094" width="47.5703125" style="209" customWidth="1"/>
    <col min="14095" max="14095" width="21.140625" style="209" customWidth="1"/>
    <col min="14096" max="14096" width="9.85546875" style="209" customWidth="1"/>
    <col min="14097" max="14097" width="9" style="209" customWidth="1"/>
    <col min="14098" max="14098" width="14.28515625" style="209" customWidth="1"/>
    <col min="14099" max="14336" width="31.28515625" style="209"/>
    <col min="14337" max="14337" width="63.5703125" style="209" bestFit="1" customWidth="1"/>
    <col min="14338" max="14338" width="22.5703125" style="209" bestFit="1" customWidth="1"/>
    <col min="14339" max="14339" width="15.7109375" style="209" customWidth="1"/>
    <col min="14340" max="14340" width="16.140625" style="209" customWidth="1"/>
    <col min="14341" max="14341" width="13.28515625" style="209" customWidth="1"/>
    <col min="14342" max="14342" width="16.7109375" style="209" customWidth="1"/>
    <col min="14343" max="14343" width="12.85546875" style="209" customWidth="1"/>
    <col min="14344" max="14344" width="12.5703125" style="209" bestFit="1" customWidth="1"/>
    <col min="14345" max="14345" width="53.7109375" style="209" bestFit="1" customWidth="1"/>
    <col min="14346" max="14346" width="27.5703125" style="209" bestFit="1" customWidth="1"/>
    <col min="14347" max="14347" width="28.28515625" style="209" customWidth="1"/>
    <col min="14348" max="14348" width="21.7109375" style="209" bestFit="1" customWidth="1"/>
    <col min="14349" max="14349" width="17.7109375" style="209" customWidth="1"/>
    <col min="14350" max="14350" width="47.5703125" style="209" customWidth="1"/>
    <col min="14351" max="14351" width="21.140625" style="209" customWidth="1"/>
    <col min="14352" max="14352" width="9.85546875" style="209" customWidth="1"/>
    <col min="14353" max="14353" width="9" style="209" customWidth="1"/>
    <col min="14354" max="14354" width="14.28515625" style="209" customWidth="1"/>
    <col min="14355" max="14592" width="31.28515625" style="209"/>
    <col min="14593" max="14593" width="63.5703125" style="209" bestFit="1" customWidth="1"/>
    <col min="14594" max="14594" width="22.5703125" style="209" bestFit="1" customWidth="1"/>
    <col min="14595" max="14595" width="15.7109375" style="209" customWidth="1"/>
    <col min="14596" max="14596" width="16.140625" style="209" customWidth="1"/>
    <col min="14597" max="14597" width="13.28515625" style="209" customWidth="1"/>
    <col min="14598" max="14598" width="16.7109375" style="209" customWidth="1"/>
    <col min="14599" max="14599" width="12.85546875" style="209" customWidth="1"/>
    <col min="14600" max="14600" width="12.5703125" style="209" bestFit="1" customWidth="1"/>
    <col min="14601" max="14601" width="53.7109375" style="209" bestFit="1" customWidth="1"/>
    <col min="14602" max="14602" width="27.5703125" style="209" bestFit="1" customWidth="1"/>
    <col min="14603" max="14603" width="28.28515625" style="209" customWidth="1"/>
    <col min="14604" max="14604" width="21.7109375" style="209" bestFit="1" customWidth="1"/>
    <col min="14605" max="14605" width="17.7109375" style="209" customWidth="1"/>
    <col min="14606" max="14606" width="47.5703125" style="209" customWidth="1"/>
    <col min="14607" max="14607" width="21.140625" style="209" customWidth="1"/>
    <col min="14608" max="14608" width="9.85546875" style="209" customWidth="1"/>
    <col min="14609" max="14609" width="9" style="209" customWidth="1"/>
    <col min="14610" max="14610" width="14.28515625" style="209" customWidth="1"/>
    <col min="14611" max="14848" width="31.28515625" style="209"/>
    <col min="14849" max="14849" width="63.5703125" style="209" bestFit="1" customWidth="1"/>
    <col min="14850" max="14850" width="22.5703125" style="209" bestFit="1" customWidth="1"/>
    <col min="14851" max="14851" width="15.7109375" style="209" customWidth="1"/>
    <col min="14852" max="14852" width="16.140625" style="209" customWidth="1"/>
    <col min="14853" max="14853" width="13.28515625" style="209" customWidth="1"/>
    <col min="14854" max="14854" width="16.7109375" style="209" customWidth="1"/>
    <col min="14855" max="14855" width="12.85546875" style="209" customWidth="1"/>
    <col min="14856" max="14856" width="12.5703125" style="209" bestFit="1" customWidth="1"/>
    <col min="14857" max="14857" width="53.7109375" style="209" bestFit="1" customWidth="1"/>
    <col min="14858" max="14858" width="27.5703125" style="209" bestFit="1" customWidth="1"/>
    <col min="14859" max="14859" width="28.28515625" style="209" customWidth="1"/>
    <col min="14860" max="14860" width="21.7109375" style="209" bestFit="1" customWidth="1"/>
    <col min="14861" max="14861" width="17.7109375" style="209" customWidth="1"/>
    <col min="14862" max="14862" width="47.5703125" style="209" customWidth="1"/>
    <col min="14863" max="14863" width="21.140625" style="209" customWidth="1"/>
    <col min="14864" max="14864" width="9.85546875" style="209" customWidth="1"/>
    <col min="14865" max="14865" width="9" style="209" customWidth="1"/>
    <col min="14866" max="14866" width="14.28515625" style="209" customWidth="1"/>
    <col min="14867" max="15104" width="31.28515625" style="209"/>
    <col min="15105" max="15105" width="63.5703125" style="209" bestFit="1" customWidth="1"/>
    <col min="15106" max="15106" width="22.5703125" style="209" bestFit="1" customWidth="1"/>
    <col min="15107" max="15107" width="15.7109375" style="209" customWidth="1"/>
    <col min="15108" max="15108" width="16.140625" style="209" customWidth="1"/>
    <col min="15109" max="15109" width="13.28515625" style="209" customWidth="1"/>
    <col min="15110" max="15110" width="16.7109375" style="209" customWidth="1"/>
    <col min="15111" max="15111" width="12.85546875" style="209" customWidth="1"/>
    <col min="15112" max="15112" width="12.5703125" style="209" bestFit="1" customWidth="1"/>
    <col min="15113" max="15113" width="53.7109375" style="209" bestFit="1" customWidth="1"/>
    <col min="15114" max="15114" width="27.5703125" style="209" bestFit="1" customWidth="1"/>
    <col min="15115" max="15115" width="28.28515625" style="209" customWidth="1"/>
    <col min="15116" max="15116" width="21.7109375" style="209" bestFit="1" customWidth="1"/>
    <col min="15117" max="15117" width="17.7109375" style="209" customWidth="1"/>
    <col min="15118" max="15118" width="47.5703125" style="209" customWidth="1"/>
    <col min="15119" max="15119" width="21.140625" style="209" customWidth="1"/>
    <col min="15120" max="15120" width="9.85546875" style="209" customWidth="1"/>
    <col min="15121" max="15121" width="9" style="209" customWidth="1"/>
    <col min="15122" max="15122" width="14.28515625" style="209" customWidth="1"/>
    <col min="15123" max="15360" width="31.28515625" style="209"/>
    <col min="15361" max="15361" width="63.5703125" style="209" bestFit="1" customWidth="1"/>
    <col min="15362" max="15362" width="22.5703125" style="209" bestFit="1" customWidth="1"/>
    <col min="15363" max="15363" width="15.7109375" style="209" customWidth="1"/>
    <col min="15364" max="15364" width="16.140625" style="209" customWidth="1"/>
    <col min="15365" max="15365" width="13.28515625" style="209" customWidth="1"/>
    <col min="15366" max="15366" width="16.7109375" style="209" customWidth="1"/>
    <col min="15367" max="15367" width="12.85546875" style="209" customWidth="1"/>
    <col min="15368" max="15368" width="12.5703125" style="209" bestFit="1" customWidth="1"/>
    <col min="15369" max="15369" width="53.7109375" style="209" bestFit="1" customWidth="1"/>
    <col min="15370" max="15370" width="27.5703125" style="209" bestFit="1" customWidth="1"/>
    <col min="15371" max="15371" width="28.28515625" style="209" customWidth="1"/>
    <col min="15372" max="15372" width="21.7109375" style="209" bestFit="1" customWidth="1"/>
    <col min="15373" max="15373" width="17.7109375" style="209" customWidth="1"/>
    <col min="15374" max="15374" width="47.5703125" style="209" customWidth="1"/>
    <col min="15375" max="15375" width="21.140625" style="209" customWidth="1"/>
    <col min="15376" max="15376" width="9.85546875" style="209" customWidth="1"/>
    <col min="15377" max="15377" width="9" style="209" customWidth="1"/>
    <col min="15378" max="15378" width="14.28515625" style="209" customWidth="1"/>
    <col min="15379" max="15616" width="31.28515625" style="209"/>
    <col min="15617" max="15617" width="63.5703125" style="209" bestFit="1" customWidth="1"/>
    <col min="15618" max="15618" width="22.5703125" style="209" bestFit="1" customWidth="1"/>
    <col min="15619" max="15619" width="15.7109375" style="209" customWidth="1"/>
    <col min="15620" max="15620" width="16.140625" style="209" customWidth="1"/>
    <col min="15621" max="15621" width="13.28515625" style="209" customWidth="1"/>
    <col min="15622" max="15622" width="16.7109375" style="209" customWidth="1"/>
    <col min="15623" max="15623" width="12.85546875" style="209" customWidth="1"/>
    <col min="15624" max="15624" width="12.5703125" style="209" bestFit="1" customWidth="1"/>
    <col min="15625" max="15625" width="53.7109375" style="209" bestFit="1" customWidth="1"/>
    <col min="15626" max="15626" width="27.5703125" style="209" bestFit="1" customWidth="1"/>
    <col min="15627" max="15627" width="28.28515625" style="209" customWidth="1"/>
    <col min="15628" max="15628" width="21.7109375" style="209" bestFit="1" customWidth="1"/>
    <col min="15629" max="15629" width="17.7109375" style="209" customWidth="1"/>
    <col min="15630" max="15630" width="47.5703125" style="209" customWidth="1"/>
    <col min="15631" max="15631" width="21.140625" style="209" customWidth="1"/>
    <col min="15632" max="15632" width="9.85546875" style="209" customWidth="1"/>
    <col min="15633" max="15633" width="9" style="209" customWidth="1"/>
    <col min="15634" max="15634" width="14.28515625" style="209" customWidth="1"/>
    <col min="15635" max="15872" width="31.28515625" style="209"/>
    <col min="15873" max="15873" width="63.5703125" style="209" bestFit="1" customWidth="1"/>
    <col min="15874" max="15874" width="22.5703125" style="209" bestFit="1" customWidth="1"/>
    <col min="15875" max="15875" width="15.7109375" style="209" customWidth="1"/>
    <col min="15876" max="15876" width="16.140625" style="209" customWidth="1"/>
    <col min="15877" max="15877" width="13.28515625" style="209" customWidth="1"/>
    <col min="15878" max="15878" width="16.7109375" style="209" customWidth="1"/>
    <col min="15879" max="15879" width="12.85546875" style="209" customWidth="1"/>
    <col min="15880" max="15880" width="12.5703125" style="209" bestFit="1" customWidth="1"/>
    <col min="15881" max="15881" width="53.7109375" style="209" bestFit="1" customWidth="1"/>
    <col min="15882" max="15882" width="27.5703125" style="209" bestFit="1" customWidth="1"/>
    <col min="15883" max="15883" width="28.28515625" style="209" customWidth="1"/>
    <col min="15884" max="15884" width="21.7109375" style="209" bestFit="1" customWidth="1"/>
    <col min="15885" max="15885" width="17.7109375" style="209" customWidth="1"/>
    <col min="15886" max="15886" width="47.5703125" style="209" customWidth="1"/>
    <col min="15887" max="15887" width="21.140625" style="209" customWidth="1"/>
    <col min="15888" max="15888" width="9.85546875" style="209" customWidth="1"/>
    <col min="15889" max="15889" width="9" style="209" customWidth="1"/>
    <col min="15890" max="15890" width="14.28515625" style="209" customWidth="1"/>
    <col min="15891" max="16128" width="31.28515625" style="209"/>
    <col min="16129" max="16129" width="63.5703125" style="209" bestFit="1" customWidth="1"/>
    <col min="16130" max="16130" width="22.5703125" style="209" bestFit="1" customWidth="1"/>
    <col min="16131" max="16131" width="15.7109375" style="209" customWidth="1"/>
    <col min="16132" max="16132" width="16.140625" style="209" customWidth="1"/>
    <col min="16133" max="16133" width="13.28515625" style="209" customWidth="1"/>
    <col min="16134" max="16134" width="16.7109375" style="209" customWidth="1"/>
    <col min="16135" max="16135" width="12.85546875" style="209" customWidth="1"/>
    <col min="16136" max="16136" width="12.5703125" style="209" bestFit="1" customWidth="1"/>
    <col min="16137" max="16137" width="53.7109375" style="209" bestFit="1" customWidth="1"/>
    <col min="16138" max="16138" width="27.5703125" style="209" bestFit="1" customWidth="1"/>
    <col min="16139" max="16139" width="28.28515625" style="209" customWidth="1"/>
    <col min="16140" max="16140" width="21.7109375" style="209" bestFit="1" customWidth="1"/>
    <col min="16141" max="16141" width="17.7109375" style="209" customWidth="1"/>
    <col min="16142" max="16142" width="47.5703125" style="209" customWidth="1"/>
    <col min="16143" max="16143" width="21.140625" style="209" customWidth="1"/>
    <col min="16144" max="16144" width="9.85546875" style="209" customWidth="1"/>
    <col min="16145" max="16145" width="9" style="209" customWidth="1"/>
    <col min="16146" max="16146" width="14.28515625" style="209" customWidth="1"/>
    <col min="16147" max="16384" width="31.28515625" style="209"/>
  </cols>
  <sheetData>
    <row r="1" spans="1:18" s="196" customFormat="1" ht="14.1" customHeight="1" thickBot="1" x14ac:dyDescent="0.25">
      <c r="A1" s="196" t="s">
        <v>1013</v>
      </c>
      <c r="B1" s="196" t="s">
        <v>1014</v>
      </c>
      <c r="C1" s="197" t="s">
        <v>1015</v>
      </c>
      <c r="D1" s="196" t="s">
        <v>1016</v>
      </c>
      <c r="E1" s="198" t="s">
        <v>1017</v>
      </c>
      <c r="F1" s="198" t="s">
        <v>1018</v>
      </c>
      <c r="G1" s="198" t="s">
        <v>1019</v>
      </c>
      <c r="H1" s="198" t="s">
        <v>1020</v>
      </c>
      <c r="I1" s="196" t="s">
        <v>1021</v>
      </c>
      <c r="J1" s="196" t="s">
        <v>1022</v>
      </c>
      <c r="K1" s="196" t="s">
        <v>1023</v>
      </c>
      <c r="L1" s="196" t="s">
        <v>418</v>
      </c>
      <c r="M1" s="196" t="s">
        <v>1024</v>
      </c>
      <c r="N1" s="196" t="s">
        <v>511</v>
      </c>
      <c r="O1" s="196" t="s">
        <v>1025</v>
      </c>
      <c r="P1" s="197" t="s">
        <v>512</v>
      </c>
      <c r="Q1" s="197" t="s">
        <v>513</v>
      </c>
      <c r="R1" s="197" t="s">
        <v>1026</v>
      </c>
    </row>
    <row r="2" spans="1:18" s="201" customFormat="1" x14ac:dyDescent="0.2">
      <c r="A2" s="199" t="s">
        <v>407</v>
      </c>
      <c r="B2" s="199" t="s">
        <v>1027</v>
      </c>
      <c r="C2" s="200">
        <v>45384</v>
      </c>
      <c r="D2" s="201" t="s">
        <v>152</v>
      </c>
      <c r="E2" s="202">
        <v>2206769</v>
      </c>
      <c r="F2" s="202">
        <v>220677</v>
      </c>
      <c r="G2" s="202">
        <v>22068</v>
      </c>
      <c r="H2" s="202">
        <f t="shared" ref="H2:H65" si="0">E2+G2-F2</f>
        <v>2008160</v>
      </c>
      <c r="I2" s="199" t="s">
        <v>408</v>
      </c>
      <c r="J2" s="199" t="s">
        <v>29</v>
      </c>
      <c r="K2" s="201" t="s">
        <v>1028</v>
      </c>
      <c r="L2" s="199" t="s">
        <v>1029</v>
      </c>
      <c r="M2" s="201" t="s">
        <v>1030</v>
      </c>
      <c r="N2" s="199" t="s">
        <v>652</v>
      </c>
      <c r="O2" s="199" t="s">
        <v>652</v>
      </c>
      <c r="P2" s="203" t="s">
        <v>987</v>
      </c>
      <c r="Q2" s="204" t="s">
        <v>988</v>
      </c>
      <c r="R2" s="204" t="s">
        <v>1031</v>
      </c>
    </row>
    <row r="3" spans="1:18" x14ac:dyDescent="0.2">
      <c r="A3" s="205" t="s">
        <v>439</v>
      </c>
      <c r="B3" s="205" t="s">
        <v>1032</v>
      </c>
      <c r="C3" s="200">
        <v>45384</v>
      </c>
      <c r="D3" s="201" t="s">
        <v>152</v>
      </c>
      <c r="E3" s="206">
        <v>825298</v>
      </c>
      <c r="F3" s="206">
        <v>82530</v>
      </c>
      <c r="G3" s="206">
        <v>8253</v>
      </c>
      <c r="H3" s="202">
        <f t="shared" si="0"/>
        <v>751021</v>
      </c>
      <c r="I3" s="205" t="s">
        <v>1033</v>
      </c>
      <c r="J3" s="205" t="s">
        <v>29</v>
      </c>
      <c r="K3" s="201" t="s">
        <v>1028</v>
      </c>
      <c r="L3" s="205" t="s">
        <v>1034</v>
      </c>
      <c r="M3" s="201" t="s">
        <v>1030</v>
      </c>
      <c r="N3" s="205" t="s">
        <v>652</v>
      </c>
      <c r="O3" s="205" t="s">
        <v>652</v>
      </c>
      <c r="P3" s="207" t="s">
        <v>1035</v>
      </c>
      <c r="Q3" s="208" t="s">
        <v>1036</v>
      </c>
      <c r="R3" s="208" t="s">
        <v>1037</v>
      </c>
    </row>
    <row r="4" spans="1:18" s="205" customFormat="1" x14ac:dyDescent="0.2">
      <c r="A4" s="205" t="s">
        <v>1038</v>
      </c>
      <c r="B4" s="205" t="s">
        <v>1039</v>
      </c>
      <c r="C4" s="200">
        <v>45384</v>
      </c>
      <c r="D4" s="201" t="s">
        <v>152</v>
      </c>
      <c r="E4" s="206">
        <v>5807837</v>
      </c>
      <c r="F4" s="206">
        <v>580784</v>
      </c>
      <c r="G4" s="206">
        <v>58078</v>
      </c>
      <c r="H4" s="202">
        <f t="shared" si="0"/>
        <v>5285131</v>
      </c>
      <c r="I4" s="205" t="s">
        <v>1040</v>
      </c>
      <c r="J4" s="205" t="s">
        <v>29</v>
      </c>
      <c r="K4" s="201" t="s">
        <v>1028</v>
      </c>
      <c r="L4" s="205" t="s">
        <v>1041</v>
      </c>
      <c r="M4" s="201" t="s">
        <v>1030</v>
      </c>
      <c r="N4" s="205" t="s">
        <v>652</v>
      </c>
      <c r="O4" s="205" t="s">
        <v>652</v>
      </c>
      <c r="P4" s="207" t="s">
        <v>987</v>
      </c>
      <c r="Q4" s="208" t="s">
        <v>988</v>
      </c>
      <c r="R4" s="208" t="s">
        <v>1037</v>
      </c>
    </row>
    <row r="5" spans="1:18" s="205" customFormat="1" x14ac:dyDescent="0.2">
      <c r="A5" s="205" t="s">
        <v>75</v>
      </c>
      <c r="B5" s="205" t="s">
        <v>590</v>
      </c>
      <c r="C5" s="200">
        <v>45384</v>
      </c>
      <c r="D5" s="201" t="s">
        <v>152</v>
      </c>
      <c r="E5" s="206">
        <v>27431</v>
      </c>
      <c r="F5" s="206">
        <v>0</v>
      </c>
      <c r="G5" s="206">
        <v>0</v>
      </c>
      <c r="H5" s="202">
        <f t="shared" si="0"/>
        <v>27431</v>
      </c>
      <c r="I5" s="205" t="s">
        <v>76</v>
      </c>
      <c r="J5" s="205" t="s">
        <v>29</v>
      </c>
      <c r="K5" s="201" t="s">
        <v>1042</v>
      </c>
      <c r="L5" s="205" t="s">
        <v>1043</v>
      </c>
      <c r="M5" s="201" t="s">
        <v>1030</v>
      </c>
      <c r="N5" s="205" t="s">
        <v>652</v>
      </c>
      <c r="O5" s="205" t="s">
        <v>652</v>
      </c>
      <c r="P5" s="207" t="s">
        <v>653</v>
      </c>
      <c r="Q5" s="208" t="s">
        <v>654</v>
      </c>
      <c r="R5" s="208" t="s">
        <v>1037</v>
      </c>
    </row>
    <row r="6" spans="1:18" s="205" customFormat="1" x14ac:dyDescent="0.2">
      <c r="A6" s="205" t="s">
        <v>183</v>
      </c>
      <c r="B6" s="205" t="s">
        <v>298</v>
      </c>
      <c r="C6" s="200">
        <v>45384</v>
      </c>
      <c r="D6" s="201" t="s">
        <v>152</v>
      </c>
      <c r="E6" s="206">
        <v>6446</v>
      </c>
      <c r="F6" s="206">
        <v>645</v>
      </c>
      <c r="G6" s="206">
        <v>64</v>
      </c>
      <c r="H6" s="202">
        <f t="shared" si="0"/>
        <v>5865</v>
      </c>
      <c r="I6" s="205" t="s">
        <v>31</v>
      </c>
      <c r="J6" s="205" t="s">
        <v>29</v>
      </c>
      <c r="K6" s="201" t="s">
        <v>1042</v>
      </c>
      <c r="L6" s="205" t="s">
        <v>1044</v>
      </c>
      <c r="M6" s="201" t="s">
        <v>1030</v>
      </c>
      <c r="N6" s="205" t="s">
        <v>652</v>
      </c>
      <c r="O6" s="205" t="s">
        <v>652</v>
      </c>
      <c r="P6" s="207" t="s">
        <v>724</v>
      </c>
      <c r="Q6" s="208" t="s">
        <v>725</v>
      </c>
      <c r="R6" s="208" t="s">
        <v>1037</v>
      </c>
    </row>
    <row r="7" spans="1:18" s="205" customFormat="1" x14ac:dyDescent="0.2">
      <c r="A7" s="205" t="s">
        <v>558</v>
      </c>
      <c r="B7" s="205" t="s">
        <v>559</v>
      </c>
      <c r="C7" s="200">
        <v>45384</v>
      </c>
      <c r="D7" s="201" t="s">
        <v>152</v>
      </c>
      <c r="E7" s="206">
        <v>75622</v>
      </c>
      <c r="F7" s="206">
        <v>7562</v>
      </c>
      <c r="G7" s="206">
        <v>756</v>
      </c>
      <c r="H7" s="202">
        <f t="shared" si="0"/>
        <v>68816</v>
      </c>
      <c r="I7" s="205" t="s">
        <v>31</v>
      </c>
      <c r="J7" s="205" t="s">
        <v>29</v>
      </c>
      <c r="K7" s="201" t="s">
        <v>1042</v>
      </c>
      <c r="L7" s="205" t="s">
        <v>1045</v>
      </c>
      <c r="M7" s="201" t="s">
        <v>1030</v>
      </c>
      <c r="N7" s="205" t="s">
        <v>1046</v>
      </c>
      <c r="O7" s="205" t="s">
        <v>1047</v>
      </c>
      <c r="P7" s="207" t="s">
        <v>653</v>
      </c>
      <c r="Q7" s="208" t="s">
        <v>654</v>
      </c>
      <c r="R7" s="208" t="s">
        <v>1037</v>
      </c>
    </row>
    <row r="8" spans="1:18" s="205" customFormat="1" x14ac:dyDescent="0.2">
      <c r="A8" s="205" t="s">
        <v>1048</v>
      </c>
      <c r="B8" s="205" t="s">
        <v>181</v>
      </c>
      <c r="C8" s="200">
        <v>45384</v>
      </c>
      <c r="D8" s="201" t="s">
        <v>152</v>
      </c>
      <c r="E8" s="206">
        <v>56090</v>
      </c>
      <c r="F8" s="206">
        <v>5609</v>
      </c>
      <c r="G8" s="206">
        <v>561</v>
      </c>
      <c r="H8" s="202">
        <f t="shared" si="0"/>
        <v>51042</v>
      </c>
      <c r="I8" s="205" t="s">
        <v>46</v>
      </c>
      <c r="J8" s="205" t="s">
        <v>29</v>
      </c>
      <c r="K8" s="201" t="s">
        <v>1028</v>
      </c>
      <c r="L8" s="205" t="s">
        <v>1049</v>
      </c>
      <c r="M8" s="199" t="s">
        <v>1030</v>
      </c>
      <c r="N8" s="205" t="s">
        <v>652</v>
      </c>
      <c r="O8" s="205" t="s">
        <v>652</v>
      </c>
      <c r="P8" s="207" t="s">
        <v>786</v>
      </c>
      <c r="Q8" s="208" t="s">
        <v>962</v>
      </c>
      <c r="R8" s="208" t="s">
        <v>1037</v>
      </c>
    </row>
    <row r="9" spans="1:18" s="205" customFormat="1" x14ac:dyDescent="0.2">
      <c r="A9" s="205" t="s">
        <v>64</v>
      </c>
      <c r="B9" s="205" t="s">
        <v>514</v>
      </c>
      <c r="C9" s="200">
        <v>45384</v>
      </c>
      <c r="D9" s="201" t="s">
        <v>152</v>
      </c>
      <c r="E9" s="206">
        <v>118875</v>
      </c>
      <c r="F9" s="206">
        <v>11888</v>
      </c>
      <c r="G9" s="206">
        <v>1189</v>
      </c>
      <c r="H9" s="202">
        <f t="shared" si="0"/>
        <v>108176</v>
      </c>
      <c r="I9" s="205" t="s">
        <v>31</v>
      </c>
      <c r="J9" s="205" t="s">
        <v>29</v>
      </c>
      <c r="K9" s="201" t="s">
        <v>1042</v>
      </c>
      <c r="L9" s="205" t="s">
        <v>1050</v>
      </c>
      <c r="M9" s="201" t="s">
        <v>1030</v>
      </c>
      <c r="N9" s="205" t="s">
        <v>652</v>
      </c>
      <c r="O9" s="205" t="s">
        <v>652</v>
      </c>
      <c r="P9" s="207" t="s">
        <v>653</v>
      </c>
      <c r="Q9" s="208" t="s">
        <v>654</v>
      </c>
      <c r="R9" s="208" t="s">
        <v>1037</v>
      </c>
    </row>
    <row r="10" spans="1:18" s="205" customFormat="1" x14ac:dyDescent="0.2">
      <c r="A10" s="205" t="s">
        <v>456</v>
      </c>
      <c r="B10" s="205" t="s">
        <v>493</v>
      </c>
      <c r="C10" s="200">
        <v>45384</v>
      </c>
      <c r="D10" s="201" t="s">
        <v>152</v>
      </c>
      <c r="E10" s="206">
        <v>27241</v>
      </c>
      <c r="F10" s="206">
        <v>2724</v>
      </c>
      <c r="G10" s="206">
        <v>272</v>
      </c>
      <c r="H10" s="202">
        <f t="shared" si="0"/>
        <v>24789</v>
      </c>
      <c r="I10" s="205" t="s">
        <v>28</v>
      </c>
      <c r="J10" s="205" t="s">
        <v>29</v>
      </c>
      <c r="K10" s="201" t="s">
        <v>1042</v>
      </c>
      <c r="L10" s="205" t="s">
        <v>1051</v>
      </c>
      <c r="M10" s="199" t="s">
        <v>1030</v>
      </c>
      <c r="N10" s="205" t="s">
        <v>652</v>
      </c>
      <c r="O10" s="205" t="s">
        <v>652</v>
      </c>
      <c r="P10" s="207" t="s">
        <v>885</v>
      </c>
      <c r="Q10" s="208" t="s">
        <v>886</v>
      </c>
      <c r="R10" s="208" t="s">
        <v>1037</v>
      </c>
    </row>
    <row r="11" spans="1:18" s="205" customFormat="1" x14ac:dyDescent="0.2">
      <c r="A11" s="205" t="s">
        <v>357</v>
      </c>
      <c r="B11" s="205" t="s">
        <v>1052</v>
      </c>
      <c r="C11" s="200">
        <v>45384</v>
      </c>
      <c r="D11" s="201" t="s">
        <v>152</v>
      </c>
      <c r="E11" s="206">
        <v>1798475</v>
      </c>
      <c r="F11" s="206">
        <v>179847</v>
      </c>
      <c r="G11" s="206">
        <v>8992</v>
      </c>
      <c r="H11" s="202">
        <f t="shared" si="0"/>
        <v>1627620</v>
      </c>
      <c r="I11" s="205" t="s">
        <v>74</v>
      </c>
      <c r="J11" s="205" t="s">
        <v>23</v>
      </c>
      <c r="K11" s="201" t="s">
        <v>1028</v>
      </c>
      <c r="L11" s="205" t="s">
        <v>1053</v>
      </c>
      <c r="M11" s="201" t="s">
        <v>1030</v>
      </c>
      <c r="N11" s="205" t="s">
        <v>652</v>
      </c>
      <c r="O11" s="205" t="s">
        <v>652</v>
      </c>
      <c r="P11" s="207" t="s">
        <v>987</v>
      </c>
      <c r="Q11" s="208" t="s">
        <v>988</v>
      </c>
      <c r="R11" s="208" t="s">
        <v>1037</v>
      </c>
    </row>
    <row r="12" spans="1:18" s="205" customFormat="1" x14ac:dyDescent="0.2">
      <c r="A12" s="205" t="s">
        <v>412</v>
      </c>
      <c r="B12" s="205" t="s">
        <v>1054</v>
      </c>
      <c r="C12" s="200">
        <v>45384</v>
      </c>
      <c r="D12" s="201" t="s">
        <v>152</v>
      </c>
      <c r="E12" s="206">
        <v>3704410</v>
      </c>
      <c r="F12" s="206">
        <v>370441</v>
      </c>
      <c r="G12" s="206">
        <v>18522</v>
      </c>
      <c r="H12" s="202">
        <f t="shared" si="0"/>
        <v>3352491</v>
      </c>
      <c r="I12" s="205" t="s">
        <v>38</v>
      </c>
      <c r="J12" s="205" t="s">
        <v>23</v>
      </c>
      <c r="K12" s="201" t="s">
        <v>1028</v>
      </c>
      <c r="L12" s="205" t="s">
        <v>1055</v>
      </c>
      <c r="M12" s="201" t="s">
        <v>1030</v>
      </c>
      <c r="N12" s="205" t="s">
        <v>652</v>
      </c>
      <c r="O12" s="205" t="s">
        <v>652</v>
      </c>
      <c r="P12" s="207" t="s">
        <v>987</v>
      </c>
      <c r="Q12" s="208" t="s">
        <v>988</v>
      </c>
      <c r="R12" s="208" t="s">
        <v>1037</v>
      </c>
    </row>
    <row r="13" spans="1:18" s="205" customFormat="1" x14ac:dyDescent="0.2">
      <c r="A13" s="205" t="s">
        <v>1056</v>
      </c>
      <c r="B13" s="205" t="s">
        <v>1057</v>
      </c>
      <c r="C13" s="200">
        <v>45384</v>
      </c>
      <c r="D13" s="201" t="s">
        <v>152</v>
      </c>
      <c r="E13" s="206">
        <v>2126667</v>
      </c>
      <c r="F13" s="206">
        <v>212667</v>
      </c>
      <c r="G13" s="206">
        <v>10633</v>
      </c>
      <c r="H13" s="202">
        <f t="shared" si="0"/>
        <v>1924633</v>
      </c>
      <c r="I13" s="205" t="s">
        <v>44</v>
      </c>
      <c r="J13" s="205" t="s">
        <v>23</v>
      </c>
      <c r="K13" s="201" t="s">
        <v>1058</v>
      </c>
      <c r="L13" s="205" t="s">
        <v>1059</v>
      </c>
      <c r="M13" s="201" t="s">
        <v>1030</v>
      </c>
      <c r="N13" s="205" t="s">
        <v>1060</v>
      </c>
      <c r="O13" s="205" t="s">
        <v>1061</v>
      </c>
      <c r="P13" s="207" t="s">
        <v>987</v>
      </c>
      <c r="Q13" s="208" t="s">
        <v>988</v>
      </c>
      <c r="R13" s="208" t="s">
        <v>1037</v>
      </c>
    </row>
    <row r="14" spans="1:18" s="205" customFormat="1" x14ac:dyDescent="0.2">
      <c r="A14" s="205" t="s">
        <v>221</v>
      </c>
      <c r="B14" s="205" t="s">
        <v>1062</v>
      </c>
      <c r="C14" s="200">
        <v>45384</v>
      </c>
      <c r="D14" s="201" t="s">
        <v>152</v>
      </c>
      <c r="E14" s="206">
        <v>10769026</v>
      </c>
      <c r="F14" s="206">
        <v>1076903</v>
      </c>
      <c r="G14" s="206">
        <v>53845</v>
      </c>
      <c r="H14" s="202">
        <f t="shared" si="0"/>
        <v>9745968</v>
      </c>
      <c r="I14" s="205" t="s">
        <v>224</v>
      </c>
      <c r="J14" s="205" t="s">
        <v>23</v>
      </c>
      <c r="K14" s="201" t="s">
        <v>1028</v>
      </c>
      <c r="L14" s="205" t="s">
        <v>1063</v>
      </c>
      <c r="M14" s="201" t="s">
        <v>1030</v>
      </c>
      <c r="N14" s="205" t="s">
        <v>652</v>
      </c>
      <c r="O14" s="205" t="s">
        <v>652</v>
      </c>
      <c r="P14" s="207" t="s">
        <v>987</v>
      </c>
      <c r="Q14" s="208" t="s">
        <v>988</v>
      </c>
      <c r="R14" s="208" t="s">
        <v>1037</v>
      </c>
    </row>
    <row r="15" spans="1:18" s="205" customFormat="1" x14ac:dyDescent="0.2">
      <c r="A15" s="205" t="s">
        <v>537</v>
      </c>
      <c r="B15" s="205" t="s">
        <v>538</v>
      </c>
      <c r="C15" s="200">
        <v>45384</v>
      </c>
      <c r="D15" s="201" t="s">
        <v>152</v>
      </c>
      <c r="E15" s="206">
        <v>9813</v>
      </c>
      <c r="F15" s="206">
        <v>981</v>
      </c>
      <c r="G15" s="206">
        <v>49</v>
      </c>
      <c r="H15" s="202">
        <f t="shared" si="0"/>
        <v>8881</v>
      </c>
      <c r="I15" s="205" t="s">
        <v>344</v>
      </c>
      <c r="J15" s="205" t="s">
        <v>23</v>
      </c>
      <c r="K15" s="201" t="s">
        <v>1042</v>
      </c>
      <c r="L15" s="205" t="s">
        <v>1064</v>
      </c>
      <c r="M15" s="201" t="s">
        <v>1030</v>
      </c>
      <c r="N15" s="205" t="s">
        <v>1065</v>
      </c>
      <c r="O15" s="205" t="s">
        <v>1066</v>
      </c>
      <c r="P15" s="207" t="s">
        <v>688</v>
      </c>
      <c r="Q15" s="208" t="s">
        <v>689</v>
      </c>
      <c r="R15" s="208" t="s">
        <v>1037</v>
      </c>
    </row>
    <row r="16" spans="1:18" s="205" customFormat="1" x14ac:dyDescent="0.2">
      <c r="A16" s="205" t="s">
        <v>1067</v>
      </c>
      <c r="B16" s="205" t="s">
        <v>229</v>
      </c>
      <c r="C16" s="200">
        <v>45384</v>
      </c>
      <c r="D16" s="199" t="s">
        <v>166</v>
      </c>
      <c r="E16" s="206">
        <v>-39057</v>
      </c>
      <c r="F16" s="206">
        <v>-3906</v>
      </c>
      <c r="G16" s="206">
        <v>-195</v>
      </c>
      <c r="H16" s="202">
        <f t="shared" si="0"/>
        <v>-35346</v>
      </c>
      <c r="I16" s="205" t="s">
        <v>38</v>
      </c>
      <c r="J16" s="205" t="s">
        <v>23</v>
      </c>
      <c r="K16" s="201" t="s">
        <v>1068</v>
      </c>
      <c r="L16" s="205" t="s">
        <v>1069</v>
      </c>
      <c r="M16" s="201" t="s">
        <v>1030</v>
      </c>
      <c r="N16" s="205" t="s">
        <v>652</v>
      </c>
      <c r="O16" s="205" t="s">
        <v>652</v>
      </c>
      <c r="P16" s="207" t="s">
        <v>701</v>
      </c>
      <c r="Q16" s="208" t="s">
        <v>811</v>
      </c>
      <c r="R16" s="208" t="s">
        <v>1037</v>
      </c>
    </row>
    <row r="17" spans="1:18" s="205" customFormat="1" x14ac:dyDescent="0.2">
      <c r="A17" s="205" t="s">
        <v>221</v>
      </c>
      <c r="B17" s="205" t="s">
        <v>228</v>
      </c>
      <c r="C17" s="200">
        <v>45384</v>
      </c>
      <c r="D17" s="199" t="s">
        <v>166</v>
      </c>
      <c r="E17" s="206">
        <v>-69141</v>
      </c>
      <c r="F17" s="206">
        <v>-6914</v>
      </c>
      <c r="G17" s="206">
        <v>-346</v>
      </c>
      <c r="H17" s="202">
        <f t="shared" si="0"/>
        <v>-62573</v>
      </c>
      <c r="I17" s="205" t="s">
        <v>224</v>
      </c>
      <c r="J17" s="205" t="s">
        <v>23</v>
      </c>
      <c r="K17" s="201" t="s">
        <v>1068</v>
      </c>
      <c r="L17" s="205" t="s">
        <v>1070</v>
      </c>
      <c r="M17" s="201" t="s">
        <v>1030</v>
      </c>
      <c r="N17" s="205" t="s">
        <v>652</v>
      </c>
      <c r="O17" s="205" t="s">
        <v>652</v>
      </c>
      <c r="P17" s="207" t="s">
        <v>664</v>
      </c>
      <c r="Q17" s="208" t="s">
        <v>665</v>
      </c>
      <c r="R17" s="208" t="s">
        <v>1037</v>
      </c>
    </row>
    <row r="18" spans="1:18" s="205" customFormat="1" x14ac:dyDescent="0.2">
      <c r="A18" s="209" t="s">
        <v>946</v>
      </c>
      <c r="B18" s="209" t="s">
        <v>947</v>
      </c>
      <c r="C18" s="210">
        <v>45384</v>
      </c>
      <c r="D18" s="201" t="s">
        <v>152</v>
      </c>
      <c r="E18" s="211">
        <v>101969</v>
      </c>
      <c r="F18" s="211">
        <v>0</v>
      </c>
      <c r="G18" s="211">
        <v>0</v>
      </c>
      <c r="H18" s="202">
        <f t="shared" si="0"/>
        <v>101969</v>
      </c>
      <c r="I18" s="209" t="s">
        <v>25</v>
      </c>
      <c r="J18" s="209" t="s">
        <v>214</v>
      </c>
      <c r="K18" s="201" t="s">
        <v>1042</v>
      </c>
      <c r="L18" s="209" t="s">
        <v>1071</v>
      </c>
      <c r="M18" s="201" t="s">
        <v>1072</v>
      </c>
      <c r="N18" s="209" t="s">
        <v>1073</v>
      </c>
      <c r="O18" s="209" t="s">
        <v>1074</v>
      </c>
      <c r="P18" s="212" t="s">
        <v>874</v>
      </c>
      <c r="Q18" s="213" t="s">
        <v>945</v>
      </c>
      <c r="R18" s="213" t="s">
        <v>1037</v>
      </c>
    </row>
    <row r="19" spans="1:18" s="205" customFormat="1" x14ac:dyDescent="0.2">
      <c r="A19" s="209" t="s">
        <v>148</v>
      </c>
      <c r="B19" s="209" t="s">
        <v>270</v>
      </c>
      <c r="C19" s="210">
        <v>45384</v>
      </c>
      <c r="D19" s="201" t="s">
        <v>152</v>
      </c>
      <c r="E19" s="211">
        <v>6001</v>
      </c>
      <c r="F19" s="211">
        <v>0</v>
      </c>
      <c r="G19" s="211">
        <v>0</v>
      </c>
      <c r="H19" s="202">
        <f t="shared" si="0"/>
        <v>6001</v>
      </c>
      <c r="I19" s="209" t="s">
        <v>25</v>
      </c>
      <c r="J19" s="209" t="s">
        <v>214</v>
      </c>
      <c r="K19" s="201" t="s">
        <v>1042</v>
      </c>
      <c r="L19" s="209" t="s">
        <v>1075</v>
      </c>
      <c r="M19" s="201" t="s">
        <v>652</v>
      </c>
      <c r="N19" s="209" t="s">
        <v>652</v>
      </c>
      <c r="O19" s="209" t="s">
        <v>652</v>
      </c>
      <c r="P19" s="212" t="s">
        <v>677</v>
      </c>
      <c r="Q19" s="213" t="s">
        <v>678</v>
      </c>
      <c r="R19" s="213" t="s">
        <v>1037</v>
      </c>
    </row>
    <row r="20" spans="1:18" s="205" customFormat="1" x14ac:dyDescent="0.2">
      <c r="A20" s="205" t="s">
        <v>1076</v>
      </c>
      <c r="B20" s="205" t="s">
        <v>1077</v>
      </c>
      <c r="C20" s="200">
        <v>45385</v>
      </c>
      <c r="D20" s="201" t="s">
        <v>152</v>
      </c>
      <c r="E20" s="206">
        <v>49800</v>
      </c>
      <c r="F20" s="206">
        <v>4980</v>
      </c>
      <c r="G20" s="206">
        <v>498</v>
      </c>
      <c r="H20" s="202">
        <f t="shared" si="0"/>
        <v>45318</v>
      </c>
      <c r="I20" s="205" t="s">
        <v>32</v>
      </c>
      <c r="J20" s="205" t="s">
        <v>29</v>
      </c>
      <c r="K20" s="201" t="s">
        <v>1028</v>
      </c>
      <c r="L20" s="205" t="s">
        <v>1078</v>
      </c>
      <c r="M20" s="201" t="s">
        <v>1030</v>
      </c>
      <c r="N20" s="205" t="s">
        <v>652</v>
      </c>
      <c r="O20" s="205" t="s">
        <v>652</v>
      </c>
      <c r="P20" s="207" t="s">
        <v>987</v>
      </c>
      <c r="Q20" s="208" t="s">
        <v>988</v>
      </c>
      <c r="R20" s="208" t="s">
        <v>1079</v>
      </c>
    </row>
    <row r="21" spans="1:18" s="205" customFormat="1" x14ac:dyDescent="0.2">
      <c r="A21" s="205" t="s">
        <v>1080</v>
      </c>
      <c r="B21" s="205" t="s">
        <v>1081</v>
      </c>
      <c r="C21" s="200">
        <v>45385</v>
      </c>
      <c r="D21" s="201" t="s">
        <v>152</v>
      </c>
      <c r="E21" s="206">
        <v>84856</v>
      </c>
      <c r="F21" s="206">
        <v>8486</v>
      </c>
      <c r="G21" s="206">
        <v>0</v>
      </c>
      <c r="H21" s="202">
        <f t="shared" si="0"/>
        <v>76370</v>
      </c>
      <c r="I21" s="205" t="s">
        <v>1082</v>
      </c>
      <c r="J21" s="205" t="s">
        <v>29</v>
      </c>
      <c r="K21" s="201" t="s">
        <v>1028</v>
      </c>
      <c r="L21" s="205" t="s">
        <v>1083</v>
      </c>
      <c r="M21" s="201" t="s">
        <v>1030</v>
      </c>
      <c r="N21" s="205" t="s">
        <v>652</v>
      </c>
      <c r="O21" s="205" t="s">
        <v>652</v>
      </c>
      <c r="P21" s="207" t="s">
        <v>984</v>
      </c>
      <c r="Q21" s="208" t="s">
        <v>985</v>
      </c>
      <c r="R21" s="208" t="s">
        <v>1037</v>
      </c>
    </row>
    <row r="22" spans="1:18" s="205" customFormat="1" x14ac:dyDescent="0.2">
      <c r="A22" s="205" t="s">
        <v>441</v>
      </c>
      <c r="B22" s="205" t="s">
        <v>1084</v>
      </c>
      <c r="C22" s="200">
        <v>45385</v>
      </c>
      <c r="D22" s="201" t="s">
        <v>152</v>
      </c>
      <c r="E22" s="206">
        <v>2026702</v>
      </c>
      <c r="F22" s="206">
        <v>202670</v>
      </c>
      <c r="G22" s="206">
        <v>20267</v>
      </c>
      <c r="H22" s="202">
        <f t="shared" si="0"/>
        <v>1844299</v>
      </c>
      <c r="I22" s="205" t="s">
        <v>31</v>
      </c>
      <c r="J22" s="205" t="s">
        <v>29</v>
      </c>
      <c r="K22" s="201" t="s">
        <v>1028</v>
      </c>
      <c r="L22" s="205" t="s">
        <v>1085</v>
      </c>
      <c r="M22" s="201" t="s">
        <v>1030</v>
      </c>
      <c r="N22" s="205" t="s">
        <v>652</v>
      </c>
      <c r="O22" s="205" t="s">
        <v>652</v>
      </c>
      <c r="P22" s="207" t="s">
        <v>987</v>
      </c>
      <c r="Q22" s="208" t="s">
        <v>988</v>
      </c>
      <c r="R22" s="208" t="s">
        <v>1086</v>
      </c>
    </row>
    <row r="23" spans="1:18" s="205" customFormat="1" x14ac:dyDescent="0.2">
      <c r="A23" s="205" t="s">
        <v>175</v>
      </c>
      <c r="B23" s="205" t="s">
        <v>529</v>
      </c>
      <c r="C23" s="200">
        <v>45385</v>
      </c>
      <c r="D23" s="201" t="s">
        <v>152</v>
      </c>
      <c r="E23" s="206">
        <v>123013</v>
      </c>
      <c r="F23" s="206">
        <v>12301</v>
      </c>
      <c r="G23" s="206">
        <v>1230</v>
      </c>
      <c r="H23" s="202">
        <f t="shared" si="0"/>
        <v>111942</v>
      </c>
      <c r="I23" s="205" t="s">
        <v>32</v>
      </c>
      <c r="J23" s="205" t="s">
        <v>29</v>
      </c>
      <c r="K23" s="201" t="s">
        <v>1042</v>
      </c>
      <c r="L23" s="205" t="s">
        <v>1087</v>
      </c>
      <c r="M23" s="201" t="s">
        <v>1030</v>
      </c>
      <c r="N23" s="205" t="s">
        <v>652</v>
      </c>
      <c r="O23" s="205" t="s">
        <v>652</v>
      </c>
      <c r="P23" s="207" t="s">
        <v>718</v>
      </c>
      <c r="Q23" s="208" t="s">
        <v>719</v>
      </c>
      <c r="R23" s="208" t="s">
        <v>1086</v>
      </c>
    </row>
    <row r="24" spans="1:18" s="205" customFormat="1" x14ac:dyDescent="0.2">
      <c r="A24" s="205" t="s">
        <v>1088</v>
      </c>
      <c r="B24" s="205" t="s">
        <v>190</v>
      </c>
      <c r="C24" s="200">
        <v>45385</v>
      </c>
      <c r="D24" s="201" t="s">
        <v>152</v>
      </c>
      <c r="E24" s="206">
        <v>46572</v>
      </c>
      <c r="F24" s="206">
        <v>4657</v>
      </c>
      <c r="G24" s="206">
        <v>466</v>
      </c>
      <c r="H24" s="202">
        <f t="shared" si="0"/>
        <v>42381</v>
      </c>
      <c r="I24" s="205" t="s">
        <v>46</v>
      </c>
      <c r="J24" s="205" t="s">
        <v>29</v>
      </c>
      <c r="K24" s="201" t="s">
        <v>1028</v>
      </c>
      <c r="L24" s="205" t="s">
        <v>1089</v>
      </c>
      <c r="M24" s="201" t="s">
        <v>1030</v>
      </c>
      <c r="N24" s="205" t="s">
        <v>652</v>
      </c>
      <c r="O24" s="205" t="s">
        <v>652</v>
      </c>
      <c r="P24" s="207" t="s">
        <v>786</v>
      </c>
      <c r="Q24" s="208" t="s">
        <v>962</v>
      </c>
      <c r="R24" s="208" t="s">
        <v>1086</v>
      </c>
    </row>
    <row r="25" spans="1:18" s="205" customFormat="1" x14ac:dyDescent="0.2">
      <c r="A25" s="205" t="s">
        <v>1090</v>
      </c>
      <c r="B25" s="205" t="s">
        <v>241</v>
      </c>
      <c r="C25" s="200">
        <v>45385</v>
      </c>
      <c r="D25" s="201" t="s">
        <v>152</v>
      </c>
      <c r="E25" s="206">
        <v>38698</v>
      </c>
      <c r="F25" s="206">
        <v>3870</v>
      </c>
      <c r="G25" s="206">
        <v>387</v>
      </c>
      <c r="H25" s="202">
        <f t="shared" si="0"/>
        <v>35215</v>
      </c>
      <c r="I25" s="205" t="s">
        <v>242</v>
      </c>
      <c r="J25" s="205" t="s">
        <v>29</v>
      </c>
      <c r="K25" s="201" t="s">
        <v>1028</v>
      </c>
      <c r="L25" s="205" t="s">
        <v>1091</v>
      </c>
      <c r="M25" s="201" t="s">
        <v>1030</v>
      </c>
      <c r="N25" s="205" t="s">
        <v>652</v>
      </c>
      <c r="O25" s="205" t="s">
        <v>652</v>
      </c>
      <c r="P25" s="207" t="s">
        <v>987</v>
      </c>
      <c r="Q25" s="208" t="s">
        <v>988</v>
      </c>
      <c r="R25" s="208" t="s">
        <v>1086</v>
      </c>
    </row>
    <row r="26" spans="1:18" s="205" customFormat="1" x14ac:dyDescent="0.2">
      <c r="A26" s="205" t="s">
        <v>1092</v>
      </c>
      <c r="B26" s="205" t="s">
        <v>241</v>
      </c>
      <c r="C26" s="200">
        <v>45385</v>
      </c>
      <c r="D26" s="201" t="s">
        <v>152</v>
      </c>
      <c r="E26" s="206">
        <v>67915</v>
      </c>
      <c r="F26" s="206">
        <v>6792</v>
      </c>
      <c r="G26" s="206">
        <v>679</v>
      </c>
      <c r="H26" s="202">
        <f t="shared" si="0"/>
        <v>61802</v>
      </c>
      <c r="I26" s="205" t="s">
        <v>242</v>
      </c>
      <c r="J26" s="205" t="s">
        <v>29</v>
      </c>
      <c r="K26" s="201" t="s">
        <v>1028</v>
      </c>
      <c r="L26" s="205" t="s">
        <v>1093</v>
      </c>
      <c r="M26" s="201" t="s">
        <v>1030</v>
      </c>
      <c r="N26" s="205" t="s">
        <v>652</v>
      </c>
      <c r="O26" s="205" t="s">
        <v>652</v>
      </c>
      <c r="P26" s="207" t="s">
        <v>987</v>
      </c>
      <c r="Q26" s="208" t="s">
        <v>988</v>
      </c>
      <c r="R26" s="208" t="s">
        <v>1086</v>
      </c>
    </row>
    <row r="27" spans="1:18" s="205" customFormat="1" x14ac:dyDescent="0.2">
      <c r="A27" s="205" t="s">
        <v>1094</v>
      </c>
      <c r="B27" s="205" t="s">
        <v>241</v>
      </c>
      <c r="C27" s="200">
        <v>45385</v>
      </c>
      <c r="D27" s="201" t="s">
        <v>152</v>
      </c>
      <c r="E27" s="206">
        <v>63955</v>
      </c>
      <c r="F27" s="206">
        <v>6396</v>
      </c>
      <c r="G27" s="206">
        <v>640</v>
      </c>
      <c r="H27" s="202">
        <f t="shared" si="0"/>
        <v>58199</v>
      </c>
      <c r="I27" s="205" t="s">
        <v>242</v>
      </c>
      <c r="J27" s="205" t="s">
        <v>29</v>
      </c>
      <c r="K27" s="201" t="s">
        <v>1028</v>
      </c>
      <c r="L27" s="205" t="s">
        <v>1095</v>
      </c>
      <c r="M27" s="201" t="s">
        <v>1030</v>
      </c>
      <c r="N27" s="205" t="s">
        <v>652</v>
      </c>
      <c r="O27" s="205" t="s">
        <v>652</v>
      </c>
      <c r="P27" s="207" t="s">
        <v>987</v>
      </c>
      <c r="Q27" s="208" t="s">
        <v>988</v>
      </c>
      <c r="R27" s="208" t="s">
        <v>1086</v>
      </c>
    </row>
    <row r="28" spans="1:18" s="205" customFormat="1" x14ac:dyDescent="0.2">
      <c r="A28" s="205" t="s">
        <v>1096</v>
      </c>
      <c r="B28" s="205" t="s">
        <v>241</v>
      </c>
      <c r="C28" s="200">
        <v>45385</v>
      </c>
      <c r="D28" s="201" t="s">
        <v>152</v>
      </c>
      <c r="E28" s="206">
        <v>81499</v>
      </c>
      <c r="F28" s="206">
        <v>8150</v>
      </c>
      <c r="G28" s="206">
        <v>815</v>
      </c>
      <c r="H28" s="202">
        <f t="shared" si="0"/>
        <v>74164</v>
      </c>
      <c r="I28" s="205" t="s">
        <v>242</v>
      </c>
      <c r="J28" s="205" t="s">
        <v>29</v>
      </c>
      <c r="K28" s="201" t="s">
        <v>1028</v>
      </c>
      <c r="L28" s="205" t="s">
        <v>1097</v>
      </c>
      <c r="M28" s="201" t="s">
        <v>1030</v>
      </c>
      <c r="N28" s="205" t="s">
        <v>652</v>
      </c>
      <c r="O28" s="205" t="s">
        <v>652</v>
      </c>
      <c r="P28" s="207" t="s">
        <v>987</v>
      </c>
      <c r="Q28" s="208" t="s">
        <v>988</v>
      </c>
      <c r="R28" s="208" t="s">
        <v>1086</v>
      </c>
    </row>
    <row r="29" spans="1:18" s="205" customFormat="1" x14ac:dyDescent="0.2">
      <c r="A29" s="205" t="s">
        <v>1098</v>
      </c>
      <c r="B29" s="205" t="s">
        <v>241</v>
      </c>
      <c r="C29" s="200">
        <v>45385</v>
      </c>
      <c r="D29" s="201" t="s">
        <v>152</v>
      </c>
      <c r="E29" s="206">
        <v>83822</v>
      </c>
      <c r="F29" s="206">
        <v>8382</v>
      </c>
      <c r="G29" s="206">
        <v>838</v>
      </c>
      <c r="H29" s="202">
        <f t="shared" si="0"/>
        <v>76278</v>
      </c>
      <c r="I29" s="205" t="s">
        <v>242</v>
      </c>
      <c r="J29" s="205" t="s">
        <v>29</v>
      </c>
      <c r="K29" s="201" t="s">
        <v>1028</v>
      </c>
      <c r="L29" s="205" t="s">
        <v>1099</v>
      </c>
      <c r="M29" s="201" t="s">
        <v>1030</v>
      </c>
      <c r="N29" s="205" t="s">
        <v>652</v>
      </c>
      <c r="O29" s="205" t="s">
        <v>652</v>
      </c>
      <c r="P29" s="207" t="s">
        <v>987</v>
      </c>
      <c r="Q29" s="208" t="s">
        <v>988</v>
      </c>
      <c r="R29" s="208" t="s">
        <v>1086</v>
      </c>
    </row>
    <row r="30" spans="1:18" s="205" customFormat="1" x14ac:dyDescent="0.2">
      <c r="A30" s="205" t="s">
        <v>1100</v>
      </c>
      <c r="B30" s="205" t="s">
        <v>241</v>
      </c>
      <c r="C30" s="200">
        <v>45385</v>
      </c>
      <c r="D30" s="201" t="s">
        <v>152</v>
      </c>
      <c r="E30" s="206">
        <v>52242</v>
      </c>
      <c r="F30" s="206">
        <v>5224</v>
      </c>
      <c r="G30" s="206">
        <v>522</v>
      </c>
      <c r="H30" s="202">
        <f t="shared" si="0"/>
        <v>47540</v>
      </c>
      <c r="I30" s="205" t="s">
        <v>242</v>
      </c>
      <c r="J30" s="205" t="s">
        <v>29</v>
      </c>
      <c r="K30" s="201" t="s">
        <v>1028</v>
      </c>
      <c r="L30" s="205" t="s">
        <v>1101</v>
      </c>
      <c r="M30" s="201" t="s">
        <v>1030</v>
      </c>
      <c r="N30" s="205" t="s">
        <v>652</v>
      </c>
      <c r="O30" s="205" t="s">
        <v>652</v>
      </c>
      <c r="P30" s="207" t="s">
        <v>987</v>
      </c>
      <c r="Q30" s="208" t="s">
        <v>988</v>
      </c>
      <c r="R30" s="208" t="s">
        <v>1086</v>
      </c>
    </row>
    <row r="31" spans="1:18" s="205" customFormat="1" x14ac:dyDescent="0.2">
      <c r="A31" s="205" t="s">
        <v>1102</v>
      </c>
      <c r="B31" s="205" t="s">
        <v>241</v>
      </c>
      <c r="C31" s="200">
        <v>45385</v>
      </c>
      <c r="D31" s="201" t="s">
        <v>152</v>
      </c>
      <c r="E31" s="206">
        <v>67915</v>
      </c>
      <c r="F31" s="206">
        <v>6792</v>
      </c>
      <c r="G31" s="206">
        <v>679</v>
      </c>
      <c r="H31" s="202">
        <f t="shared" si="0"/>
        <v>61802</v>
      </c>
      <c r="I31" s="205" t="s">
        <v>242</v>
      </c>
      <c r="J31" s="205" t="s">
        <v>29</v>
      </c>
      <c r="K31" s="201" t="s">
        <v>1028</v>
      </c>
      <c r="L31" s="205" t="s">
        <v>1103</v>
      </c>
      <c r="M31" s="201" t="s">
        <v>1030</v>
      </c>
      <c r="N31" s="205" t="s">
        <v>652</v>
      </c>
      <c r="O31" s="205" t="s">
        <v>652</v>
      </c>
      <c r="P31" s="207" t="s">
        <v>987</v>
      </c>
      <c r="Q31" s="208" t="s">
        <v>988</v>
      </c>
      <c r="R31" s="208" t="s">
        <v>1086</v>
      </c>
    </row>
    <row r="32" spans="1:18" s="205" customFormat="1" x14ac:dyDescent="0.2">
      <c r="A32" s="205" t="s">
        <v>72</v>
      </c>
      <c r="B32" s="205" t="s">
        <v>1104</v>
      </c>
      <c r="C32" s="200">
        <v>45385</v>
      </c>
      <c r="D32" s="201" t="s">
        <v>152</v>
      </c>
      <c r="E32" s="206">
        <v>7469582</v>
      </c>
      <c r="F32" s="206">
        <v>746966</v>
      </c>
      <c r="G32" s="206">
        <v>74697</v>
      </c>
      <c r="H32" s="202">
        <f t="shared" si="0"/>
        <v>6797313</v>
      </c>
      <c r="I32" s="205" t="s">
        <v>73</v>
      </c>
      <c r="J32" s="205" t="s">
        <v>29</v>
      </c>
      <c r="K32" s="201" t="s">
        <v>1028</v>
      </c>
      <c r="L32" s="205" t="s">
        <v>1105</v>
      </c>
      <c r="M32" s="201" t="s">
        <v>1030</v>
      </c>
      <c r="N32" s="205" t="s">
        <v>652</v>
      </c>
      <c r="O32" s="205" t="s">
        <v>652</v>
      </c>
      <c r="P32" s="207" t="s">
        <v>1106</v>
      </c>
      <c r="Q32" s="208" t="s">
        <v>1107</v>
      </c>
      <c r="R32" s="208" t="s">
        <v>1086</v>
      </c>
    </row>
    <row r="33" spans="1:18" s="205" customFormat="1" x14ac:dyDescent="0.2">
      <c r="A33" s="205" t="s">
        <v>382</v>
      </c>
      <c r="B33" s="205" t="s">
        <v>381</v>
      </c>
      <c r="C33" s="200">
        <v>45385</v>
      </c>
      <c r="D33" s="201" t="s">
        <v>152</v>
      </c>
      <c r="E33" s="206">
        <v>8391</v>
      </c>
      <c r="F33" s="206">
        <v>839</v>
      </c>
      <c r="G33" s="206">
        <v>84</v>
      </c>
      <c r="H33" s="202">
        <f t="shared" si="0"/>
        <v>7636</v>
      </c>
      <c r="I33" s="205" t="s">
        <v>28</v>
      </c>
      <c r="J33" s="205" t="s">
        <v>29</v>
      </c>
      <c r="K33" s="201" t="s">
        <v>1042</v>
      </c>
      <c r="L33" s="205" t="s">
        <v>1108</v>
      </c>
      <c r="M33" s="201" t="s">
        <v>1030</v>
      </c>
      <c r="N33" s="205" t="s">
        <v>652</v>
      </c>
      <c r="O33" s="205" t="s">
        <v>652</v>
      </c>
      <c r="P33" s="207" t="s">
        <v>497</v>
      </c>
      <c r="Q33" s="208" t="s">
        <v>773</v>
      </c>
      <c r="R33" s="208" t="s">
        <v>1086</v>
      </c>
    </row>
    <row r="34" spans="1:18" s="205" customFormat="1" x14ac:dyDescent="0.2">
      <c r="A34" s="205" t="s">
        <v>189</v>
      </c>
      <c r="B34" s="205" t="s">
        <v>970</v>
      </c>
      <c r="C34" s="200">
        <v>45385</v>
      </c>
      <c r="D34" s="201" t="s">
        <v>152</v>
      </c>
      <c r="E34" s="206">
        <v>353100</v>
      </c>
      <c r="F34" s="206">
        <v>35310</v>
      </c>
      <c r="G34" s="206">
        <v>3531</v>
      </c>
      <c r="H34" s="202">
        <f t="shared" si="0"/>
        <v>321321</v>
      </c>
      <c r="I34" s="205" t="s">
        <v>188</v>
      </c>
      <c r="J34" s="205" t="s">
        <v>29</v>
      </c>
      <c r="K34" s="201" t="s">
        <v>1042</v>
      </c>
      <c r="L34" s="205" t="s">
        <v>1109</v>
      </c>
      <c r="M34" s="201" t="s">
        <v>1030</v>
      </c>
      <c r="N34" s="205" t="s">
        <v>1110</v>
      </c>
      <c r="O34" s="205" t="s">
        <v>1111</v>
      </c>
      <c r="P34" s="207" t="s">
        <v>873</v>
      </c>
      <c r="Q34" s="208" t="s">
        <v>968</v>
      </c>
      <c r="R34" s="208" t="s">
        <v>1086</v>
      </c>
    </row>
    <row r="35" spans="1:18" s="205" customFormat="1" x14ac:dyDescent="0.2">
      <c r="A35" s="205" t="s">
        <v>951</v>
      </c>
      <c r="B35" s="205" t="s">
        <v>952</v>
      </c>
      <c r="C35" s="200">
        <v>45385</v>
      </c>
      <c r="D35" s="201" t="s">
        <v>152</v>
      </c>
      <c r="E35" s="206">
        <v>90836</v>
      </c>
      <c r="F35" s="206">
        <v>9084</v>
      </c>
      <c r="G35" s="206">
        <v>908</v>
      </c>
      <c r="H35" s="202">
        <f t="shared" si="0"/>
        <v>82660</v>
      </c>
      <c r="I35" s="205" t="s">
        <v>31</v>
      </c>
      <c r="J35" s="205" t="s">
        <v>29</v>
      </c>
      <c r="K35" s="201" t="s">
        <v>1042</v>
      </c>
      <c r="L35" s="205" t="s">
        <v>1112</v>
      </c>
      <c r="M35" s="201" t="s">
        <v>1113</v>
      </c>
      <c r="N35" s="205" t="s">
        <v>1114</v>
      </c>
      <c r="O35" s="205" t="s">
        <v>1115</v>
      </c>
      <c r="P35" s="207" t="s">
        <v>868</v>
      </c>
      <c r="Q35" s="208" t="s">
        <v>953</v>
      </c>
      <c r="R35" s="208" t="s">
        <v>1086</v>
      </c>
    </row>
    <row r="36" spans="1:18" s="205" customFormat="1" x14ac:dyDescent="0.2">
      <c r="A36" s="205" t="s">
        <v>1116</v>
      </c>
      <c r="B36" s="205" t="s">
        <v>1117</v>
      </c>
      <c r="C36" s="200">
        <v>45385</v>
      </c>
      <c r="D36" s="201" t="s">
        <v>152</v>
      </c>
      <c r="E36" s="206">
        <v>51539</v>
      </c>
      <c r="F36" s="206">
        <v>5154</v>
      </c>
      <c r="G36" s="206">
        <v>258</v>
      </c>
      <c r="H36" s="202">
        <f t="shared" si="0"/>
        <v>46643</v>
      </c>
      <c r="I36" s="205" t="s">
        <v>138</v>
      </c>
      <c r="J36" s="205" t="s">
        <v>23</v>
      </c>
      <c r="K36" s="201" t="s">
        <v>1028</v>
      </c>
      <c r="L36" s="205" t="s">
        <v>1118</v>
      </c>
      <c r="M36" s="201" t="s">
        <v>1072</v>
      </c>
      <c r="N36" s="205" t="s">
        <v>652</v>
      </c>
      <c r="O36" s="205" t="s">
        <v>652</v>
      </c>
      <c r="P36" s="207" t="s">
        <v>722</v>
      </c>
      <c r="Q36" s="208" t="s">
        <v>723</v>
      </c>
      <c r="R36" s="208" t="s">
        <v>1037</v>
      </c>
    </row>
    <row r="37" spans="1:18" s="205" customFormat="1" x14ac:dyDescent="0.2">
      <c r="A37" s="205" t="s">
        <v>1119</v>
      </c>
      <c r="B37" s="205" t="s">
        <v>1120</v>
      </c>
      <c r="C37" s="200">
        <v>45385</v>
      </c>
      <c r="D37" s="201" t="s">
        <v>152</v>
      </c>
      <c r="E37" s="206">
        <v>29327</v>
      </c>
      <c r="F37" s="206">
        <v>2933</v>
      </c>
      <c r="G37" s="206">
        <v>147</v>
      </c>
      <c r="H37" s="202">
        <f t="shared" si="0"/>
        <v>26541</v>
      </c>
      <c r="I37" s="205" t="s">
        <v>138</v>
      </c>
      <c r="J37" s="205" t="s">
        <v>23</v>
      </c>
      <c r="K37" s="201" t="s">
        <v>1028</v>
      </c>
      <c r="L37" s="205" t="s">
        <v>1121</v>
      </c>
      <c r="M37" s="201" t="s">
        <v>1072</v>
      </c>
      <c r="N37" s="205" t="s">
        <v>652</v>
      </c>
      <c r="O37" s="205" t="s">
        <v>652</v>
      </c>
      <c r="P37" s="207" t="s">
        <v>722</v>
      </c>
      <c r="Q37" s="214" t="s">
        <v>723</v>
      </c>
      <c r="R37" s="214" t="s">
        <v>1037</v>
      </c>
    </row>
    <row r="38" spans="1:18" s="205" customFormat="1" x14ac:dyDescent="0.2">
      <c r="A38" s="205" t="s">
        <v>995</v>
      </c>
      <c r="B38" s="205" t="s">
        <v>1122</v>
      </c>
      <c r="C38" s="200">
        <v>45385</v>
      </c>
      <c r="D38" s="201" t="s">
        <v>152</v>
      </c>
      <c r="E38" s="206">
        <v>1494669</v>
      </c>
      <c r="F38" s="206">
        <v>149467</v>
      </c>
      <c r="G38" s="206">
        <v>7473</v>
      </c>
      <c r="H38" s="202">
        <f t="shared" si="0"/>
        <v>1352675</v>
      </c>
      <c r="I38" s="205" t="s">
        <v>54</v>
      </c>
      <c r="J38" s="205" t="s">
        <v>23</v>
      </c>
      <c r="K38" s="201" t="s">
        <v>1028</v>
      </c>
      <c r="L38" s="205" t="s">
        <v>1123</v>
      </c>
      <c r="M38" s="201" t="s">
        <v>1030</v>
      </c>
      <c r="N38" s="205" t="s">
        <v>652</v>
      </c>
      <c r="O38" s="205" t="s">
        <v>652</v>
      </c>
      <c r="P38" s="207" t="s">
        <v>987</v>
      </c>
      <c r="Q38" s="208" t="s">
        <v>988</v>
      </c>
      <c r="R38" s="208" t="s">
        <v>1086</v>
      </c>
    </row>
    <row r="39" spans="1:18" s="205" customFormat="1" x14ac:dyDescent="0.2">
      <c r="A39" s="205" t="s">
        <v>1124</v>
      </c>
      <c r="B39" s="205" t="s">
        <v>1125</v>
      </c>
      <c r="C39" s="200">
        <v>45385</v>
      </c>
      <c r="D39" s="201" t="s">
        <v>152</v>
      </c>
      <c r="E39" s="206">
        <v>38660</v>
      </c>
      <c r="F39" s="206">
        <v>3866</v>
      </c>
      <c r="G39" s="206">
        <v>193</v>
      </c>
      <c r="H39" s="202">
        <f t="shared" si="0"/>
        <v>34987</v>
      </c>
      <c r="I39" s="205" t="s">
        <v>108</v>
      </c>
      <c r="J39" s="205" t="s">
        <v>23</v>
      </c>
      <c r="K39" s="201" t="s">
        <v>1028</v>
      </c>
      <c r="L39" s="205" t="s">
        <v>1126</v>
      </c>
      <c r="M39" s="201" t="s">
        <v>1030</v>
      </c>
      <c r="N39" s="205" t="s">
        <v>652</v>
      </c>
      <c r="O39" s="205" t="s">
        <v>652</v>
      </c>
      <c r="P39" s="207" t="s">
        <v>864</v>
      </c>
      <c r="Q39" s="208" t="s">
        <v>982</v>
      </c>
      <c r="R39" s="208" t="s">
        <v>1086</v>
      </c>
    </row>
    <row r="40" spans="1:18" s="205" customFormat="1" x14ac:dyDescent="0.2">
      <c r="A40" s="205" t="s">
        <v>84</v>
      </c>
      <c r="B40" s="205" t="s">
        <v>540</v>
      </c>
      <c r="C40" s="200">
        <v>45385</v>
      </c>
      <c r="D40" s="201" t="s">
        <v>152</v>
      </c>
      <c r="E40" s="206">
        <v>11682</v>
      </c>
      <c r="F40" s="206">
        <v>1168</v>
      </c>
      <c r="G40" s="206">
        <v>58</v>
      </c>
      <c r="H40" s="202">
        <f t="shared" si="0"/>
        <v>10572</v>
      </c>
      <c r="I40" s="205" t="s">
        <v>66</v>
      </c>
      <c r="J40" s="205" t="s">
        <v>23</v>
      </c>
      <c r="K40" s="201" t="s">
        <v>1042</v>
      </c>
      <c r="L40" s="205" t="s">
        <v>1127</v>
      </c>
      <c r="M40" s="201" t="s">
        <v>1030</v>
      </c>
      <c r="N40" s="205" t="s">
        <v>652</v>
      </c>
      <c r="O40" s="205" t="s">
        <v>652</v>
      </c>
      <c r="P40" s="207" t="s">
        <v>688</v>
      </c>
      <c r="Q40" s="208" t="s">
        <v>689</v>
      </c>
      <c r="R40" s="208" t="s">
        <v>1086</v>
      </c>
    </row>
    <row r="41" spans="1:18" s="205" customFormat="1" x14ac:dyDescent="0.2">
      <c r="A41" s="205" t="s">
        <v>468</v>
      </c>
      <c r="B41" s="205" t="s">
        <v>1128</v>
      </c>
      <c r="C41" s="200">
        <v>45385</v>
      </c>
      <c r="D41" s="201" t="s">
        <v>152</v>
      </c>
      <c r="E41" s="206">
        <v>1988870</v>
      </c>
      <c r="F41" s="206">
        <v>198887</v>
      </c>
      <c r="G41" s="206">
        <v>9944</v>
      </c>
      <c r="H41" s="202">
        <f t="shared" si="0"/>
        <v>1799927</v>
      </c>
      <c r="I41" s="205" t="s">
        <v>199</v>
      </c>
      <c r="J41" s="205" t="s">
        <v>23</v>
      </c>
      <c r="K41" s="201" t="s">
        <v>1028</v>
      </c>
      <c r="L41" s="205" t="s">
        <v>1129</v>
      </c>
      <c r="M41" s="201" t="s">
        <v>1030</v>
      </c>
      <c r="N41" s="205" t="s">
        <v>652</v>
      </c>
      <c r="O41" s="205" t="s">
        <v>652</v>
      </c>
      <c r="P41" s="207" t="s">
        <v>987</v>
      </c>
      <c r="Q41" s="208" t="s">
        <v>988</v>
      </c>
      <c r="R41" s="208" t="s">
        <v>1086</v>
      </c>
    </row>
    <row r="42" spans="1:18" s="205" customFormat="1" x14ac:dyDescent="0.2">
      <c r="A42" s="205" t="s">
        <v>1130</v>
      </c>
      <c r="B42" s="205" t="s">
        <v>1131</v>
      </c>
      <c r="C42" s="200">
        <v>45385</v>
      </c>
      <c r="D42" s="201" t="s">
        <v>152</v>
      </c>
      <c r="E42" s="206">
        <v>63657</v>
      </c>
      <c r="F42" s="206">
        <v>6366</v>
      </c>
      <c r="G42" s="206">
        <v>318</v>
      </c>
      <c r="H42" s="202">
        <f t="shared" si="0"/>
        <v>57609</v>
      </c>
      <c r="I42" s="205" t="s">
        <v>199</v>
      </c>
      <c r="J42" s="205" t="s">
        <v>23</v>
      </c>
      <c r="K42" s="201" t="s">
        <v>1028</v>
      </c>
      <c r="L42" s="205" t="s">
        <v>1132</v>
      </c>
      <c r="M42" s="201" t="s">
        <v>1030</v>
      </c>
      <c r="N42" s="205" t="s">
        <v>652</v>
      </c>
      <c r="O42" s="205" t="s">
        <v>652</v>
      </c>
      <c r="P42" s="207" t="s">
        <v>987</v>
      </c>
      <c r="Q42" s="208" t="s">
        <v>988</v>
      </c>
      <c r="R42" s="208" t="s">
        <v>1086</v>
      </c>
    </row>
    <row r="43" spans="1:18" s="205" customFormat="1" x14ac:dyDescent="0.2">
      <c r="A43" s="205" t="s">
        <v>1133</v>
      </c>
      <c r="B43" s="205" t="s">
        <v>282</v>
      </c>
      <c r="C43" s="200">
        <v>45385</v>
      </c>
      <c r="D43" s="201" t="s">
        <v>152</v>
      </c>
      <c r="E43" s="206">
        <v>82085</v>
      </c>
      <c r="F43" s="206">
        <v>8209</v>
      </c>
      <c r="G43" s="206">
        <v>410</v>
      </c>
      <c r="H43" s="202">
        <f t="shared" si="0"/>
        <v>74286</v>
      </c>
      <c r="I43" s="205" t="s">
        <v>193</v>
      </c>
      <c r="J43" s="205" t="s">
        <v>23</v>
      </c>
      <c r="K43" s="201" t="s">
        <v>1042</v>
      </c>
      <c r="L43" s="205" t="s">
        <v>1134</v>
      </c>
      <c r="M43" s="201" t="s">
        <v>1030</v>
      </c>
      <c r="N43" s="205" t="s">
        <v>652</v>
      </c>
      <c r="O43" s="205" t="s">
        <v>652</v>
      </c>
      <c r="P43" s="207" t="s">
        <v>663</v>
      </c>
      <c r="Q43" s="208" t="s">
        <v>723</v>
      </c>
      <c r="R43" s="208" t="s">
        <v>1086</v>
      </c>
    </row>
    <row r="44" spans="1:18" s="205" customFormat="1" x14ac:dyDescent="0.2">
      <c r="A44" s="205" t="s">
        <v>1135</v>
      </c>
      <c r="B44" s="205" t="s">
        <v>282</v>
      </c>
      <c r="C44" s="200">
        <v>45385</v>
      </c>
      <c r="D44" s="201" t="s">
        <v>152</v>
      </c>
      <c r="E44" s="206">
        <v>82085</v>
      </c>
      <c r="F44" s="206">
        <v>8209</v>
      </c>
      <c r="G44" s="206">
        <v>410</v>
      </c>
      <c r="H44" s="202">
        <f t="shared" si="0"/>
        <v>74286</v>
      </c>
      <c r="I44" s="205" t="s">
        <v>193</v>
      </c>
      <c r="J44" s="205" t="s">
        <v>23</v>
      </c>
      <c r="K44" s="201" t="s">
        <v>1042</v>
      </c>
      <c r="L44" s="205" t="s">
        <v>1136</v>
      </c>
      <c r="M44" s="201" t="s">
        <v>1030</v>
      </c>
      <c r="N44" s="205" t="s">
        <v>652</v>
      </c>
      <c r="O44" s="205" t="s">
        <v>652</v>
      </c>
      <c r="P44" s="207" t="s">
        <v>663</v>
      </c>
      <c r="Q44" s="208" t="s">
        <v>723</v>
      </c>
      <c r="R44" s="208" t="s">
        <v>1086</v>
      </c>
    </row>
    <row r="45" spans="1:18" s="205" customFormat="1" x14ac:dyDescent="0.2">
      <c r="A45" s="205" t="s">
        <v>1137</v>
      </c>
      <c r="B45" s="205" t="s">
        <v>248</v>
      </c>
      <c r="C45" s="200">
        <v>45385</v>
      </c>
      <c r="D45" s="201" t="s">
        <v>152</v>
      </c>
      <c r="E45" s="206">
        <v>57986</v>
      </c>
      <c r="F45" s="206">
        <v>5799</v>
      </c>
      <c r="G45" s="206">
        <v>290</v>
      </c>
      <c r="H45" s="202">
        <f t="shared" si="0"/>
        <v>52477</v>
      </c>
      <c r="I45" s="205" t="s">
        <v>193</v>
      </c>
      <c r="J45" s="205" t="s">
        <v>23</v>
      </c>
      <c r="K45" s="201" t="s">
        <v>1058</v>
      </c>
      <c r="L45" s="205" t="s">
        <v>1138</v>
      </c>
      <c r="M45" s="201" t="s">
        <v>1030</v>
      </c>
      <c r="N45" s="205" t="s">
        <v>652</v>
      </c>
      <c r="O45" s="205" t="s">
        <v>652</v>
      </c>
      <c r="P45" s="207" t="s">
        <v>663</v>
      </c>
      <c r="Q45" s="208" t="s">
        <v>723</v>
      </c>
      <c r="R45" s="208" t="s">
        <v>1086</v>
      </c>
    </row>
    <row r="46" spans="1:18" s="205" customFormat="1" x14ac:dyDescent="0.2">
      <c r="A46" s="205" t="s">
        <v>1139</v>
      </c>
      <c r="B46" s="205" t="s">
        <v>248</v>
      </c>
      <c r="C46" s="200">
        <v>45385</v>
      </c>
      <c r="D46" s="201" t="s">
        <v>152</v>
      </c>
      <c r="E46" s="206">
        <v>42459</v>
      </c>
      <c r="F46" s="206">
        <v>4246</v>
      </c>
      <c r="G46" s="206">
        <v>212</v>
      </c>
      <c r="H46" s="202">
        <f t="shared" si="0"/>
        <v>38425</v>
      </c>
      <c r="I46" s="205" t="s">
        <v>193</v>
      </c>
      <c r="J46" s="205" t="s">
        <v>23</v>
      </c>
      <c r="K46" s="201" t="s">
        <v>1058</v>
      </c>
      <c r="L46" s="205" t="s">
        <v>1140</v>
      </c>
      <c r="M46" s="201" t="s">
        <v>1030</v>
      </c>
      <c r="N46" s="205" t="s">
        <v>652</v>
      </c>
      <c r="O46" s="205" t="s">
        <v>652</v>
      </c>
      <c r="P46" s="207" t="s">
        <v>663</v>
      </c>
      <c r="Q46" s="208" t="s">
        <v>723</v>
      </c>
      <c r="R46" s="208" t="s">
        <v>1086</v>
      </c>
    </row>
    <row r="47" spans="1:18" s="205" customFormat="1" x14ac:dyDescent="0.2">
      <c r="A47" s="205" t="s">
        <v>221</v>
      </c>
      <c r="B47" s="205" t="s">
        <v>1062</v>
      </c>
      <c r="C47" s="200">
        <v>45385</v>
      </c>
      <c r="D47" s="201" t="s">
        <v>152</v>
      </c>
      <c r="E47" s="206">
        <v>61048</v>
      </c>
      <c r="F47" s="206">
        <v>6105</v>
      </c>
      <c r="G47" s="206">
        <v>305</v>
      </c>
      <c r="H47" s="202">
        <f t="shared" si="0"/>
        <v>55248</v>
      </c>
      <c r="I47" s="205" t="s">
        <v>224</v>
      </c>
      <c r="J47" s="205" t="s">
        <v>23</v>
      </c>
      <c r="K47" s="201" t="s">
        <v>1141</v>
      </c>
      <c r="L47" s="205" t="s">
        <v>1142</v>
      </c>
      <c r="M47" s="201" t="s">
        <v>1030</v>
      </c>
      <c r="N47" s="205" t="s">
        <v>652</v>
      </c>
      <c r="O47" s="205" t="s">
        <v>652</v>
      </c>
      <c r="P47" s="207" t="s">
        <v>987</v>
      </c>
      <c r="Q47" s="208" t="s">
        <v>988</v>
      </c>
      <c r="R47" s="208" t="s">
        <v>1086</v>
      </c>
    </row>
    <row r="48" spans="1:18" s="205" customFormat="1" x14ac:dyDescent="0.2">
      <c r="A48" s="205" t="s">
        <v>105</v>
      </c>
      <c r="B48" s="205" t="s">
        <v>618</v>
      </c>
      <c r="C48" s="200">
        <v>45385</v>
      </c>
      <c r="D48" s="201" t="s">
        <v>152</v>
      </c>
      <c r="E48" s="206">
        <v>75943</v>
      </c>
      <c r="F48" s="206">
        <v>7594</v>
      </c>
      <c r="G48" s="206">
        <v>380</v>
      </c>
      <c r="H48" s="202">
        <f t="shared" si="0"/>
        <v>68729</v>
      </c>
      <c r="I48" s="205" t="s">
        <v>44</v>
      </c>
      <c r="J48" s="205" t="s">
        <v>23</v>
      </c>
      <c r="K48" s="201" t="s">
        <v>1042</v>
      </c>
      <c r="L48" s="205" t="s">
        <v>1143</v>
      </c>
      <c r="M48" s="201" t="s">
        <v>1030</v>
      </c>
      <c r="N48" s="205" t="s">
        <v>652</v>
      </c>
      <c r="O48" s="205" t="s">
        <v>652</v>
      </c>
      <c r="P48" s="207" t="s">
        <v>653</v>
      </c>
      <c r="Q48" s="208" t="s">
        <v>654</v>
      </c>
      <c r="R48" s="208" t="s">
        <v>1086</v>
      </c>
    </row>
    <row r="49" spans="1:18" s="205" customFormat="1" x14ac:dyDescent="0.2">
      <c r="A49" s="205" t="s">
        <v>211</v>
      </c>
      <c r="B49" s="205" t="s">
        <v>969</v>
      </c>
      <c r="C49" s="200">
        <v>45385</v>
      </c>
      <c r="D49" s="201" t="s">
        <v>152</v>
      </c>
      <c r="E49" s="206">
        <v>34484</v>
      </c>
      <c r="F49" s="206">
        <v>3448</v>
      </c>
      <c r="G49" s="206">
        <v>172</v>
      </c>
      <c r="H49" s="202">
        <f t="shared" si="0"/>
        <v>31208</v>
      </c>
      <c r="I49" s="205" t="s">
        <v>65</v>
      </c>
      <c r="J49" s="205" t="s">
        <v>23</v>
      </c>
      <c r="K49" s="201" t="s">
        <v>1042</v>
      </c>
      <c r="L49" s="205" t="s">
        <v>1144</v>
      </c>
      <c r="M49" s="201" t="s">
        <v>1030</v>
      </c>
      <c r="N49" s="205" t="s">
        <v>652</v>
      </c>
      <c r="O49" s="205" t="s">
        <v>652</v>
      </c>
      <c r="P49" s="207" t="s">
        <v>873</v>
      </c>
      <c r="Q49" s="208" t="s">
        <v>968</v>
      </c>
      <c r="R49" s="208" t="s">
        <v>1086</v>
      </c>
    </row>
    <row r="50" spans="1:18" s="205" customFormat="1" x14ac:dyDescent="0.2">
      <c r="A50" s="205" t="s">
        <v>1145</v>
      </c>
      <c r="B50" s="205" t="s">
        <v>282</v>
      </c>
      <c r="C50" s="200">
        <v>45385</v>
      </c>
      <c r="D50" s="201" t="s">
        <v>152</v>
      </c>
      <c r="E50" s="206">
        <v>60628</v>
      </c>
      <c r="F50" s="206">
        <v>6063</v>
      </c>
      <c r="G50" s="206">
        <v>303</v>
      </c>
      <c r="H50" s="202">
        <f t="shared" si="0"/>
        <v>54868</v>
      </c>
      <c r="I50" s="205" t="s">
        <v>193</v>
      </c>
      <c r="J50" s="205" t="s">
        <v>23</v>
      </c>
      <c r="K50" s="201" t="s">
        <v>1042</v>
      </c>
      <c r="L50" s="205" t="s">
        <v>1146</v>
      </c>
      <c r="M50" s="201" t="s">
        <v>1030</v>
      </c>
      <c r="N50" s="205" t="s">
        <v>652</v>
      </c>
      <c r="O50" s="205" t="s">
        <v>652</v>
      </c>
      <c r="P50" s="207" t="s">
        <v>663</v>
      </c>
      <c r="Q50" s="208" t="s">
        <v>723</v>
      </c>
      <c r="R50" s="208" t="s">
        <v>1086</v>
      </c>
    </row>
    <row r="51" spans="1:18" s="205" customFormat="1" x14ac:dyDescent="0.2">
      <c r="A51" s="205" t="s">
        <v>1147</v>
      </c>
      <c r="B51" s="205" t="s">
        <v>282</v>
      </c>
      <c r="C51" s="200">
        <v>45385</v>
      </c>
      <c r="D51" s="201" t="s">
        <v>152</v>
      </c>
      <c r="E51" s="206">
        <v>82085</v>
      </c>
      <c r="F51" s="206">
        <v>8209</v>
      </c>
      <c r="G51" s="206">
        <v>410</v>
      </c>
      <c r="H51" s="202">
        <f t="shared" si="0"/>
        <v>74286</v>
      </c>
      <c r="I51" s="205" t="s">
        <v>193</v>
      </c>
      <c r="J51" s="205" t="s">
        <v>23</v>
      </c>
      <c r="K51" s="201" t="s">
        <v>1042</v>
      </c>
      <c r="L51" s="205" t="s">
        <v>1148</v>
      </c>
      <c r="M51" s="201" t="s">
        <v>1030</v>
      </c>
      <c r="N51" s="205" t="s">
        <v>652</v>
      </c>
      <c r="O51" s="205" t="s">
        <v>652</v>
      </c>
      <c r="P51" s="207" t="s">
        <v>663</v>
      </c>
      <c r="Q51" s="208" t="s">
        <v>723</v>
      </c>
      <c r="R51" s="208" t="s">
        <v>1086</v>
      </c>
    </row>
    <row r="52" spans="1:18" s="205" customFormat="1" x14ac:dyDescent="0.2">
      <c r="A52" s="205" t="s">
        <v>1149</v>
      </c>
      <c r="B52" s="205" t="s">
        <v>282</v>
      </c>
      <c r="C52" s="200">
        <v>45385</v>
      </c>
      <c r="D52" s="201" t="s">
        <v>152</v>
      </c>
      <c r="E52" s="206">
        <v>82085</v>
      </c>
      <c r="F52" s="206">
        <v>8209</v>
      </c>
      <c r="G52" s="206">
        <v>410</v>
      </c>
      <c r="H52" s="202">
        <f t="shared" si="0"/>
        <v>74286</v>
      </c>
      <c r="I52" s="205" t="s">
        <v>193</v>
      </c>
      <c r="J52" s="205" t="s">
        <v>23</v>
      </c>
      <c r="K52" s="201" t="s">
        <v>1042</v>
      </c>
      <c r="L52" s="205" t="s">
        <v>1150</v>
      </c>
      <c r="M52" s="201" t="s">
        <v>1030</v>
      </c>
      <c r="N52" s="205" t="s">
        <v>652</v>
      </c>
      <c r="O52" s="205" t="s">
        <v>652</v>
      </c>
      <c r="P52" s="207" t="s">
        <v>663</v>
      </c>
      <c r="Q52" s="208" t="s">
        <v>723</v>
      </c>
      <c r="R52" s="208" t="s">
        <v>1086</v>
      </c>
    </row>
    <row r="53" spans="1:18" s="205" customFormat="1" x14ac:dyDescent="0.2">
      <c r="A53" s="205" t="s">
        <v>63</v>
      </c>
      <c r="B53" s="205" t="s">
        <v>555</v>
      </c>
      <c r="C53" s="200">
        <v>45385</v>
      </c>
      <c r="D53" s="201" t="s">
        <v>152</v>
      </c>
      <c r="E53" s="206">
        <v>1403946</v>
      </c>
      <c r="F53" s="206">
        <v>140395</v>
      </c>
      <c r="G53" s="206">
        <v>7020</v>
      </c>
      <c r="H53" s="202">
        <f t="shared" si="0"/>
        <v>1270571</v>
      </c>
      <c r="I53" s="205" t="s">
        <v>22</v>
      </c>
      <c r="J53" s="205" t="s">
        <v>23</v>
      </c>
      <c r="K53" s="201" t="s">
        <v>1151</v>
      </c>
      <c r="L53" s="205" t="s">
        <v>1152</v>
      </c>
      <c r="M53" s="201" t="s">
        <v>1030</v>
      </c>
      <c r="N53" s="205" t="s">
        <v>652</v>
      </c>
      <c r="O53" s="205" t="s">
        <v>652</v>
      </c>
      <c r="P53" s="207" t="s">
        <v>858</v>
      </c>
      <c r="Q53" s="208" t="s">
        <v>859</v>
      </c>
      <c r="R53" s="208" t="s">
        <v>1086</v>
      </c>
    </row>
    <row r="54" spans="1:18" s="205" customFormat="1" x14ac:dyDescent="0.2">
      <c r="A54" s="205" t="s">
        <v>1153</v>
      </c>
      <c r="B54" s="205" t="s">
        <v>282</v>
      </c>
      <c r="C54" s="200">
        <v>45385</v>
      </c>
      <c r="D54" s="201" t="s">
        <v>152</v>
      </c>
      <c r="E54" s="206">
        <v>60628</v>
      </c>
      <c r="F54" s="206">
        <v>6063</v>
      </c>
      <c r="G54" s="206">
        <v>303</v>
      </c>
      <c r="H54" s="202">
        <f t="shared" si="0"/>
        <v>54868</v>
      </c>
      <c r="I54" s="205" t="s">
        <v>193</v>
      </c>
      <c r="J54" s="205" t="s">
        <v>23</v>
      </c>
      <c r="K54" s="201" t="s">
        <v>1042</v>
      </c>
      <c r="L54" s="205" t="s">
        <v>1154</v>
      </c>
      <c r="M54" s="201" t="s">
        <v>1030</v>
      </c>
      <c r="N54" s="205" t="s">
        <v>652</v>
      </c>
      <c r="O54" s="205" t="s">
        <v>652</v>
      </c>
      <c r="P54" s="207" t="s">
        <v>663</v>
      </c>
      <c r="Q54" s="208" t="s">
        <v>723</v>
      </c>
      <c r="R54" s="208" t="s">
        <v>1086</v>
      </c>
    </row>
    <row r="55" spans="1:18" s="205" customFormat="1" x14ac:dyDescent="0.2">
      <c r="A55" s="205" t="s">
        <v>1155</v>
      </c>
      <c r="B55" s="205" t="s">
        <v>246</v>
      </c>
      <c r="C55" s="200">
        <v>45385</v>
      </c>
      <c r="D55" s="201" t="s">
        <v>152</v>
      </c>
      <c r="E55" s="206">
        <v>22716</v>
      </c>
      <c r="F55" s="206">
        <v>2272</v>
      </c>
      <c r="G55" s="206">
        <v>114</v>
      </c>
      <c r="H55" s="202">
        <f t="shared" si="0"/>
        <v>20558</v>
      </c>
      <c r="I55" s="205" t="s">
        <v>193</v>
      </c>
      <c r="J55" s="205" t="s">
        <v>23</v>
      </c>
      <c r="K55" s="201" t="s">
        <v>1042</v>
      </c>
      <c r="L55" s="205" t="s">
        <v>1156</v>
      </c>
      <c r="M55" s="201" t="s">
        <v>1030</v>
      </c>
      <c r="N55" s="205" t="s">
        <v>652</v>
      </c>
      <c r="O55" s="205" t="s">
        <v>652</v>
      </c>
      <c r="P55" s="207" t="s">
        <v>987</v>
      </c>
      <c r="Q55" s="208" t="s">
        <v>988</v>
      </c>
      <c r="R55" s="208" t="s">
        <v>1086</v>
      </c>
    </row>
    <row r="56" spans="1:18" s="205" customFormat="1" x14ac:dyDescent="0.2">
      <c r="A56" s="205" t="s">
        <v>1157</v>
      </c>
      <c r="B56" s="205" t="s">
        <v>246</v>
      </c>
      <c r="C56" s="200">
        <v>45385</v>
      </c>
      <c r="D56" s="201" t="s">
        <v>152</v>
      </c>
      <c r="E56" s="206">
        <v>22716</v>
      </c>
      <c r="F56" s="206">
        <v>2272</v>
      </c>
      <c r="G56" s="206">
        <v>114</v>
      </c>
      <c r="H56" s="202">
        <f t="shared" si="0"/>
        <v>20558</v>
      </c>
      <c r="I56" s="205" t="s">
        <v>193</v>
      </c>
      <c r="J56" s="205" t="s">
        <v>23</v>
      </c>
      <c r="K56" s="201" t="s">
        <v>1042</v>
      </c>
      <c r="L56" s="205" t="s">
        <v>1158</v>
      </c>
      <c r="M56" s="201" t="s">
        <v>1030</v>
      </c>
      <c r="N56" s="205" t="s">
        <v>652</v>
      </c>
      <c r="O56" s="205" t="s">
        <v>652</v>
      </c>
      <c r="P56" s="207" t="s">
        <v>987</v>
      </c>
      <c r="Q56" s="208" t="s">
        <v>988</v>
      </c>
      <c r="R56" s="208" t="s">
        <v>1086</v>
      </c>
    </row>
    <row r="57" spans="1:18" s="205" customFormat="1" x14ac:dyDescent="0.2">
      <c r="A57" s="205" t="s">
        <v>212</v>
      </c>
      <c r="B57" s="205" t="s">
        <v>392</v>
      </c>
      <c r="C57" s="200">
        <v>45385</v>
      </c>
      <c r="D57" s="199" t="s">
        <v>166</v>
      </c>
      <c r="E57" s="206">
        <v>-36097</v>
      </c>
      <c r="F57" s="206">
        <v>-3610</v>
      </c>
      <c r="G57" s="206">
        <v>-180</v>
      </c>
      <c r="H57" s="202">
        <f t="shared" si="0"/>
        <v>-32667</v>
      </c>
      <c r="I57" s="205" t="s">
        <v>52</v>
      </c>
      <c r="J57" s="205" t="s">
        <v>23</v>
      </c>
      <c r="K57" s="201" t="s">
        <v>1068</v>
      </c>
      <c r="L57" s="205" t="s">
        <v>1159</v>
      </c>
      <c r="M57" s="201" t="s">
        <v>1030</v>
      </c>
      <c r="N57" s="205" t="s">
        <v>652</v>
      </c>
      <c r="O57" s="205" t="s">
        <v>652</v>
      </c>
      <c r="P57" s="207" t="s">
        <v>701</v>
      </c>
      <c r="Q57" s="208" t="s">
        <v>702</v>
      </c>
      <c r="R57" s="208" t="s">
        <v>1086</v>
      </c>
    </row>
    <row r="58" spans="1:18" s="205" customFormat="1" x14ac:dyDescent="0.2">
      <c r="A58" s="205" t="s">
        <v>182</v>
      </c>
      <c r="B58" s="205" t="s">
        <v>1160</v>
      </c>
      <c r="C58" s="200">
        <v>45385</v>
      </c>
      <c r="D58" s="201" t="s">
        <v>152</v>
      </c>
      <c r="E58" s="206">
        <v>1006315</v>
      </c>
      <c r="F58" s="206">
        <v>0</v>
      </c>
      <c r="G58" s="206">
        <v>0</v>
      </c>
      <c r="H58" s="202">
        <f t="shared" si="0"/>
        <v>1006315</v>
      </c>
      <c r="I58" s="205" t="s">
        <v>25</v>
      </c>
      <c r="J58" s="205" t="s">
        <v>214</v>
      </c>
      <c r="K58" s="201" t="s">
        <v>1028</v>
      </c>
      <c r="L58" s="205" t="s">
        <v>1161</v>
      </c>
      <c r="M58" s="201" t="s">
        <v>1030</v>
      </c>
      <c r="N58" s="205" t="s">
        <v>652</v>
      </c>
      <c r="O58" s="205" t="s">
        <v>652</v>
      </c>
      <c r="P58" s="207" t="s">
        <v>987</v>
      </c>
      <c r="Q58" s="208" t="s">
        <v>988</v>
      </c>
      <c r="R58" s="208" t="s">
        <v>1086</v>
      </c>
    </row>
    <row r="59" spans="1:18" s="205" customFormat="1" x14ac:dyDescent="0.2">
      <c r="A59" s="205" t="s">
        <v>68</v>
      </c>
      <c r="B59" s="205" t="s">
        <v>600</v>
      </c>
      <c r="C59" s="200">
        <v>45385</v>
      </c>
      <c r="D59" s="201" t="s">
        <v>152</v>
      </c>
      <c r="E59" s="206">
        <v>162848</v>
      </c>
      <c r="F59" s="206">
        <v>0</v>
      </c>
      <c r="G59" s="206">
        <v>0</v>
      </c>
      <c r="H59" s="202">
        <f t="shared" si="0"/>
        <v>162848</v>
      </c>
      <c r="I59" s="205" t="s">
        <v>25</v>
      </c>
      <c r="J59" s="205" t="s">
        <v>214</v>
      </c>
      <c r="K59" s="201" t="s">
        <v>1042</v>
      </c>
      <c r="L59" s="205" t="s">
        <v>1162</v>
      </c>
      <c r="M59" s="201" t="s">
        <v>1030</v>
      </c>
      <c r="N59" s="205" t="s">
        <v>652</v>
      </c>
      <c r="O59" s="205" t="s">
        <v>652</v>
      </c>
      <c r="P59" s="207" t="s">
        <v>653</v>
      </c>
      <c r="Q59" s="208" t="s">
        <v>654</v>
      </c>
      <c r="R59" s="208" t="s">
        <v>1086</v>
      </c>
    </row>
    <row r="60" spans="1:18" s="205" customFormat="1" x14ac:dyDescent="0.2">
      <c r="A60" s="205" t="s">
        <v>1163</v>
      </c>
      <c r="B60" s="205" t="s">
        <v>1164</v>
      </c>
      <c r="C60" s="200">
        <v>45386</v>
      </c>
      <c r="D60" s="201" t="s">
        <v>152</v>
      </c>
      <c r="E60" s="206">
        <v>294432</v>
      </c>
      <c r="F60" s="206">
        <v>29443</v>
      </c>
      <c r="G60" s="206">
        <v>2944</v>
      </c>
      <c r="H60" s="202">
        <f t="shared" si="0"/>
        <v>267933</v>
      </c>
      <c r="I60" s="205" t="s">
        <v>46</v>
      </c>
      <c r="J60" s="205" t="s">
        <v>29</v>
      </c>
      <c r="K60" s="201" t="s">
        <v>1058</v>
      </c>
      <c r="L60" s="205" t="s">
        <v>1165</v>
      </c>
      <c r="M60" s="201" t="s">
        <v>1030</v>
      </c>
      <c r="N60" s="205" t="s">
        <v>1166</v>
      </c>
      <c r="O60" s="205" t="s">
        <v>1061</v>
      </c>
      <c r="P60" s="207" t="s">
        <v>690</v>
      </c>
      <c r="Q60" s="208" t="s">
        <v>691</v>
      </c>
      <c r="R60" s="208" t="s">
        <v>1086</v>
      </c>
    </row>
    <row r="61" spans="1:18" s="205" customFormat="1" x14ac:dyDescent="0.2">
      <c r="A61" s="205" t="s">
        <v>1167</v>
      </c>
      <c r="B61" s="205" t="s">
        <v>1168</v>
      </c>
      <c r="C61" s="200">
        <v>45386</v>
      </c>
      <c r="D61" s="201" t="s">
        <v>152</v>
      </c>
      <c r="E61" s="206">
        <v>31000</v>
      </c>
      <c r="F61" s="206">
        <v>3100</v>
      </c>
      <c r="G61" s="206">
        <v>310</v>
      </c>
      <c r="H61" s="202">
        <f t="shared" si="0"/>
        <v>28210</v>
      </c>
      <c r="I61" s="205" t="s">
        <v>32</v>
      </c>
      <c r="J61" s="205" t="s">
        <v>29</v>
      </c>
      <c r="K61" s="201" t="s">
        <v>1028</v>
      </c>
      <c r="L61" s="205" t="s">
        <v>1169</v>
      </c>
      <c r="M61" s="201" t="s">
        <v>1030</v>
      </c>
      <c r="N61" s="205" t="s">
        <v>652</v>
      </c>
      <c r="O61" s="205" t="s">
        <v>652</v>
      </c>
      <c r="P61" s="207" t="s">
        <v>880</v>
      </c>
      <c r="Q61" s="208" t="s">
        <v>973</v>
      </c>
      <c r="R61" s="208" t="s">
        <v>1086</v>
      </c>
    </row>
    <row r="62" spans="1:18" s="205" customFormat="1" x14ac:dyDescent="0.2">
      <c r="A62" s="205" t="s">
        <v>1170</v>
      </c>
      <c r="B62" s="205" t="s">
        <v>1171</v>
      </c>
      <c r="C62" s="200">
        <v>45386</v>
      </c>
      <c r="D62" s="201" t="s">
        <v>152</v>
      </c>
      <c r="E62" s="206">
        <v>273565</v>
      </c>
      <c r="F62" s="206">
        <v>27357</v>
      </c>
      <c r="G62" s="206">
        <v>2736</v>
      </c>
      <c r="H62" s="202">
        <f t="shared" si="0"/>
        <v>248944</v>
      </c>
      <c r="I62" s="205" t="s">
        <v>410</v>
      </c>
      <c r="J62" s="205" t="s">
        <v>29</v>
      </c>
      <c r="K62" s="201" t="s">
        <v>1058</v>
      </c>
      <c r="L62" s="205" t="s">
        <v>1172</v>
      </c>
      <c r="M62" s="201" t="s">
        <v>1030</v>
      </c>
      <c r="N62" s="205" t="s">
        <v>652</v>
      </c>
      <c r="O62" s="205" t="s">
        <v>652</v>
      </c>
      <c r="P62" s="207" t="s">
        <v>987</v>
      </c>
      <c r="Q62" s="208" t="s">
        <v>988</v>
      </c>
      <c r="R62" s="208" t="s">
        <v>1086</v>
      </c>
    </row>
    <row r="63" spans="1:18" s="205" customFormat="1" x14ac:dyDescent="0.2">
      <c r="A63" s="205" t="s">
        <v>45</v>
      </c>
      <c r="B63" s="205" t="s">
        <v>527</v>
      </c>
      <c r="C63" s="200">
        <v>45386</v>
      </c>
      <c r="D63" s="201" t="s">
        <v>152</v>
      </c>
      <c r="E63" s="206">
        <v>7278</v>
      </c>
      <c r="F63" s="206">
        <v>728</v>
      </c>
      <c r="G63" s="206">
        <v>73</v>
      </c>
      <c r="H63" s="202">
        <f t="shared" si="0"/>
        <v>6623</v>
      </c>
      <c r="I63" s="205" t="s">
        <v>28</v>
      </c>
      <c r="J63" s="205" t="s">
        <v>29</v>
      </c>
      <c r="K63" s="201" t="s">
        <v>1042</v>
      </c>
      <c r="L63" s="205" t="s">
        <v>1173</v>
      </c>
      <c r="M63" s="201" t="s">
        <v>1030</v>
      </c>
      <c r="N63" s="205" t="s">
        <v>652</v>
      </c>
      <c r="O63" s="205" t="s">
        <v>652</v>
      </c>
      <c r="P63" s="207" t="s">
        <v>718</v>
      </c>
      <c r="Q63" s="208" t="s">
        <v>719</v>
      </c>
      <c r="R63" s="208" t="s">
        <v>750</v>
      </c>
    </row>
    <row r="64" spans="1:18" s="205" customFormat="1" x14ac:dyDescent="0.2">
      <c r="A64" s="205" t="s">
        <v>27</v>
      </c>
      <c r="B64" s="205" t="s">
        <v>531</v>
      </c>
      <c r="C64" s="200">
        <v>45386</v>
      </c>
      <c r="D64" s="201" t="s">
        <v>152</v>
      </c>
      <c r="E64" s="206">
        <v>15335</v>
      </c>
      <c r="F64" s="206">
        <v>1534</v>
      </c>
      <c r="G64" s="206">
        <v>153</v>
      </c>
      <c r="H64" s="202">
        <f t="shared" si="0"/>
        <v>13954</v>
      </c>
      <c r="I64" s="205" t="s">
        <v>28</v>
      </c>
      <c r="J64" s="205" t="s">
        <v>29</v>
      </c>
      <c r="K64" s="201" t="s">
        <v>1042</v>
      </c>
      <c r="L64" s="205" t="s">
        <v>1174</v>
      </c>
      <c r="M64" s="201" t="s">
        <v>1030</v>
      </c>
      <c r="N64" s="205" t="s">
        <v>652</v>
      </c>
      <c r="O64" s="205" t="s">
        <v>652</v>
      </c>
      <c r="P64" s="207" t="s">
        <v>764</v>
      </c>
      <c r="Q64" s="208" t="s">
        <v>765</v>
      </c>
      <c r="R64" s="208" t="s">
        <v>750</v>
      </c>
    </row>
    <row r="65" spans="1:18" s="205" customFormat="1" x14ac:dyDescent="0.2">
      <c r="A65" s="205" t="s">
        <v>1175</v>
      </c>
      <c r="B65" s="205" t="s">
        <v>1176</v>
      </c>
      <c r="C65" s="200">
        <v>45386</v>
      </c>
      <c r="D65" s="201" t="s">
        <v>152</v>
      </c>
      <c r="E65" s="206">
        <v>43137</v>
      </c>
      <c r="F65" s="206">
        <v>4314</v>
      </c>
      <c r="G65" s="206">
        <v>431</v>
      </c>
      <c r="H65" s="202">
        <f t="shared" si="0"/>
        <v>39254</v>
      </c>
      <c r="I65" s="205" t="s">
        <v>871</v>
      </c>
      <c r="J65" s="205" t="s">
        <v>29</v>
      </c>
      <c r="K65" s="201" t="s">
        <v>1058</v>
      </c>
      <c r="L65" s="205" t="s">
        <v>1177</v>
      </c>
      <c r="M65" s="201" t="s">
        <v>1030</v>
      </c>
      <c r="N65" s="205" t="s">
        <v>652</v>
      </c>
      <c r="O65" s="205" t="s">
        <v>652</v>
      </c>
      <c r="P65" s="207" t="s">
        <v>722</v>
      </c>
      <c r="Q65" s="208" t="s">
        <v>723</v>
      </c>
      <c r="R65" s="208" t="s">
        <v>750</v>
      </c>
    </row>
    <row r="66" spans="1:18" s="205" customFormat="1" x14ac:dyDescent="0.2">
      <c r="A66" s="205" t="s">
        <v>1178</v>
      </c>
      <c r="B66" s="205" t="s">
        <v>1179</v>
      </c>
      <c r="C66" s="200">
        <v>45386</v>
      </c>
      <c r="D66" s="201" t="s">
        <v>152</v>
      </c>
      <c r="E66" s="206">
        <v>38660</v>
      </c>
      <c r="F66" s="206">
        <v>3866</v>
      </c>
      <c r="G66" s="206">
        <v>387</v>
      </c>
      <c r="H66" s="202">
        <f t="shared" ref="H66:H129" si="1">E66+G66-F66</f>
        <v>35181</v>
      </c>
      <c r="I66" s="205" t="s">
        <v>1180</v>
      </c>
      <c r="J66" s="205" t="s">
        <v>29</v>
      </c>
      <c r="K66" s="201" t="s">
        <v>1058</v>
      </c>
      <c r="L66" s="205" t="s">
        <v>1181</v>
      </c>
      <c r="M66" s="201" t="s">
        <v>1182</v>
      </c>
      <c r="N66" s="205" t="s">
        <v>652</v>
      </c>
      <c r="O66" s="205" t="s">
        <v>652</v>
      </c>
      <c r="P66" s="207" t="s">
        <v>866</v>
      </c>
      <c r="Q66" s="208" t="s">
        <v>986</v>
      </c>
      <c r="R66" s="208" t="s">
        <v>750</v>
      </c>
    </row>
    <row r="67" spans="1:18" s="205" customFormat="1" x14ac:dyDescent="0.2">
      <c r="A67" s="205" t="s">
        <v>1183</v>
      </c>
      <c r="B67" s="205" t="s">
        <v>1184</v>
      </c>
      <c r="C67" s="200">
        <v>45386</v>
      </c>
      <c r="D67" s="201" t="s">
        <v>152</v>
      </c>
      <c r="E67" s="206">
        <v>9632120</v>
      </c>
      <c r="F67" s="206">
        <v>963212</v>
      </c>
      <c r="G67" s="206">
        <v>96321</v>
      </c>
      <c r="H67" s="202">
        <f t="shared" si="1"/>
        <v>8765229</v>
      </c>
      <c r="I67" s="205" t="s">
        <v>90</v>
      </c>
      <c r="J67" s="205" t="s">
        <v>29</v>
      </c>
      <c r="K67" s="201" t="s">
        <v>1058</v>
      </c>
      <c r="L67" s="205" t="s">
        <v>1185</v>
      </c>
      <c r="M67" s="201" t="s">
        <v>1030</v>
      </c>
      <c r="N67" s="205" t="s">
        <v>1186</v>
      </c>
      <c r="O67" s="205" t="s">
        <v>1187</v>
      </c>
      <c r="P67" s="207" t="s">
        <v>987</v>
      </c>
      <c r="Q67" s="208" t="s">
        <v>988</v>
      </c>
      <c r="R67" s="208" t="s">
        <v>750</v>
      </c>
    </row>
    <row r="68" spans="1:18" s="205" customFormat="1" x14ac:dyDescent="0.2">
      <c r="A68" s="205" t="s">
        <v>27</v>
      </c>
      <c r="B68" s="205" t="s">
        <v>531</v>
      </c>
      <c r="C68" s="200">
        <v>45386</v>
      </c>
      <c r="D68" s="201" t="s">
        <v>152</v>
      </c>
      <c r="E68" s="206">
        <v>255921</v>
      </c>
      <c r="F68" s="206">
        <v>25592</v>
      </c>
      <c r="G68" s="206">
        <v>2559</v>
      </c>
      <c r="H68" s="202">
        <f t="shared" si="1"/>
        <v>232888</v>
      </c>
      <c r="I68" s="205" t="s">
        <v>28</v>
      </c>
      <c r="J68" s="205" t="s">
        <v>29</v>
      </c>
      <c r="K68" s="201" t="s">
        <v>1042</v>
      </c>
      <c r="L68" s="205" t="s">
        <v>1188</v>
      </c>
      <c r="M68" s="201" t="s">
        <v>1030</v>
      </c>
      <c r="N68" s="205" t="s">
        <v>652</v>
      </c>
      <c r="O68" s="205" t="s">
        <v>652</v>
      </c>
      <c r="P68" s="207" t="s">
        <v>764</v>
      </c>
      <c r="Q68" s="208" t="s">
        <v>765</v>
      </c>
      <c r="R68" s="208" t="s">
        <v>750</v>
      </c>
    </row>
    <row r="69" spans="1:18" s="205" customFormat="1" x14ac:dyDescent="0.2">
      <c r="A69" s="205" t="s">
        <v>312</v>
      </c>
      <c r="B69" s="205" t="s">
        <v>557</v>
      </c>
      <c r="C69" s="200">
        <v>45386</v>
      </c>
      <c r="D69" s="201" t="s">
        <v>152</v>
      </c>
      <c r="E69" s="206">
        <v>30156</v>
      </c>
      <c r="F69" s="206">
        <v>3016</v>
      </c>
      <c r="G69" s="206">
        <v>302</v>
      </c>
      <c r="H69" s="202">
        <f t="shared" si="1"/>
        <v>27442</v>
      </c>
      <c r="I69" s="205" t="s">
        <v>98</v>
      </c>
      <c r="J69" s="205" t="s">
        <v>29</v>
      </c>
      <c r="K69" s="201" t="s">
        <v>1042</v>
      </c>
      <c r="L69" s="205" t="s">
        <v>1189</v>
      </c>
      <c r="M69" s="201" t="s">
        <v>1030</v>
      </c>
      <c r="N69" s="205" t="s">
        <v>1190</v>
      </c>
      <c r="O69" s="205" t="s">
        <v>1191</v>
      </c>
      <c r="P69" s="207" t="s">
        <v>653</v>
      </c>
      <c r="Q69" s="208" t="s">
        <v>654</v>
      </c>
      <c r="R69" s="208" t="s">
        <v>750</v>
      </c>
    </row>
    <row r="70" spans="1:18" s="205" customFormat="1" x14ac:dyDescent="0.2">
      <c r="A70" s="205" t="s">
        <v>428</v>
      </c>
      <c r="B70" s="205" t="s">
        <v>710</v>
      </c>
      <c r="C70" s="200">
        <v>45386</v>
      </c>
      <c r="D70" s="201" t="s">
        <v>152</v>
      </c>
      <c r="E70" s="206">
        <v>70583</v>
      </c>
      <c r="F70" s="206">
        <v>7058</v>
      </c>
      <c r="G70" s="206">
        <v>706</v>
      </c>
      <c r="H70" s="202">
        <f t="shared" si="1"/>
        <v>64231</v>
      </c>
      <c r="I70" s="205" t="s">
        <v>562</v>
      </c>
      <c r="J70" s="205" t="s">
        <v>29</v>
      </c>
      <c r="K70" s="201" t="s">
        <v>1042</v>
      </c>
      <c r="L70" s="205" t="s">
        <v>1192</v>
      </c>
      <c r="M70" s="201" t="s">
        <v>1030</v>
      </c>
      <c r="N70" s="205" t="s">
        <v>652</v>
      </c>
      <c r="O70" s="205" t="s">
        <v>652</v>
      </c>
      <c r="P70" s="207" t="s">
        <v>711</v>
      </c>
      <c r="Q70" s="208" t="s">
        <v>712</v>
      </c>
      <c r="R70" s="208" t="s">
        <v>750</v>
      </c>
    </row>
    <row r="71" spans="1:18" s="205" customFormat="1" x14ac:dyDescent="0.2">
      <c r="A71" s="205" t="s">
        <v>1193</v>
      </c>
      <c r="B71" s="205" t="s">
        <v>1194</v>
      </c>
      <c r="C71" s="200">
        <v>45386</v>
      </c>
      <c r="D71" s="201" t="s">
        <v>152</v>
      </c>
      <c r="E71" s="206">
        <v>37398</v>
      </c>
      <c r="F71" s="206">
        <v>3740</v>
      </c>
      <c r="G71" s="206">
        <v>187</v>
      </c>
      <c r="H71" s="202">
        <f t="shared" si="1"/>
        <v>33845</v>
      </c>
      <c r="I71" s="205" t="s">
        <v>774</v>
      </c>
      <c r="J71" s="205" t="s">
        <v>23</v>
      </c>
      <c r="K71" s="201" t="s">
        <v>1028</v>
      </c>
      <c r="L71" s="205" t="s">
        <v>1195</v>
      </c>
      <c r="M71" s="201" t="s">
        <v>1030</v>
      </c>
      <c r="N71" s="205" t="s">
        <v>652</v>
      </c>
      <c r="O71" s="205" t="s">
        <v>652</v>
      </c>
      <c r="P71" s="207" t="s">
        <v>655</v>
      </c>
      <c r="Q71" s="208" t="s">
        <v>794</v>
      </c>
      <c r="R71" s="208" t="s">
        <v>1086</v>
      </c>
    </row>
    <row r="72" spans="1:18" s="205" customFormat="1" x14ac:dyDescent="0.2">
      <c r="A72" s="205" t="s">
        <v>414</v>
      </c>
      <c r="B72" s="205" t="s">
        <v>578</v>
      </c>
      <c r="C72" s="200">
        <v>45386</v>
      </c>
      <c r="D72" s="201" t="s">
        <v>152</v>
      </c>
      <c r="E72" s="206">
        <v>20052</v>
      </c>
      <c r="F72" s="206">
        <v>2005</v>
      </c>
      <c r="G72" s="206">
        <v>100</v>
      </c>
      <c r="H72" s="202">
        <f t="shared" si="1"/>
        <v>18147</v>
      </c>
      <c r="I72" s="205" t="s">
        <v>54</v>
      </c>
      <c r="J72" s="205" t="s">
        <v>23</v>
      </c>
      <c r="K72" s="201" t="s">
        <v>1042</v>
      </c>
      <c r="L72" s="205" t="s">
        <v>1196</v>
      </c>
      <c r="M72" s="201" t="s">
        <v>1030</v>
      </c>
      <c r="N72" s="205" t="s">
        <v>652</v>
      </c>
      <c r="O72" s="205" t="s">
        <v>652</v>
      </c>
      <c r="P72" s="207" t="s">
        <v>653</v>
      </c>
      <c r="Q72" s="208" t="s">
        <v>654</v>
      </c>
      <c r="R72" s="208" t="s">
        <v>750</v>
      </c>
    </row>
    <row r="73" spans="1:18" s="205" customFormat="1" x14ac:dyDescent="0.2">
      <c r="A73" s="205" t="s">
        <v>1197</v>
      </c>
      <c r="B73" s="205" t="s">
        <v>246</v>
      </c>
      <c r="C73" s="200">
        <v>45386</v>
      </c>
      <c r="D73" s="201" t="s">
        <v>152</v>
      </c>
      <c r="E73" s="206">
        <v>22716</v>
      </c>
      <c r="F73" s="206">
        <v>2272</v>
      </c>
      <c r="G73" s="206">
        <v>114</v>
      </c>
      <c r="H73" s="202">
        <f t="shared" si="1"/>
        <v>20558</v>
      </c>
      <c r="I73" s="205" t="s">
        <v>193</v>
      </c>
      <c r="J73" s="205" t="s">
        <v>23</v>
      </c>
      <c r="K73" s="201" t="s">
        <v>1042</v>
      </c>
      <c r="L73" s="205" t="s">
        <v>1198</v>
      </c>
      <c r="M73" s="201" t="s">
        <v>1030</v>
      </c>
      <c r="N73" s="205" t="s">
        <v>652</v>
      </c>
      <c r="O73" s="205" t="s">
        <v>652</v>
      </c>
      <c r="P73" s="215" t="s">
        <v>663</v>
      </c>
      <c r="Q73" s="216" t="s">
        <v>723</v>
      </c>
      <c r="R73" s="216" t="s">
        <v>750</v>
      </c>
    </row>
    <row r="74" spans="1:18" s="205" customFormat="1" x14ac:dyDescent="0.2">
      <c r="A74" s="205" t="s">
        <v>1199</v>
      </c>
      <c r="B74" s="205" t="s">
        <v>246</v>
      </c>
      <c r="C74" s="200">
        <v>45386</v>
      </c>
      <c r="D74" s="201" t="s">
        <v>152</v>
      </c>
      <c r="E74" s="206">
        <v>44011</v>
      </c>
      <c r="F74" s="206">
        <v>4401</v>
      </c>
      <c r="G74" s="206">
        <v>220</v>
      </c>
      <c r="H74" s="202">
        <f t="shared" si="1"/>
        <v>39830</v>
      </c>
      <c r="I74" s="205" t="s">
        <v>193</v>
      </c>
      <c r="J74" s="205" t="s">
        <v>23</v>
      </c>
      <c r="K74" s="201" t="s">
        <v>1042</v>
      </c>
      <c r="L74" s="205" t="s">
        <v>1200</v>
      </c>
      <c r="M74" s="201" t="s">
        <v>1030</v>
      </c>
      <c r="N74" s="205" t="s">
        <v>652</v>
      </c>
      <c r="O74" s="205" t="s">
        <v>652</v>
      </c>
      <c r="P74" s="207" t="s">
        <v>663</v>
      </c>
      <c r="Q74" s="208" t="s">
        <v>723</v>
      </c>
      <c r="R74" s="208" t="s">
        <v>750</v>
      </c>
    </row>
    <row r="75" spans="1:18" s="205" customFormat="1" x14ac:dyDescent="0.2">
      <c r="A75" s="205" t="s">
        <v>1201</v>
      </c>
      <c r="B75" s="205" t="s">
        <v>1202</v>
      </c>
      <c r="C75" s="200">
        <v>45386</v>
      </c>
      <c r="D75" s="201" t="s">
        <v>152</v>
      </c>
      <c r="E75" s="206">
        <v>11421262</v>
      </c>
      <c r="F75" s="206">
        <v>1142126</v>
      </c>
      <c r="G75" s="206">
        <v>57106</v>
      </c>
      <c r="H75" s="202">
        <f t="shared" si="1"/>
        <v>10336242</v>
      </c>
      <c r="I75" s="205" t="s">
        <v>81</v>
      </c>
      <c r="J75" s="205" t="s">
        <v>23</v>
      </c>
      <c r="K75" s="201" t="s">
        <v>1058</v>
      </c>
      <c r="L75" s="205" t="s">
        <v>1203</v>
      </c>
      <c r="M75" s="201" t="s">
        <v>1030</v>
      </c>
      <c r="N75" s="205" t="s">
        <v>1204</v>
      </c>
      <c r="O75" s="205" t="s">
        <v>1115</v>
      </c>
      <c r="P75" s="207" t="s">
        <v>987</v>
      </c>
      <c r="Q75" s="208" t="s">
        <v>988</v>
      </c>
      <c r="R75" s="208" t="s">
        <v>750</v>
      </c>
    </row>
    <row r="76" spans="1:18" s="205" customFormat="1" x14ac:dyDescent="0.2">
      <c r="A76" s="205" t="s">
        <v>1205</v>
      </c>
      <c r="B76" s="205" t="s">
        <v>248</v>
      </c>
      <c r="C76" s="200">
        <v>45386</v>
      </c>
      <c r="D76" s="201" t="s">
        <v>152</v>
      </c>
      <c r="E76" s="206">
        <v>42459</v>
      </c>
      <c r="F76" s="206">
        <v>4246</v>
      </c>
      <c r="G76" s="206">
        <v>212</v>
      </c>
      <c r="H76" s="202">
        <f t="shared" si="1"/>
        <v>38425</v>
      </c>
      <c r="I76" s="205" t="s">
        <v>193</v>
      </c>
      <c r="J76" s="205" t="s">
        <v>23</v>
      </c>
      <c r="K76" s="201" t="s">
        <v>1058</v>
      </c>
      <c r="L76" s="205" t="s">
        <v>1206</v>
      </c>
      <c r="M76" s="201" t="s">
        <v>1030</v>
      </c>
      <c r="N76" s="205" t="s">
        <v>652</v>
      </c>
      <c r="O76" s="205" t="s">
        <v>652</v>
      </c>
      <c r="P76" s="207" t="s">
        <v>663</v>
      </c>
      <c r="Q76" s="208" t="s">
        <v>723</v>
      </c>
      <c r="R76" s="208" t="s">
        <v>750</v>
      </c>
    </row>
    <row r="77" spans="1:18" s="205" customFormat="1" x14ac:dyDescent="0.2">
      <c r="A77" s="205" t="s">
        <v>1207</v>
      </c>
      <c r="B77" s="205" t="s">
        <v>248</v>
      </c>
      <c r="C77" s="200">
        <v>45386</v>
      </c>
      <c r="D77" s="201" t="s">
        <v>152</v>
      </c>
      <c r="E77" s="206">
        <v>80793</v>
      </c>
      <c r="F77" s="206">
        <v>8079</v>
      </c>
      <c r="G77" s="206">
        <v>404</v>
      </c>
      <c r="H77" s="202">
        <f t="shared" si="1"/>
        <v>73118</v>
      </c>
      <c r="I77" s="205" t="s">
        <v>193</v>
      </c>
      <c r="J77" s="205" t="s">
        <v>23</v>
      </c>
      <c r="K77" s="201" t="s">
        <v>1058</v>
      </c>
      <c r="L77" s="205" t="s">
        <v>1208</v>
      </c>
      <c r="M77" s="201" t="s">
        <v>1030</v>
      </c>
      <c r="N77" s="205" t="s">
        <v>652</v>
      </c>
      <c r="O77" s="205" t="s">
        <v>652</v>
      </c>
      <c r="P77" s="207" t="s">
        <v>663</v>
      </c>
      <c r="Q77" s="208" t="s">
        <v>723</v>
      </c>
      <c r="R77" s="208" t="s">
        <v>750</v>
      </c>
    </row>
    <row r="78" spans="1:18" s="205" customFormat="1" x14ac:dyDescent="0.2">
      <c r="A78" s="205" t="s">
        <v>1209</v>
      </c>
      <c r="B78" s="205" t="s">
        <v>248</v>
      </c>
      <c r="C78" s="200">
        <v>45386</v>
      </c>
      <c r="D78" s="201" t="s">
        <v>152</v>
      </c>
      <c r="E78" s="206">
        <v>42459</v>
      </c>
      <c r="F78" s="206">
        <v>4246</v>
      </c>
      <c r="G78" s="206">
        <v>212</v>
      </c>
      <c r="H78" s="202">
        <f t="shared" si="1"/>
        <v>38425</v>
      </c>
      <c r="I78" s="205" t="s">
        <v>193</v>
      </c>
      <c r="J78" s="205" t="s">
        <v>23</v>
      </c>
      <c r="K78" s="201" t="s">
        <v>1058</v>
      </c>
      <c r="L78" s="205" t="s">
        <v>1210</v>
      </c>
      <c r="M78" s="201" t="s">
        <v>1030</v>
      </c>
      <c r="N78" s="205" t="s">
        <v>652</v>
      </c>
      <c r="O78" s="205" t="s">
        <v>652</v>
      </c>
      <c r="P78" s="207" t="s">
        <v>663</v>
      </c>
      <c r="Q78" s="208" t="s">
        <v>723</v>
      </c>
      <c r="R78" s="208" t="s">
        <v>750</v>
      </c>
    </row>
    <row r="79" spans="1:18" s="205" customFormat="1" x14ac:dyDescent="0.2">
      <c r="A79" s="205" t="s">
        <v>1211</v>
      </c>
      <c r="B79" s="205" t="s">
        <v>1212</v>
      </c>
      <c r="C79" s="200">
        <v>45386</v>
      </c>
      <c r="D79" s="201" t="s">
        <v>152</v>
      </c>
      <c r="E79" s="206">
        <v>64384</v>
      </c>
      <c r="F79" s="206">
        <v>6438</v>
      </c>
      <c r="G79" s="206">
        <v>322</v>
      </c>
      <c r="H79" s="202">
        <f t="shared" si="1"/>
        <v>58268</v>
      </c>
      <c r="I79" s="205" t="s">
        <v>103</v>
      </c>
      <c r="J79" s="205" t="s">
        <v>23</v>
      </c>
      <c r="K79" s="201" t="s">
        <v>1028</v>
      </c>
      <c r="L79" s="205" t="s">
        <v>1213</v>
      </c>
      <c r="M79" s="201" t="s">
        <v>1030</v>
      </c>
      <c r="N79" s="205" t="s">
        <v>652</v>
      </c>
      <c r="O79" s="205" t="s">
        <v>652</v>
      </c>
      <c r="P79" s="207" t="s">
        <v>987</v>
      </c>
      <c r="Q79" s="208" t="s">
        <v>988</v>
      </c>
      <c r="R79" s="208" t="s">
        <v>750</v>
      </c>
    </row>
    <row r="80" spans="1:18" s="205" customFormat="1" x14ac:dyDescent="0.2">
      <c r="A80" s="205" t="s">
        <v>1214</v>
      </c>
      <c r="B80" s="205" t="s">
        <v>248</v>
      </c>
      <c r="C80" s="200">
        <v>45386</v>
      </c>
      <c r="D80" s="201" t="s">
        <v>152</v>
      </c>
      <c r="E80" s="206">
        <v>46915</v>
      </c>
      <c r="F80" s="206">
        <v>4692</v>
      </c>
      <c r="G80" s="206">
        <v>235</v>
      </c>
      <c r="H80" s="202">
        <f t="shared" si="1"/>
        <v>42458</v>
      </c>
      <c r="I80" s="205" t="s">
        <v>193</v>
      </c>
      <c r="J80" s="205" t="s">
        <v>23</v>
      </c>
      <c r="K80" s="201" t="s">
        <v>1058</v>
      </c>
      <c r="L80" s="205" t="s">
        <v>1215</v>
      </c>
      <c r="M80" s="201" t="s">
        <v>1030</v>
      </c>
      <c r="N80" s="205" t="s">
        <v>652</v>
      </c>
      <c r="O80" s="205" t="s">
        <v>652</v>
      </c>
      <c r="P80" s="207" t="s">
        <v>663</v>
      </c>
      <c r="Q80" s="208" t="s">
        <v>723</v>
      </c>
      <c r="R80" s="208" t="s">
        <v>750</v>
      </c>
    </row>
    <row r="81" spans="1:18" s="205" customFormat="1" x14ac:dyDescent="0.2">
      <c r="A81" s="205" t="s">
        <v>1216</v>
      </c>
      <c r="B81" s="205" t="s">
        <v>248</v>
      </c>
      <c r="C81" s="200">
        <v>45386</v>
      </c>
      <c r="D81" s="201" t="s">
        <v>152</v>
      </c>
      <c r="E81" s="206">
        <v>77293</v>
      </c>
      <c r="F81" s="206">
        <v>7729</v>
      </c>
      <c r="G81" s="206">
        <v>386</v>
      </c>
      <c r="H81" s="202">
        <f t="shared" si="1"/>
        <v>69950</v>
      </c>
      <c r="I81" s="205" t="s">
        <v>193</v>
      </c>
      <c r="J81" s="205" t="s">
        <v>23</v>
      </c>
      <c r="K81" s="201" t="s">
        <v>1058</v>
      </c>
      <c r="L81" s="205" t="s">
        <v>1217</v>
      </c>
      <c r="M81" s="201" t="s">
        <v>1030</v>
      </c>
      <c r="N81" s="205" t="s">
        <v>652</v>
      </c>
      <c r="O81" s="205" t="s">
        <v>652</v>
      </c>
      <c r="P81" s="207" t="s">
        <v>663</v>
      </c>
      <c r="Q81" s="208" t="s">
        <v>723</v>
      </c>
      <c r="R81" s="208" t="s">
        <v>750</v>
      </c>
    </row>
    <row r="82" spans="1:18" s="205" customFormat="1" x14ac:dyDescent="0.2">
      <c r="A82" s="205" t="s">
        <v>1218</v>
      </c>
      <c r="B82" s="205" t="s">
        <v>248</v>
      </c>
      <c r="C82" s="200">
        <v>45386</v>
      </c>
      <c r="D82" s="201" t="s">
        <v>152</v>
      </c>
      <c r="E82" s="206">
        <v>46915</v>
      </c>
      <c r="F82" s="206">
        <v>4692</v>
      </c>
      <c r="G82" s="206">
        <v>235</v>
      </c>
      <c r="H82" s="202">
        <f t="shared" si="1"/>
        <v>42458</v>
      </c>
      <c r="I82" s="205" t="s">
        <v>193</v>
      </c>
      <c r="J82" s="205" t="s">
        <v>23</v>
      </c>
      <c r="K82" s="201" t="s">
        <v>1058</v>
      </c>
      <c r="L82" s="205" t="s">
        <v>1219</v>
      </c>
      <c r="M82" s="201" t="s">
        <v>1030</v>
      </c>
      <c r="N82" s="205" t="s">
        <v>652</v>
      </c>
      <c r="O82" s="205" t="s">
        <v>652</v>
      </c>
      <c r="P82" s="207" t="s">
        <v>663</v>
      </c>
      <c r="Q82" s="208" t="s">
        <v>723</v>
      </c>
      <c r="R82" s="208" t="s">
        <v>750</v>
      </c>
    </row>
    <row r="83" spans="1:18" s="205" customFormat="1" x14ac:dyDescent="0.2">
      <c r="A83" s="205" t="s">
        <v>1220</v>
      </c>
      <c r="B83" s="205" t="s">
        <v>248</v>
      </c>
      <c r="C83" s="200">
        <v>45386</v>
      </c>
      <c r="D83" s="201" t="s">
        <v>152</v>
      </c>
      <c r="E83" s="206">
        <v>89231</v>
      </c>
      <c r="F83" s="206">
        <v>8923</v>
      </c>
      <c r="G83" s="206">
        <v>446</v>
      </c>
      <c r="H83" s="202">
        <f t="shared" si="1"/>
        <v>80754</v>
      </c>
      <c r="I83" s="205" t="s">
        <v>193</v>
      </c>
      <c r="J83" s="205" t="s">
        <v>23</v>
      </c>
      <c r="K83" s="201" t="s">
        <v>1058</v>
      </c>
      <c r="L83" s="205" t="s">
        <v>1221</v>
      </c>
      <c r="M83" s="201" t="s">
        <v>1030</v>
      </c>
      <c r="N83" s="205" t="s">
        <v>652</v>
      </c>
      <c r="O83" s="205" t="s">
        <v>652</v>
      </c>
      <c r="P83" s="207" t="s">
        <v>663</v>
      </c>
      <c r="Q83" s="208" t="s">
        <v>723</v>
      </c>
      <c r="R83" s="208" t="s">
        <v>750</v>
      </c>
    </row>
    <row r="84" spans="1:18" s="205" customFormat="1" x14ac:dyDescent="0.2">
      <c r="A84" s="205" t="s">
        <v>1222</v>
      </c>
      <c r="B84" s="205" t="s">
        <v>248</v>
      </c>
      <c r="C84" s="200">
        <v>45386</v>
      </c>
      <c r="D84" s="201" t="s">
        <v>152</v>
      </c>
      <c r="E84" s="206">
        <v>77293</v>
      </c>
      <c r="F84" s="206">
        <v>7729</v>
      </c>
      <c r="G84" s="206">
        <v>386</v>
      </c>
      <c r="H84" s="202">
        <f t="shared" si="1"/>
        <v>69950</v>
      </c>
      <c r="I84" s="205" t="s">
        <v>193</v>
      </c>
      <c r="J84" s="205" t="s">
        <v>23</v>
      </c>
      <c r="K84" s="201" t="s">
        <v>1058</v>
      </c>
      <c r="L84" s="205" t="s">
        <v>1223</v>
      </c>
      <c r="M84" s="201" t="s">
        <v>1030</v>
      </c>
      <c r="N84" s="205" t="s">
        <v>652</v>
      </c>
      <c r="O84" s="205" t="s">
        <v>652</v>
      </c>
      <c r="P84" s="207" t="s">
        <v>663</v>
      </c>
      <c r="Q84" s="208" t="s">
        <v>723</v>
      </c>
      <c r="R84" s="208" t="s">
        <v>750</v>
      </c>
    </row>
    <row r="85" spans="1:18" s="205" customFormat="1" x14ac:dyDescent="0.2">
      <c r="A85" s="205" t="s">
        <v>1224</v>
      </c>
      <c r="B85" s="205" t="s">
        <v>248</v>
      </c>
      <c r="C85" s="200">
        <v>45386</v>
      </c>
      <c r="D85" s="201" t="s">
        <v>152</v>
      </c>
      <c r="E85" s="206">
        <v>46915</v>
      </c>
      <c r="F85" s="206">
        <v>4692</v>
      </c>
      <c r="G85" s="206">
        <v>235</v>
      </c>
      <c r="H85" s="202">
        <f t="shared" si="1"/>
        <v>42458</v>
      </c>
      <c r="I85" s="205" t="s">
        <v>193</v>
      </c>
      <c r="J85" s="205" t="s">
        <v>23</v>
      </c>
      <c r="K85" s="201" t="s">
        <v>1058</v>
      </c>
      <c r="L85" s="205" t="s">
        <v>1225</v>
      </c>
      <c r="M85" s="201" t="s">
        <v>1030</v>
      </c>
      <c r="N85" s="205" t="s">
        <v>652</v>
      </c>
      <c r="O85" s="205" t="s">
        <v>652</v>
      </c>
      <c r="P85" s="207" t="s">
        <v>663</v>
      </c>
      <c r="Q85" s="208" t="s">
        <v>723</v>
      </c>
      <c r="R85" s="208" t="s">
        <v>750</v>
      </c>
    </row>
    <row r="86" spans="1:18" s="205" customFormat="1" x14ac:dyDescent="0.2">
      <c r="A86" s="205" t="s">
        <v>537</v>
      </c>
      <c r="B86" s="205" t="s">
        <v>538</v>
      </c>
      <c r="C86" s="200">
        <v>45386</v>
      </c>
      <c r="D86" s="201" t="s">
        <v>152</v>
      </c>
      <c r="E86" s="206">
        <v>12738</v>
      </c>
      <c r="F86" s="206">
        <v>1274</v>
      </c>
      <c r="G86" s="206">
        <v>64</v>
      </c>
      <c r="H86" s="202">
        <f t="shared" si="1"/>
        <v>11528</v>
      </c>
      <c r="I86" s="205" t="s">
        <v>344</v>
      </c>
      <c r="J86" s="205" t="s">
        <v>23</v>
      </c>
      <c r="K86" s="201" t="s">
        <v>1042</v>
      </c>
      <c r="L86" s="205" t="s">
        <v>1226</v>
      </c>
      <c r="M86" s="201" t="s">
        <v>1030</v>
      </c>
      <c r="N86" s="205" t="s">
        <v>1065</v>
      </c>
      <c r="O86" s="205" t="s">
        <v>1066</v>
      </c>
      <c r="P86" s="207" t="s">
        <v>688</v>
      </c>
      <c r="Q86" s="208" t="s">
        <v>689</v>
      </c>
      <c r="R86" s="208" t="s">
        <v>750</v>
      </c>
    </row>
    <row r="87" spans="1:18" s="205" customFormat="1" x14ac:dyDescent="0.2">
      <c r="A87" s="205" t="s">
        <v>1227</v>
      </c>
      <c r="B87" s="205" t="s">
        <v>248</v>
      </c>
      <c r="C87" s="200">
        <v>45386</v>
      </c>
      <c r="D87" s="201" t="s">
        <v>152</v>
      </c>
      <c r="E87" s="206">
        <v>42459</v>
      </c>
      <c r="F87" s="206">
        <v>4246</v>
      </c>
      <c r="G87" s="206">
        <v>212</v>
      </c>
      <c r="H87" s="202">
        <f t="shared" si="1"/>
        <v>38425</v>
      </c>
      <c r="I87" s="205" t="s">
        <v>193</v>
      </c>
      <c r="J87" s="205" t="s">
        <v>23</v>
      </c>
      <c r="K87" s="201" t="s">
        <v>1058</v>
      </c>
      <c r="L87" s="205" t="s">
        <v>1228</v>
      </c>
      <c r="M87" s="201" t="s">
        <v>1030</v>
      </c>
      <c r="N87" s="205" t="s">
        <v>652</v>
      </c>
      <c r="O87" s="205" t="s">
        <v>652</v>
      </c>
      <c r="P87" s="207" t="s">
        <v>663</v>
      </c>
      <c r="Q87" s="208" t="s">
        <v>723</v>
      </c>
      <c r="R87" s="208" t="s">
        <v>750</v>
      </c>
    </row>
    <row r="88" spans="1:18" s="205" customFormat="1" x14ac:dyDescent="0.2">
      <c r="A88" s="205" t="s">
        <v>221</v>
      </c>
      <c r="B88" s="205" t="s">
        <v>1062</v>
      </c>
      <c r="C88" s="200">
        <v>45386</v>
      </c>
      <c r="D88" s="201" t="s">
        <v>152</v>
      </c>
      <c r="E88" s="206">
        <v>128729</v>
      </c>
      <c r="F88" s="206">
        <v>12873</v>
      </c>
      <c r="G88" s="206">
        <v>644</v>
      </c>
      <c r="H88" s="202">
        <f t="shared" si="1"/>
        <v>116500</v>
      </c>
      <c r="I88" s="205" t="s">
        <v>224</v>
      </c>
      <c r="J88" s="205" t="s">
        <v>23</v>
      </c>
      <c r="K88" s="201" t="s">
        <v>1141</v>
      </c>
      <c r="L88" s="205" t="s">
        <v>1229</v>
      </c>
      <c r="M88" s="201" t="s">
        <v>1030</v>
      </c>
      <c r="N88" s="205" t="s">
        <v>652</v>
      </c>
      <c r="O88" s="205" t="s">
        <v>652</v>
      </c>
      <c r="P88" s="207" t="s">
        <v>987</v>
      </c>
      <c r="Q88" s="208" t="s">
        <v>988</v>
      </c>
      <c r="R88" s="208" t="s">
        <v>750</v>
      </c>
    </row>
    <row r="89" spans="1:18" s="205" customFormat="1" x14ac:dyDescent="0.2">
      <c r="A89" s="205" t="s">
        <v>198</v>
      </c>
      <c r="B89" s="205" t="s">
        <v>633</v>
      </c>
      <c r="C89" s="200">
        <v>45386</v>
      </c>
      <c r="D89" s="201" t="s">
        <v>152</v>
      </c>
      <c r="E89" s="206">
        <v>342254</v>
      </c>
      <c r="F89" s="206">
        <v>34225</v>
      </c>
      <c r="G89" s="206">
        <v>1711</v>
      </c>
      <c r="H89" s="202">
        <f t="shared" si="1"/>
        <v>309740</v>
      </c>
      <c r="I89" s="205" t="s">
        <v>94</v>
      </c>
      <c r="J89" s="205" t="s">
        <v>23</v>
      </c>
      <c r="K89" s="201" t="s">
        <v>1042</v>
      </c>
      <c r="L89" s="205" t="s">
        <v>1230</v>
      </c>
      <c r="M89" s="201" t="s">
        <v>1030</v>
      </c>
      <c r="N89" s="205" t="s">
        <v>652</v>
      </c>
      <c r="O89" s="205" t="s">
        <v>652</v>
      </c>
      <c r="P89" s="207" t="s">
        <v>657</v>
      </c>
      <c r="Q89" s="208" t="s">
        <v>658</v>
      </c>
      <c r="R89" s="208" t="s">
        <v>750</v>
      </c>
    </row>
    <row r="90" spans="1:18" s="205" customFormat="1" x14ac:dyDescent="0.2">
      <c r="A90" s="205" t="s">
        <v>1231</v>
      </c>
      <c r="B90" s="205" t="s">
        <v>248</v>
      </c>
      <c r="C90" s="200">
        <v>45386</v>
      </c>
      <c r="D90" s="201" t="s">
        <v>152</v>
      </c>
      <c r="E90" s="206">
        <v>57986</v>
      </c>
      <c r="F90" s="206">
        <v>5799</v>
      </c>
      <c r="G90" s="206">
        <v>290</v>
      </c>
      <c r="H90" s="202">
        <f t="shared" si="1"/>
        <v>52477</v>
      </c>
      <c r="I90" s="205" t="s">
        <v>193</v>
      </c>
      <c r="J90" s="205" t="s">
        <v>23</v>
      </c>
      <c r="K90" s="201" t="s">
        <v>1058</v>
      </c>
      <c r="L90" s="205" t="s">
        <v>1232</v>
      </c>
      <c r="M90" s="201" t="s">
        <v>1030</v>
      </c>
      <c r="N90" s="205" t="s">
        <v>652</v>
      </c>
      <c r="O90" s="205" t="s">
        <v>652</v>
      </c>
      <c r="P90" s="207" t="s">
        <v>663</v>
      </c>
      <c r="Q90" s="208" t="s">
        <v>723</v>
      </c>
      <c r="R90" s="208" t="s">
        <v>750</v>
      </c>
    </row>
    <row r="91" spans="1:18" s="205" customFormat="1" x14ac:dyDescent="0.2">
      <c r="A91" s="205" t="s">
        <v>80</v>
      </c>
      <c r="B91" s="205" t="s">
        <v>556</v>
      </c>
      <c r="C91" s="200">
        <v>45386</v>
      </c>
      <c r="D91" s="201" t="s">
        <v>152</v>
      </c>
      <c r="E91" s="206">
        <v>99664</v>
      </c>
      <c r="F91" s="206">
        <v>9966</v>
      </c>
      <c r="G91" s="206">
        <v>498</v>
      </c>
      <c r="H91" s="202">
        <f t="shared" si="1"/>
        <v>90196</v>
      </c>
      <c r="I91" s="205" t="s">
        <v>81</v>
      </c>
      <c r="J91" s="205" t="s">
        <v>23</v>
      </c>
      <c r="K91" s="201" t="s">
        <v>1042</v>
      </c>
      <c r="L91" s="205" t="s">
        <v>1233</v>
      </c>
      <c r="M91" s="201" t="s">
        <v>1030</v>
      </c>
      <c r="N91" s="205" t="s">
        <v>652</v>
      </c>
      <c r="O91" s="205" t="s">
        <v>652</v>
      </c>
      <c r="P91" s="207" t="s">
        <v>653</v>
      </c>
      <c r="Q91" s="208" t="s">
        <v>654</v>
      </c>
      <c r="R91" s="208" t="s">
        <v>750</v>
      </c>
    </row>
    <row r="92" spans="1:18" s="205" customFormat="1" x14ac:dyDescent="0.2">
      <c r="A92" s="205" t="s">
        <v>221</v>
      </c>
      <c r="B92" s="205" t="s">
        <v>1062</v>
      </c>
      <c r="C92" s="200">
        <v>45386</v>
      </c>
      <c r="D92" s="201" t="s">
        <v>152</v>
      </c>
      <c r="E92" s="206">
        <v>26784</v>
      </c>
      <c r="F92" s="206">
        <v>2678</v>
      </c>
      <c r="G92" s="206">
        <v>134</v>
      </c>
      <c r="H92" s="202">
        <f t="shared" si="1"/>
        <v>24240</v>
      </c>
      <c r="I92" s="205" t="s">
        <v>224</v>
      </c>
      <c r="J92" s="205" t="s">
        <v>23</v>
      </c>
      <c r="K92" s="201" t="s">
        <v>1042</v>
      </c>
      <c r="L92" s="205" t="s">
        <v>1234</v>
      </c>
      <c r="M92" s="201" t="s">
        <v>1030</v>
      </c>
      <c r="N92" s="205" t="s">
        <v>652</v>
      </c>
      <c r="O92" s="205" t="s">
        <v>652</v>
      </c>
      <c r="P92" s="207" t="s">
        <v>987</v>
      </c>
      <c r="Q92" s="208" t="s">
        <v>988</v>
      </c>
      <c r="R92" s="208" t="s">
        <v>750</v>
      </c>
    </row>
    <row r="93" spans="1:18" s="205" customFormat="1" x14ac:dyDescent="0.2">
      <c r="A93" s="205" t="s">
        <v>476</v>
      </c>
      <c r="B93" s="205" t="s">
        <v>573</v>
      </c>
      <c r="C93" s="200">
        <v>45386</v>
      </c>
      <c r="D93" s="199" t="s">
        <v>166</v>
      </c>
      <c r="E93" s="206">
        <v>-9111</v>
      </c>
      <c r="F93" s="206">
        <v>-911</v>
      </c>
      <c r="G93" s="206">
        <v>-46</v>
      </c>
      <c r="H93" s="202">
        <f t="shared" si="1"/>
        <v>-8246</v>
      </c>
      <c r="I93" s="205" t="s">
        <v>138</v>
      </c>
      <c r="J93" s="205" t="s">
        <v>23</v>
      </c>
      <c r="K93" s="201" t="s">
        <v>1068</v>
      </c>
      <c r="L93" s="205" t="s">
        <v>1235</v>
      </c>
      <c r="M93" s="201" t="s">
        <v>1030</v>
      </c>
      <c r="N93" s="205" t="s">
        <v>652</v>
      </c>
      <c r="O93" s="205" t="s">
        <v>652</v>
      </c>
      <c r="P93" s="207" t="s">
        <v>653</v>
      </c>
      <c r="Q93" s="208" t="s">
        <v>654</v>
      </c>
      <c r="R93" s="208" t="s">
        <v>750</v>
      </c>
    </row>
    <row r="94" spans="1:18" s="205" customFormat="1" x14ac:dyDescent="0.2">
      <c r="A94" s="205" t="s">
        <v>196</v>
      </c>
      <c r="B94" s="205" t="s">
        <v>539</v>
      </c>
      <c r="C94" s="200">
        <v>45386</v>
      </c>
      <c r="D94" s="199" t="s">
        <v>166</v>
      </c>
      <c r="E94" s="206">
        <v>-10364</v>
      </c>
      <c r="F94" s="206">
        <v>-1036</v>
      </c>
      <c r="G94" s="206">
        <v>-52</v>
      </c>
      <c r="H94" s="202">
        <f t="shared" si="1"/>
        <v>-9380</v>
      </c>
      <c r="I94" s="205" t="s">
        <v>59</v>
      </c>
      <c r="J94" s="205" t="s">
        <v>23</v>
      </c>
      <c r="K94" s="201" t="s">
        <v>1068</v>
      </c>
      <c r="L94" s="205" t="s">
        <v>1236</v>
      </c>
      <c r="M94" s="201" t="s">
        <v>1030</v>
      </c>
      <c r="N94" s="205" t="s">
        <v>652</v>
      </c>
      <c r="O94" s="205" t="s">
        <v>652</v>
      </c>
      <c r="P94" s="207" t="s">
        <v>688</v>
      </c>
      <c r="Q94" s="208" t="s">
        <v>689</v>
      </c>
      <c r="R94" s="208" t="s">
        <v>750</v>
      </c>
    </row>
    <row r="95" spans="1:18" s="205" customFormat="1" x14ac:dyDescent="0.2">
      <c r="A95" s="205" t="s">
        <v>1237</v>
      </c>
      <c r="B95" s="205" t="s">
        <v>252</v>
      </c>
      <c r="C95" s="200">
        <v>45386</v>
      </c>
      <c r="D95" s="199" t="s">
        <v>166</v>
      </c>
      <c r="E95" s="206">
        <v>-29499</v>
      </c>
      <c r="F95" s="206">
        <v>-2950</v>
      </c>
      <c r="G95" s="206">
        <v>-148</v>
      </c>
      <c r="H95" s="202">
        <f t="shared" si="1"/>
        <v>-26697</v>
      </c>
      <c r="I95" s="205" t="s">
        <v>104</v>
      </c>
      <c r="J95" s="205" t="s">
        <v>23</v>
      </c>
      <c r="K95" s="201" t="e">
        <v>#N/A</v>
      </c>
      <c r="L95" s="205" t="s">
        <v>1238</v>
      </c>
      <c r="M95" s="201"/>
      <c r="P95" s="215" t="s">
        <v>724</v>
      </c>
      <c r="Q95" s="216" t="s">
        <v>725</v>
      </c>
      <c r="R95" s="216" t="s">
        <v>750</v>
      </c>
    </row>
    <row r="96" spans="1:18" s="205" customFormat="1" x14ac:dyDescent="0.2">
      <c r="A96" s="205" t="s">
        <v>35</v>
      </c>
      <c r="B96" s="205" t="s">
        <v>351</v>
      </c>
      <c r="C96" s="200">
        <v>45386</v>
      </c>
      <c r="D96" s="201" t="s">
        <v>152</v>
      </c>
      <c r="E96" s="206">
        <v>84006</v>
      </c>
      <c r="F96" s="206">
        <v>0</v>
      </c>
      <c r="G96" s="206">
        <v>0</v>
      </c>
      <c r="H96" s="202">
        <f t="shared" si="1"/>
        <v>84006</v>
      </c>
      <c r="I96" s="205" t="s">
        <v>25</v>
      </c>
      <c r="J96" s="205" t="s">
        <v>214</v>
      </c>
      <c r="K96" s="201" t="s">
        <v>1042</v>
      </c>
      <c r="L96" s="205" t="s">
        <v>1239</v>
      </c>
      <c r="M96" s="201" t="s">
        <v>1030</v>
      </c>
      <c r="N96" s="205" t="s">
        <v>652</v>
      </c>
      <c r="O96" s="205" t="s">
        <v>652</v>
      </c>
      <c r="P96" s="207" t="s">
        <v>771</v>
      </c>
      <c r="Q96" s="208" t="s">
        <v>772</v>
      </c>
      <c r="R96" s="208" t="s">
        <v>750</v>
      </c>
    </row>
    <row r="97" spans="1:18" s="205" customFormat="1" x14ac:dyDescent="0.2">
      <c r="A97" s="205" t="s">
        <v>189</v>
      </c>
      <c r="B97" s="205" t="s">
        <v>970</v>
      </c>
      <c r="C97" s="200">
        <v>45387</v>
      </c>
      <c r="D97" s="201" t="s">
        <v>152</v>
      </c>
      <c r="E97" s="206">
        <v>23241</v>
      </c>
      <c r="F97" s="206">
        <v>2324</v>
      </c>
      <c r="G97" s="206">
        <v>232</v>
      </c>
      <c r="H97" s="202">
        <f t="shared" si="1"/>
        <v>21149</v>
      </c>
      <c r="I97" s="205" t="s">
        <v>188</v>
      </c>
      <c r="J97" s="205" t="s">
        <v>29</v>
      </c>
      <c r="K97" s="201" t="s">
        <v>1141</v>
      </c>
      <c r="L97" s="205" t="s">
        <v>1240</v>
      </c>
      <c r="M97" s="201" t="s">
        <v>1030</v>
      </c>
      <c r="N97" s="205" t="s">
        <v>1110</v>
      </c>
      <c r="O97" s="205" t="s">
        <v>1111</v>
      </c>
      <c r="P97" s="207" t="s">
        <v>873</v>
      </c>
      <c r="Q97" s="208" t="s">
        <v>968</v>
      </c>
      <c r="R97" s="208" t="s">
        <v>990</v>
      </c>
    </row>
    <row r="98" spans="1:18" s="205" customFormat="1" x14ac:dyDescent="0.2">
      <c r="A98" s="205" t="s">
        <v>1163</v>
      </c>
      <c r="B98" s="205" t="s">
        <v>1164</v>
      </c>
      <c r="C98" s="200">
        <v>45387</v>
      </c>
      <c r="D98" s="201" t="s">
        <v>152</v>
      </c>
      <c r="E98" s="206">
        <v>16374</v>
      </c>
      <c r="F98" s="206">
        <v>1637</v>
      </c>
      <c r="G98" s="206">
        <v>164</v>
      </c>
      <c r="H98" s="202">
        <f t="shared" si="1"/>
        <v>14901</v>
      </c>
      <c r="I98" s="205" t="s">
        <v>46</v>
      </c>
      <c r="J98" s="205" t="s">
        <v>29</v>
      </c>
      <c r="K98" s="201" t="s">
        <v>1042</v>
      </c>
      <c r="L98" s="205" t="s">
        <v>1241</v>
      </c>
      <c r="M98" s="201" t="s">
        <v>1030</v>
      </c>
      <c r="N98" s="205" t="s">
        <v>1166</v>
      </c>
      <c r="O98" s="205" t="s">
        <v>1061</v>
      </c>
      <c r="P98" s="207" t="s">
        <v>690</v>
      </c>
      <c r="Q98" s="208" t="s">
        <v>691</v>
      </c>
      <c r="R98" s="208" t="s">
        <v>990</v>
      </c>
    </row>
    <row r="99" spans="1:18" s="205" customFormat="1" x14ac:dyDescent="0.2">
      <c r="A99" s="205" t="s">
        <v>64</v>
      </c>
      <c r="B99" s="205" t="s">
        <v>514</v>
      </c>
      <c r="C99" s="200">
        <v>45387</v>
      </c>
      <c r="D99" s="201" t="s">
        <v>152</v>
      </c>
      <c r="E99" s="206">
        <v>28723</v>
      </c>
      <c r="F99" s="206">
        <v>2872</v>
      </c>
      <c r="G99" s="206">
        <v>287</v>
      </c>
      <c r="H99" s="202">
        <f t="shared" si="1"/>
        <v>26138</v>
      </c>
      <c r="I99" s="205" t="s">
        <v>31</v>
      </c>
      <c r="J99" s="205" t="s">
        <v>29</v>
      </c>
      <c r="K99" s="201" t="s">
        <v>1042</v>
      </c>
      <c r="L99" s="205" t="s">
        <v>1242</v>
      </c>
      <c r="M99" s="201" t="s">
        <v>1030</v>
      </c>
      <c r="N99" s="205" t="s">
        <v>652</v>
      </c>
      <c r="O99" s="205" t="s">
        <v>652</v>
      </c>
      <c r="P99" s="207" t="s">
        <v>653</v>
      </c>
      <c r="Q99" s="208" t="s">
        <v>654</v>
      </c>
      <c r="R99" s="216" t="s">
        <v>990</v>
      </c>
    </row>
    <row r="100" spans="1:18" s="205" customFormat="1" x14ac:dyDescent="0.2">
      <c r="A100" s="205" t="s">
        <v>75</v>
      </c>
      <c r="B100" s="205" t="s">
        <v>589</v>
      </c>
      <c r="C100" s="200">
        <v>45387</v>
      </c>
      <c r="D100" s="201" t="s">
        <v>152</v>
      </c>
      <c r="E100" s="206">
        <v>26184</v>
      </c>
      <c r="F100" s="206">
        <v>0</v>
      </c>
      <c r="G100" s="206">
        <v>0</v>
      </c>
      <c r="H100" s="202">
        <f t="shared" si="1"/>
        <v>26184</v>
      </c>
      <c r="I100" s="205" t="s">
        <v>76</v>
      </c>
      <c r="J100" s="205" t="s">
        <v>29</v>
      </c>
      <c r="K100" s="201" t="s">
        <v>1042</v>
      </c>
      <c r="L100" s="205" t="s">
        <v>1243</v>
      </c>
      <c r="M100" s="201" t="s">
        <v>1030</v>
      </c>
      <c r="N100" s="205" t="s">
        <v>652</v>
      </c>
      <c r="O100" s="205" t="s">
        <v>652</v>
      </c>
      <c r="P100" s="207" t="s">
        <v>653</v>
      </c>
      <c r="Q100" s="208" t="s">
        <v>654</v>
      </c>
      <c r="R100" s="208" t="s">
        <v>990</v>
      </c>
    </row>
    <row r="101" spans="1:18" s="205" customFormat="1" x14ac:dyDescent="0.2">
      <c r="A101" s="205" t="s">
        <v>558</v>
      </c>
      <c r="B101" s="205" t="s">
        <v>559</v>
      </c>
      <c r="C101" s="200">
        <v>45387</v>
      </c>
      <c r="D101" s="201" t="s">
        <v>152</v>
      </c>
      <c r="E101" s="206">
        <v>81242</v>
      </c>
      <c r="F101" s="206">
        <v>8124</v>
      </c>
      <c r="G101" s="206">
        <v>812</v>
      </c>
      <c r="H101" s="202">
        <f t="shared" si="1"/>
        <v>73930</v>
      </c>
      <c r="I101" s="205" t="s">
        <v>31</v>
      </c>
      <c r="J101" s="205" t="s">
        <v>29</v>
      </c>
      <c r="K101" s="201" t="s">
        <v>1151</v>
      </c>
      <c r="L101" s="205" t="s">
        <v>1244</v>
      </c>
      <c r="M101" s="201" t="s">
        <v>1030</v>
      </c>
      <c r="N101" s="205" t="s">
        <v>1046</v>
      </c>
      <c r="O101" s="205" t="s">
        <v>1047</v>
      </c>
      <c r="P101" s="207" t="s">
        <v>653</v>
      </c>
      <c r="Q101" s="208" t="s">
        <v>654</v>
      </c>
      <c r="R101" s="208" t="s">
        <v>990</v>
      </c>
    </row>
    <row r="102" spans="1:18" s="205" customFormat="1" x14ac:dyDescent="0.2">
      <c r="A102" s="205" t="s">
        <v>274</v>
      </c>
      <c r="B102" s="205" t="s">
        <v>892</v>
      </c>
      <c r="C102" s="200">
        <v>45387</v>
      </c>
      <c r="D102" s="201" t="s">
        <v>152</v>
      </c>
      <c r="E102" s="206">
        <v>18712</v>
      </c>
      <c r="F102" s="206">
        <v>1871</v>
      </c>
      <c r="G102" s="206">
        <v>187</v>
      </c>
      <c r="H102" s="202">
        <f t="shared" si="1"/>
        <v>17028</v>
      </c>
      <c r="I102" s="205" t="s">
        <v>31</v>
      </c>
      <c r="J102" s="205" t="s">
        <v>29</v>
      </c>
      <c r="K102" s="201" t="s">
        <v>1042</v>
      </c>
      <c r="L102" s="205" t="s">
        <v>1245</v>
      </c>
      <c r="M102" s="201" t="s">
        <v>1030</v>
      </c>
      <c r="N102" s="205" t="s">
        <v>652</v>
      </c>
      <c r="O102" s="205" t="s">
        <v>652</v>
      </c>
      <c r="P102" s="207" t="s">
        <v>893</v>
      </c>
      <c r="Q102" s="208" t="s">
        <v>894</v>
      </c>
      <c r="R102" s="208" t="s">
        <v>990</v>
      </c>
    </row>
    <row r="103" spans="1:18" s="205" customFormat="1" x14ac:dyDescent="0.2">
      <c r="A103" s="205" t="s">
        <v>183</v>
      </c>
      <c r="B103" s="205" t="s">
        <v>298</v>
      </c>
      <c r="C103" s="200">
        <v>45387</v>
      </c>
      <c r="D103" s="201" t="s">
        <v>152</v>
      </c>
      <c r="E103" s="206">
        <v>8675</v>
      </c>
      <c r="F103" s="206">
        <v>868</v>
      </c>
      <c r="G103" s="206">
        <v>87</v>
      </c>
      <c r="H103" s="202">
        <f t="shared" si="1"/>
        <v>7894</v>
      </c>
      <c r="I103" s="205" t="s">
        <v>31</v>
      </c>
      <c r="J103" s="205" t="s">
        <v>29</v>
      </c>
      <c r="K103" s="201" t="s">
        <v>1042</v>
      </c>
      <c r="L103" s="205" t="s">
        <v>1246</v>
      </c>
      <c r="M103" s="201" t="s">
        <v>1030</v>
      </c>
      <c r="N103" s="205" t="s">
        <v>652</v>
      </c>
      <c r="O103" s="205" t="s">
        <v>652</v>
      </c>
      <c r="P103" s="207" t="s">
        <v>724</v>
      </c>
      <c r="Q103" s="208" t="s">
        <v>725</v>
      </c>
      <c r="R103" s="208" t="s">
        <v>990</v>
      </c>
    </row>
    <row r="104" spans="1:18" s="205" customFormat="1" x14ac:dyDescent="0.2">
      <c r="A104" s="205" t="s">
        <v>262</v>
      </c>
      <c r="B104" s="205" t="s">
        <v>1247</v>
      </c>
      <c r="C104" s="200">
        <v>45387</v>
      </c>
      <c r="D104" s="201" t="s">
        <v>152</v>
      </c>
      <c r="E104" s="206">
        <v>576768</v>
      </c>
      <c r="F104" s="206">
        <v>57677</v>
      </c>
      <c r="G104" s="206">
        <v>5768</v>
      </c>
      <c r="H104" s="202">
        <f t="shared" si="1"/>
        <v>524859</v>
      </c>
      <c r="I104" s="205" t="s">
        <v>40</v>
      </c>
      <c r="J104" s="205" t="s">
        <v>29</v>
      </c>
      <c r="K104" s="201" t="s">
        <v>1028</v>
      </c>
      <c r="L104" s="205" t="s">
        <v>1248</v>
      </c>
      <c r="M104" s="201" t="s">
        <v>1030</v>
      </c>
      <c r="N104" s="205" t="s">
        <v>652</v>
      </c>
      <c r="O104" s="205" t="s">
        <v>652</v>
      </c>
      <c r="P104" s="207" t="s">
        <v>987</v>
      </c>
      <c r="Q104" s="208" t="s">
        <v>988</v>
      </c>
      <c r="R104" s="208" t="s">
        <v>990</v>
      </c>
    </row>
    <row r="105" spans="1:18" s="205" customFormat="1" x14ac:dyDescent="0.2">
      <c r="A105" s="205" t="s">
        <v>505</v>
      </c>
      <c r="B105" s="205" t="s">
        <v>1249</v>
      </c>
      <c r="C105" s="200">
        <v>45387</v>
      </c>
      <c r="D105" s="201" t="s">
        <v>152</v>
      </c>
      <c r="E105" s="206">
        <v>1903846</v>
      </c>
      <c r="F105" s="206">
        <v>190385</v>
      </c>
      <c r="G105" s="206">
        <v>19039</v>
      </c>
      <c r="H105" s="202">
        <f t="shared" si="1"/>
        <v>1732500</v>
      </c>
      <c r="I105" s="205" t="s">
        <v>90</v>
      </c>
      <c r="J105" s="205" t="s">
        <v>29</v>
      </c>
      <c r="K105" s="201" t="s">
        <v>1028</v>
      </c>
      <c r="L105" s="205" t="s">
        <v>1250</v>
      </c>
      <c r="M105" s="201" t="s">
        <v>1030</v>
      </c>
      <c r="N105" s="205" t="s">
        <v>652</v>
      </c>
      <c r="O105" s="205" t="s">
        <v>652</v>
      </c>
      <c r="P105" s="207" t="s">
        <v>750</v>
      </c>
      <c r="Q105" s="208" t="s">
        <v>1251</v>
      </c>
      <c r="R105" s="208" t="s">
        <v>990</v>
      </c>
    </row>
    <row r="106" spans="1:18" s="205" customFormat="1" x14ac:dyDescent="0.2">
      <c r="A106" s="205" t="s">
        <v>139</v>
      </c>
      <c r="B106" s="205" t="s">
        <v>1252</v>
      </c>
      <c r="C106" s="200">
        <v>45387</v>
      </c>
      <c r="D106" s="201" t="s">
        <v>152</v>
      </c>
      <c r="E106" s="206">
        <v>2134352</v>
      </c>
      <c r="F106" s="206">
        <v>213435</v>
      </c>
      <c r="G106" s="206">
        <v>21344</v>
      </c>
      <c r="H106" s="202">
        <f t="shared" si="1"/>
        <v>1942261</v>
      </c>
      <c r="I106" s="205" t="s">
        <v>1253</v>
      </c>
      <c r="J106" s="205" t="s">
        <v>29</v>
      </c>
      <c r="K106" s="201" t="s">
        <v>1028</v>
      </c>
      <c r="L106" s="205" t="s">
        <v>1254</v>
      </c>
      <c r="M106" s="201" t="s">
        <v>1030</v>
      </c>
      <c r="N106" s="205" t="s">
        <v>652</v>
      </c>
      <c r="O106" s="205" t="s">
        <v>652</v>
      </c>
      <c r="P106" s="207" t="s">
        <v>750</v>
      </c>
      <c r="Q106" s="208" t="s">
        <v>1251</v>
      </c>
      <c r="R106" s="208" t="s">
        <v>990</v>
      </c>
    </row>
    <row r="107" spans="1:18" s="205" customFormat="1" x14ac:dyDescent="0.2">
      <c r="A107" s="205" t="s">
        <v>139</v>
      </c>
      <c r="B107" s="205" t="s">
        <v>1255</v>
      </c>
      <c r="C107" s="200">
        <v>45387</v>
      </c>
      <c r="D107" s="199" t="s">
        <v>166</v>
      </c>
      <c r="E107" s="206">
        <v>-68379</v>
      </c>
      <c r="F107" s="206">
        <v>-6838</v>
      </c>
      <c r="G107" s="206">
        <v>-684</v>
      </c>
      <c r="H107" s="202">
        <f t="shared" si="1"/>
        <v>-62225</v>
      </c>
      <c r="I107" s="205" t="s">
        <v>1253</v>
      </c>
      <c r="J107" s="205" t="s">
        <v>29</v>
      </c>
      <c r="K107" s="201" t="s">
        <v>1068</v>
      </c>
      <c r="L107" s="205" t="s">
        <v>1256</v>
      </c>
      <c r="M107" s="201" t="s">
        <v>1030</v>
      </c>
      <c r="N107" s="205" t="s">
        <v>652</v>
      </c>
      <c r="O107" s="205" t="s">
        <v>652</v>
      </c>
      <c r="P107" s="207" t="s">
        <v>1257</v>
      </c>
      <c r="Q107" s="208" t="s">
        <v>1086</v>
      </c>
      <c r="R107" s="208" t="s">
        <v>990</v>
      </c>
    </row>
    <row r="108" spans="1:18" s="205" customFormat="1" x14ac:dyDescent="0.2">
      <c r="A108" s="205" t="s">
        <v>1258</v>
      </c>
      <c r="B108" s="205" t="s">
        <v>248</v>
      </c>
      <c r="C108" s="200">
        <v>45387</v>
      </c>
      <c r="D108" s="201" t="s">
        <v>152</v>
      </c>
      <c r="E108" s="206">
        <v>42459</v>
      </c>
      <c r="F108" s="206">
        <v>4246</v>
      </c>
      <c r="G108" s="206">
        <v>212</v>
      </c>
      <c r="H108" s="202">
        <f t="shared" si="1"/>
        <v>38425</v>
      </c>
      <c r="I108" s="205" t="s">
        <v>193</v>
      </c>
      <c r="J108" s="205" t="s">
        <v>23</v>
      </c>
      <c r="K108" s="201" t="s">
        <v>1058</v>
      </c>
      <c r="L108" s="205" t="s">
        <v>1259</v>
      </c>
      <c r="M108" s="201" t="s">
        <v>1030</v>
      </c>
      <c r="N108" s="205" t="s">
        <v>652</v>
      </c>
      <c r="O108" s="205" t="s">
        <v>652</v>
      </c>
      <c r="P108" s="207" t="s">
        <v>663</v>
      </c>
      <c r="Q108" s="208" t="s">
        <v>723</v>
      </c>
      <c r="R108" s="208" t="s">
        <v>990</v>
      </c>
    </row>
    <row r="109" spans="1:18" s="205" customFormat="1" x14ac:dyDescent="0.2">
      <c r="A109" s="205" t="s">
        <v>1260</v>
      </c>
      <c r="B109" s="205" t="s">
        <v>248</v>
      </c>
      <c r="C109" s="200">
        <v>45387</v>
      </c>
      <c r="D109" s="201" t="s">
        <v>152</v>
      </c>
      <c r="E109" s="206">
        <v>69985</v>
      </c>
      <c r="F109" s="206">
        <v>6999</v>
      </c>
      <c r="G109" s="206">
        <v>350</v>
      </c>
      <c r="H109" s="202">
        <f t="shared" si="1"/>
        <v>63336</v>
      </c>
      <c r="I109" s="205" t="s">
        <v>193</v>
      </c>
      <c r="J109" s="205" t="s">
        <v>23</v>
      </c>
      <c r="K109" s="201" t="s">
        <v>1058</v>
      </c>
      <c r="L109" s="205" t="s">
        <v>1261</v>
      </c>
      <c r="M109" s="201" t="s">
        <v>1030</v>
      </c>
      <c r="N109" s="205" t="s">
        <v>652</v>
      </c>
      <c r="O109" s="205" t="s">
        <v>652</v>
      </c>
      <c r="P109" s="207" t="s">
        <v>663</v>
      </c>
      <c r="Q109" s="208" t="s">
        <v>723</v>
      </c>
      <c r="R109" s="208" t="s">
        <v>990</v>
      </c>
    </row>
    <row r="110" spans="1:18" s="205" customFormat="1" x14ac:dyDescent="0.2">
      <c r="A110" s="205" t="s">
        <v>105</v>
      </c>
      <c r="B110" s="205" t="s">
        <v>619</v>
      </c>
      <c r="C110" s="200">
        <v>45387</v>
      </c>
      <c r="D110" s="201" t="s">
        <v>152</v>
      </c>
      <c r="E110" s="206">
        <v>18639</v>
      </c>
      <c r="F110" s="206">
        <v>1864</v>
      </c>
      <c r="G110" s="206">
        <v>93</v>
      </c>
      <c r="H110" s="202">
        <f t="shared" si="1"/>
        <v>16868</v>
      </c>
      <c r="I110" s="205" t="s">
        <v>44</v>
      </c>
      <c r="J110" s="205" t="s">
        <v>23</v>
      </c>
      <c r="K110" s="201" t="s">
        <v>1042</v>
      </c>
      <c r="L110" s="205" t="s">
        <v>1262</v>
      </c>
      <c r="M110" s="201" t="s">
        <v>1030</v>
      </c>
      <c r="N110" s="205" t="s">
        <v>652</v>
      </c>
      <c r="O110" s="205" t="s">
        <v>652</v>
      </c>
      <c r="P110" s="207" t="s">
        <v>653</v>
      </c>
      <c r="Q110" s="208" t="s">
        <v>654</v>
      </c>
      <c r="R110" s="208" t="s">
        <v>990</v>
      </c>
    </row>
    <row r="111" spans="1:18" s="205" customFormat="1" x14ac:dyDescent="0.2">
      <c r="A111" s="205" t="s">
        <v>218</v>
      </c>
      <c r="B111" s="205" t="s">
        <v>1263</v>
      </c>
      <c r="C111" s="200">
        <v>45387</v>
      </c>
      <c r="D111" s="201" t="s">
        <v>152</v>
      </c>
      <c r="E111" s="206">
        <v>3000</v>
      </c>
      <c r="F111" s="206">
        <v>300</v>
      </c>
      <c r="G111" s="206">
        <v>15</v>
      </c>
      <c r="H111" s="202">
        <f t="shared" si="1"/>
        <v>2715</v>
      </c>
      <c r="I111" s="205" t="s">
        <v>54</v>
      </c>
      <c r="J111" s="205" t="s">
        <v>23</v>
      </c>
      <c r="K111" s="201" t="s">
        <v>1042</v>
      </c>
      <c r="L111" s="205" t="s">
        <v>1264</v>
      </c>
      <c r="M111" s="201" t="s">
        <v>1030</v>
      </c>
      <c r="N111" s="205" t="s">
        <v>652</v>
      </c>
      <c r="O111" s="205" t="s">
        <v>652</v>
      </c>
      <c r="P111" s="207" t="s">
        <v>1265</v>
      </c>
      <c r="Q111" s="208" t="s">
        <v>1266</v>
      </c>
      <c r="R111" s="208" t="s">
        <v>990</v>
      </c>
    </row>
    <row r="112" spans="1:18" s="205" customFormat="1" x14ac:dyDescent="0.2">
      <c r="A112" s="205" t="s">
        <v>537</v>
      </c>
      <c r="B112" s="205" t="s">
        <v>538</v>
      </c>
      <c r="C112" s="200">
        <v>45387</v>
      </c>
      <c r="D112" s="201" t="s">
        <v>152</v>
      </c>
      <c r="E112" s="206">
        <v>16420</v>
      </c>
      <c r="F112" s="206">
        <v>1642</v>
      </c>
      <c r="G112" s="206">
        <v>82</v>
      </c>
      <c r="H112" s="202">
        <f t="shared" si="1"/>
        <v>14860</v>
      </c>
      <c r="I112" s="205" t="s">
        <v>344</v>
      </c>
      <c r="J112" s="205" t="s">
        <v>23</v>
      </c>
      <c r="K112" s="201" t="s">
        <v>1042</v>
      </c>
      <c r="L112" s="205" t="s">
        <v>1267</v>
      </c>
      <c r="M112" s="201" t="s">
        <v>1030</v>
      </c>
      <c r="N112" s="205" t="s">
        <v>1065</v>
      </c>
      <c r="O112" s="205" t="s">
        <v>1066</v>
      </c>
      <c r="P112" s="207" t="s">
        <v>688</v>
      </c>
      <c r="Q112" s="208" t="s">
        <v>689</v>
      </c>
      <c r="R112" s="208" t="s">
        <v>990</v>
      </c>
    </row>
    <row r="113" spans="1:18" s="205" customFormat="1" x14ac:dyDescent="0.2">
      <c r="A113" s="205" t="s">
        <v>207</v>
      </c>
      <c r="B113" s="205" t="s">
        <v>916</v>
      </c>
      <c r="C113" s="200">
        <v>45387</v>
      </c>
      <c r="D113" s="201" t="s">
        <v>152</v>
      </c>
      <c r="E113" s="206">
        <v>94462</v>
      </c>
      <c r="F113" s="206">
        <v>9446</v>
      </c>
      <c r="G113" s="206">
        <v>472</v>
      </c>
      <c r="H113" s="202">
        <f t="shared" si="1"/>
        <v>85488</v>
      </c>
      <c r="I113" s="205" t="s">
        <v>44</v>
      </c>
      <c r="J113" s="205" t="s">
        <v>23</v>
      </c>
      <c r="K113" s="201" t="s">
        <v>1042</v>
      </c>
      <c r="L113" s="205" t="s">
        <v>1268</v>
      </c>
      <c r="M113" s="201" t="s">
        <v>1030</v>
      </c>
      <c r="N113" s="205" t="s">
        <v>652</v>
      </c>
      <c r="O113" s="205" t="s">
        <v>652</v>
      </c>
      <c r="P113" s="207" t="s">
        <v>663</v>
      </c>
      <c r="Q113" s="208" t="s">
        <v>745</v>
      </c>
      <c r="R113" s="208" t="s">
        <v>990</v>
      </c>
    </row>
    <row r="114" spans="1:18" s="205" customFormat="1" x14ac:dyDescent="0.2">
      <c r="A114" s="205" t="s">
        <v>483</v>
      </c>
      <c r="B114" s="205" t="s">
        <v>1269</v>
      </c>
      <c r="C114" s="200">
        <v>45387</v>
      </c>
      <c r="D114" s="201" t="s">
        <v>152</v>
      </c>
      <c r="E114" s="206">
        <v>683362</v>
      </c>
      <c r="F114" s="206">
        <v>68336</v>
      </c>
      <c r="G114" s="206">
        <v>3417</v>
      </c>
      <c r="H114" s="202">
        <f t="shared" si="1"/>
        <v>618443</v>
      </c>
      <c r="I114" s="205" t="s">
        <v>22</v>
      </c>
      <c r="J114" s="205" t="s">
        <v>23</v>
      </c>
      <c r="K114" s="201" t="s">
        <v>1028</v>
      </c>
      <c r="L114" s="205" t="s">
        <v>1270</v>
      </c>
      <c r="M114" s="201" t="s">
        <v>1030</v>
      </c>
      <c r="N114" s="205" t="s">
        <v>652</v>
      </c>
      <c r="O114" s="205" t="s">
        <v>652</v>
      </c>
      <c r="P114" s="207" t="s">
        <v>987</v>
      </c>
      <c r="Q114" s="208" t="s">
        <v>988</v>
      </c>
      <c r="R114" s="208" t="s">
        <v>990</v>
      </c>
    </row>
    <row r="115" spans="1:18" s="205" customFormat="1" x14ac:dyDescent="0.2">
      <c r="A115" s="205" t="s">
        <v>1271</v>
      </c>
      <c r="B115" s="205" t="s">
        <v>1272</v>
      </c>
      <c r="C115" s="200">
        <v>45387</v>
      </c>
      <c r="D115" s="201" t="s">
        <v>152</v>
      </c>
      <c r="E115" s="206">
        <v>62642863</v>
      </c>
      <c r="F115" s="206">
        <v>6264284</v>
      </c>
      <c r="G115" s="206">
        <v>313214</v>
      </c>
      <c r="H115" s="202">
        <f t="shared" si="1"/>
        <v>56691793</v>
      </c>
      <c r="I115" s="205" t="s">
        <v>22</v>
      </c>
      <c r="J115" s="205" t="s">
        <v>23</v>
      </c>
      <c r="K115" s="201" t="s">
        <v>1058</v>
      </c>
      <c r="L115" s="205" t="s">
        <v>1273</v>
      </c>
      <c r="M115" s="201" t="s">
        <v>1030</v>
      </c>
      <c r="N115" s="205" t="s">
        <v>1274</v>
      </c>
      <c r="O115" s="205" t="s">
        <v>1111</v>
      </c>
      <c r="P115" s="207" t="s">
        <v>987</v>
      </c>
      <c r="Q115" s="208" t="s">
        <v>988</v>
      </c>
      <c r="R115" s="208" t="s">
        <v>990</v>
      </c>
    </row>
    <row r="116" spans="1:18" s="205" customFormat="1" x14ac:dyDescent="0.2">
      <c r="A116" s="205" t="s">
        <v>216</v>
      </c>
      <c r="B116" s="205" t="s">
        <v>1275</v>
      </c>
      <c r="C116" s="200">
        <v>45387</v>
      </c>
      <c r="D116" s="201" t="s">
        <v>152</v>
      </c>
      <c r="E116" s="206">
        <v>1152765</v>
      </c>
      <c r="F116" s="206">
        <v>115276</v>
      </c>
      <c r="G116" s="206">
        <v>5764</v>
      </c>
      <c r="H116" s="202">
        <f t="shared" si="1"/>
        <v>1043253</v>
      </c>
      <c r="I116" s="205" t="s">
        <v>22</v>
      </c>
      <c r="J116" s="205" t="s">
        <v>23</v>
      </c>
      <c r="K116" s="201" t="s">
        <v>1028</v>
      </c>
      <c r="L116" s="205" t="s">
        <v>1276</v>
      </c>
      <c r="M116" s="201" t="s">
        <v>1030</v>
      </c>
      <c r="N116" s="205" t="s">
        <v>652</v>
      </c>
      <c r="O116" s="205" t="s">
        <v>652</v>
      </c>
      <c r="P116" s="207" t="s">
        <v>987</v>
      </c>
      <c r="Q116" s="208" t="s">
        <v>988</v>
      </c>
      <c r="R116" s="208" t="s">
        <v>990</v>
      </c>
    </row>
    <row r="117" spans="1:18" s="205" customFormat="1" x14ac:dyDescent="0.2">
      <c r="A117" s="205" t="s">
        <v>275</v>
      </c>
      <c r="B117" s="205" t="s">
        <v>231</v>
      </c>
      <c r="C117" s="200">
        <v>45387</v>
      </c>
      <c r="D117" s="201" t="s">
        <v>152</v>
      </c>
      <c r="E117" s="206">
        <v>3314</v>
      </c>
      <c r="F117" s="206">
        <v>331</v>
      </c>
      <c r="G117" s="206">
        <v>17</v>
      </c>
      <c r="H117" s="202">
        <f t="shared" si="1"/>
        <v>3000</v>
      </c>
      <c r="I117" s="205" t="s">
        <v>22</v>
      </c>
      <c r="J117" s="205" t="s">
        <v>23</v>
      </c>
      <c r="K117" s="201" t="s">
        <v>1042</v>
      </c>
      <c r="L117" s="205" t="s">
        <v>1277</v>
      </c>
      <c r="M117" s="201" t="s">
        <v>1030</v>
      </c>
      <c r="N117" s="205" t="s">
        <v>1278</v>
      </c>
      <c r="O117" s="205" t="s">
        <v>1187</v>
      </c>
      <c r="P117" s="207" t="s">
        <v>684</v>
      </c>
      <c r="Q117" s="208" t="s">
        <v>685</v>
      </c>
      <c r="R117" s="208" t="s">
        <v>990</v>
      </c>
    </row>
    <row r="118" spans="1:18" s="205" customFormat="1" x14ac:dyDescent="0.2">
      <c r="A118" s="205" t="s">
        <v>207</v>
      </c>
      <c r="B118" s="205" t="s">
        <v>916</v>
      </c>
      <c r="C118" s="200">
        <v>45387</v>
      </c>
      <c r="D118" s="201" t="s">
        <v>152</v>
      </c>
      <c r="E118" s="206">
        <v>135092</v>
      </c>
      <c r="F118" s="206">
        <v>13509</v>
      </c>
      <c r="G118" s="206">
        <v>675</v>
      </c>
      <c r="H118" s="202">
        <f t="shared" si="1"/>
        <v>122258</v>
      </c>
      <c r="I118" s="205" t="s">
        <v>44</v>
      </c>
      <c r="J118" s="205" t="s">
        <v>23</v>
      </c>
      <c r="K118" s="201" t="s">
        <v>1141</v>
      </c>
      <c r="L118" s="205" t="s">
        <v>1279</v>
      </c>
      <c r="M118" s="201" t="s">
        <v>1030</v>
      </c>
      <c r="N118" s="205" t="s">
        <v>652</v>
      </c>
      <c r="O118" s="205" t="s">
        <v>652</v>
      </c>
      <c r="P118" s="207" t="s">
        <v>663</v>
      </c>
      <c r="Q118" s="208" t="s">
        <v>745</v>
      </c>
      <c r="R118" s="208" t="s">
        <v>990</v>
      </c>
    </row>
    <row r="119" spans="1:18" s="205" customFormat="1" x14ac:dyDescent="0.2">
      <c r="A119" s="205" t="s">
        <v>105</v>
      </c>
      <c r="B119" s="205" t="s">
        <v>619</v>
      </c>
      <c r="C119" s="200">
        <v>45387</v>
      </c>
      <c r="D119" s="201" t="s">
        <v>152</v>
      </c>
      <c r="E119" s="206">
        <v>52999</v>
      </c>
      <c r="F119" s="206">
        <v>5300</v>
      </c>
      <c r="G119" s="206">
        <v>265</v>
      </c>
      <c r="H119" s="202">
        <f t="shared" si="1"/>
        <v>47964</v>
      </c>
      <c r="I119" s="205" t="s">
        <v>44</v>
      </c>
      <c r="J119" s="205" t="s">
        <v>23</v>
      </c>
      <c r="K119" s="201" t="s">
        <v>1151</v>
      </c>
      <c r="L119" s="205" t="s">
        <v>1280</v>
      </c>
      <c r="M119" s="201" t="s">
        <v>1030</v>
      </c>
      <c r="N119" s="205" t="s">
        <v>652</v>
      </c>
      <c r="O119" s="205" t="s">
        <v>652</v>
      </c>
      <c r="P119" s="207" t="s">
        <v>653</v>
      </c>
      <c r="Q119" s="208" t="s">
        <v>654</v>
      </c>
      <c r="R119" s="208" t="s">
        <v>990</v>
      </c>
    </row>
    <row r="120" spans="1:18" s="205" customFormat="1" x14ac:dyDescent="0.2">
      <c r="A120" s="205" t="s">
        <v>1281</v>
      </c>
      <c r="B120" s="205" t="s">
        <v>1282</v>
      </c>
      <c r="C120" s="200">
        <v>45387</v>
      </c>
      <c r="D120" s="201" t="s">
        <v>152</v>
      </c>
      <c r="E120" s="206">
        <v>4282315</v>
      </c>
      <c r="F120" s="206">
        <v>428231</v>
      </c>
      <c r="G120" s="206">
        <v>21412</v>
      </c>
      <c r="H120" s="202">
        <f t="shared" si="1"/>
        <v>3875496</v>
      </c>
      <c r="I120" s="205" t="s">
        <v>22</v>
      </c>
      <c r="J120" s="205" t="s">
        <v>23</v>
      </c>
      <c r="K120" s="201" t="s">
        <v>1058</v>
      </c>
      <c r="L120" s="205" t="s">
        <v>1283</v>
      </c>
      <c r="M120" s="201" t="s">
        <v>1284</v>
      </c>
      <c r="N120" s="205" t="s">
        <v>1285</v>
      </c>
      <c r="O120" s="205" t="s">
        <v>1286</v>
      </c>
      <c r="P120" s="207" t="s">
        <v>786</v>
      </c>
      <c r="Q120" s="208" t="s">
        <v>962</v>
      </c>
      <c r="R120" s="208" t="s">
        <v>990</v>
      </c>
    </row>
    <row r="121" spans="1:18" s="205" customFormat="1" x14ac:dyDescent="0.2">
      <c r="A121" s="205" t="s">
        <v>1271</v>
      </c>
      <c r="B121" s="205" t="s">
        <v>1272</v>
      </c>
      <c r="C121" s="200">
        <v>45387</v>
      </c>
      <c r="D121" s="201" t="s">
        <v>152</v>
      </c>
      <c r="E121" s="206">
        <v>1061359</v>
      </c>
      <c r="F121" s="206">
        <v>106136</v>
      </c>
      <c r="G121" s="206">
        <v>5307</v>
      </c>
      <c r="H121" s="202">
        <f t="shared" si="1"/>
        <v>960530</v>
      </c>
      <c r="I121" s="205" t="s">
        <v>22</v>
      </c>
      <c r="J121" s="205" t="s">
        <v>23</v>
      </c>
      <c r="K121" s="201" t="s">
        <v>1042</v>
      </c>
      <c r="L121" s="205" t="s">
        <v>1287</v>
      </c>
      <c r="M121" s="201" t="s">
        <v>1030</v>
      </c>
      <c r="N121" s="205" t="s">
        <v>1274</v>
      </c>
      <c r="O121" s="205" t="s">
        <v>1111</v>
      </c>
      <c r="P121" s="207" t="s">
        <v>987</v>
      </c>
      <c r="Q121" s="208" t="s">
        <v>988</v>
      </c>
      <c r="R121" s="208" t="s">
        <v>990</v>
      </c>
    </row>
    <row r="122" spans="1:18" s="205" customFormat="1" x14ac:dyDescent="0.2">
      <c r="A122" s="205" t="s">
        <v>207</v>
      </c>
      <c r="B122" s="205" t="s">
        <v>916</v>
      </c>
      <c r="C122" s="200">
        <v>45387</v>
      </c>
      <c r="D122" s="201" t="s">
        <v>152</v>
      </c>
      <c r="E122" s="206">
        <v>19713</v>
      </c>
      <c r="F122" s="206">
        <v>1971</v>
      </c>
      <c r="G122" s="206">
        <v>99</v>
      </c>
      <c r="H122" s="202">
        <f t="shared" si="1"/>
        <v>17841</v>
      </c>
      <c r="I122" s="205" t="s">
        <v>44</v>
      </c>
      <c r="J122" s="205" t="s">
        <v>23</v>
      </c>
      <c r="K122" s="201" t="s">
        <v>1042</v>
      </c>
      <c r="L122" s="205" t="s">
        <v>1288</v>
      </c>
      <c r="M122" s="201" t="s">
        <v>1030</v>
      </c>
      <c r="N122" s="205" t="s">
        <v>652</v>
      </c>
      <c r="O122" s="205" t="s">
        <v>652</v>
      </c>
      <c r="P122" s="207" t="s">
        <v>663</v>
      </c>
      <c r="Q122" s="208" t="s">
        <v>745</v>
      </c>
      <c r="R122" s="208" t="s">
        <v>990</v>
      </c>
    </row>
    <row r="123" spans="1:18" s="205" customFormat="1" x14ac:dyDescent="0.2">
      <c r="A123" s="205" t="s">
        <v>121</v>
      </c>
      <c r="B123" s="205" t="s">
        <v>339</v>
      </c>
      <c r="C123" s="200">
        <v>45387</v>
      </c>
      <c r="D123" s="201" t="s">
        <v>152</v>
      </c>
      <c r="E123" s="206">
        <v>15231</v>
      </c>
      <c r="F123" s="206">
        <v>1523</v>
      </c>
      <c r="G123" s="206">
        <v>76</v>
      </c>
      <c r="H123" s="202">
        <f t="shared" si="1"/>
        <v>13784</v>
      </c>
      <c r="I123" s="205" t="s">
        <v>38</v>
      </c>
      <c r="J123" s="205" t="s">
        <v>23</v>
      </c>
      <c r="K123" s="201" t="s">
        <v>1042</v>
      </c>
      <c r="L123" s="205" t="s">
        <v>1289</v>
      </c>
      <c r="M123" s="201" t="s">
        <v>1030</v>
      </c>
      <c r="N123" s="205" t="s">
        <v>652</v>
      </c>
      <c r="O123" s="205" t="s">
        <v>652</v>
      </c>
      <c r="P123" s="207" t="s">
        <v>696</v>
      </c>
      <c r="Q123" s="208" t="s">
        <v>697</v>
      </c>
      <c r="R123" s="208" t="s">
        <v>990</v>
      </c>
    </row>
    <row r="124" spans="1:18" s="205" customFormat="1" x14ac:dyDescent="0.2">
      <c r="A124" s="205" t="s">
        <v>55</v>
      </c>
      <c r="B124" s="205" t="s">
        <v>519</v>
      </c>
      <c r="C124" s="200">
        <v>45387</v>
      </c>
      <c r="D124" s="201" t="s">
        <v>152</v>
      </c>
      <c r="E124" s="206">
        <v>276294</v>
      </c>
      <c r="F124" s="206">
        <v>0</v>
      </c>
      <c r="G124" s="206">
        <v>0</v>
      </c>
      <c r="H124" s="202">
        <f t="shared" si="1"/>
        <v>276294</v>
      </c>
      <c r="I124" s="205" t="s">
        <v>25</v>
      </c>
      <c r="J124" s="205" t="s">
        <v>214</v>
      </c>
      <c r="K124" s="201" t="s">
        <v>1042</v>
      </c>
      <c r="L124" s="205" t="s">
        <v>1290</v>
      </c>
      <c r="M124" s="201" t="s">
        <v>1030</v>
      </c>
      <c r="N124" s="205" t="s">
        <v>652</v>
      </c>
      <c r="O124" s="205" t="s">
        <v>652</v>
      </c>
      <c r="P124" s="207" t="s">
        <v>653</v>
      </c>
      <c r="Q124" s="208" t="s">
        <v>697</v>
      </c>
      <c r="R124" s="208" t="s">
        <v>990</v>
      </c>
    </row>
    <row r="125" spans="1:18" s="205" customFormat="1" x14ac:dyDescent="0.2">
      <c r="A125" s="205" t="s">
        <v>148</v>
      </c>
      <c r="B125" s="205" t="s">
        <v>270</v>
      </c>
      <c r="C125" s="200">
        <v>45387</v>
      </c>
      <c r="D125" s="201" t="s">
        <v>152</v>
      </c>
      <c r="E125" s="206">
        <v>3000</v>
      </c>
      <c r="F125" s="206">
        <v>0</v>
      </c>
      <c r="G125" s="206">
        <v>0</v>
      </c>
      <c r="H125" s="202">
        <f t="shared" si="1"/>
        <v>3000</v>
      </c>
      <c r="I125" s="205" t="s">
        <v>25</v>
      </c>
      <c r="J125" s="205" t="s">
        <v>214</v>
      </c>
      <c r="K125" s="201" t="s">
        <v>1042</v>
      </c>
      <c r="L125" s="205" t="s">
        <v>1291</v>
      </c>
      <c r="M125" s="201" t="s">
        <v>652</v>
      </c>
      <c r="N125" s="205" t="s">
        <v>652</v>
      </c>
      <c r="O125" s="205" t="s">
        <v>652</v>
      </c>
      <c r="P125" s="207" t="s">
        <v>677</v>
      </c>
      <c r="Q125" s="208" t="s">
        <v>678</v>
      </c>
      <c r="R125" s="208" t="s">
        <v>990</v>
      </c>
    </row>
    <row r="126" spans="1:18" s="205" customFormat="1" x14ac:dyDescent="0.2">
      <c r="A126" s="205" t="s">
        <v>268</v>
      </c>
      <c r="B126" s="205" t="s">
        <v>285</v>
      </c>
      <c r="C126" s="200">
        <v>45387</v>
      </c>
      <c r="D126" s="201" t="s">
        <v>152</v>
      </c>
      <c r="E126" s="206">
        <v>14714</v>
      </c>
      <c r="F126" s="206">
        <v>0</v>
      </c>
      <c r="G126" s="206">
        <v>0</v>
      </c>
      <c r="H126" s="202">
        <f t="shared" si="1"/>
        <v>14714</v>
      </c>
      <c r="I126" s="205" t="s">
        <v>25</v>
      </c>
      <c r="J126" s="205" t="s">
        <v>214</v>
      </c>
      <c r="K126" s="201" t="s">
        <v>1042</v>
      </c>
      <c r="L126" s="205" t="s">
        <v>1292</v>
      </c>
      <c r="M126" s="201" t="s">
        <v>1030</v>
      </c>
      <c r="N126" s="205" t="s">
        <v>652</v>
      </c>
      <c r="O126" s="205" t="s">
        <v>652</v>
      </c>
      <c r="P126" s="207" t="s">
        <v>677</v>
      </c>
      <c r="Q126" s="208" t="s">
        <v>678</v>
      </c>
      <c r="R126" s="208" t="s">
        <v>990</v>
      </c>
    </row>
    <row r="127" spans="1:18" s="205" customFormat="1" x14ac:dyDescent="0.2">
      <c r="A127" s="205" t="s">
        <v>34</v>
      </c>
      <c r="B127" s="205" t="s">
        <v>583</v>
      </c>
      <c r="C127" s="200">
        <v>45387</v>
      </c>
      <c r="D127" s="201" t="s">
        <v>152</v>
      </c>
      <c r="E127" s="206">
        <v>74987</v>
      </c>
      <c r="F127" s="206">
        <v>0</v>
      </c>
      <c r="G127" s="206">
        <v>0</v>
      </c>
      <c r="H127" s="202">
        <f t="shared" si="1"/>
        <v>74987</v>
      </c>
      <c r="I127" s="205" t="s">
        <v>25</v>
      </c>
      <c r="J127" s="205" t="s">
        <v>214</v>
      </c>
      <c r="K127" s="201" t="s">
        <v>1042</v>
      </c>
      <c r="L127" s="205" t="s">
        <v>1293</v>
      </c>
      <c r="M127" s="201" t="s">
        <v>1030</v>
      </c>
      <c r="N127" s="205" t="s">
        <v>652</v>
      </c>
      <c r="O127" s="205" t="s">
        <v>652</v>
      </c>
      <c r="P127" s="215" t="s">
        <v>653</v>
      </c>
      <c r="Q127" s="216" t="s">
        <v>654</v>
      </c>
      <c r="R127" s="208" t="s">
        <v>990</v>
      </c>
    </row>
    <row r="128" spans="1:18" s="205" customFormat="1" x14ac:dyDescent="0.2">
      <c r="A128" s="205" t="s">
        <v>309</v>
      </c>
      <c r="B128" s="205" t="s">
        <v>310</v>
      </c>
      <c r="C128" s="200">
        <v>45387</v>
      </c>
      <c r="D128" s="201" t="s">
        <v>152</v>
      </c>
      <c r="E128" s="206">
        <v>3000</v>
      </c>
      <c r="F128" s="206">
        <v>0</v>
      </c>
      <c r="G128" s="206">
        <v>0</v>
      </c>
      <c r="H128" s="202">
        <f t="shared" si="1"/>
        <v>3000</v>
      </c>
      <c r="I128" s="205" t="s">
        <v>25</v>
      </c>
      <c r="J128" s="205" t="s">
        <v>214</v>
      </c>
      <c r="K128" s="201" t="s">
        <v>1042</v>
      </c>
      <c r="L128" s="205" t="s">
        <v>1294</v>
      </c>
      <c r="M128" s="201" t="s">
        <v>1030</v>
      </c>
      <c r="N128" s="205" t="s">
        <v>1295</v>
      </c>
      <c r="O128" s="205" t="s">
        <v>1061</v>
      </c>
      <c r="P128" s="207" t="s">
        <v>865</v>
      </c>
      <c r="Q128" s="208" t="s">
        <v>687</v>
      </c>
      <c r="R128" s="208" t="s">
        <v>990</v>
      </c>
    </row>
    <row r="129" spans="1:18" s="205" customFormat="1" x14ac:dyDescent="0.2">
      <c r="A129" s="205" t="s">
        <v>256</v>
      </c>
      <c r="B129" s="205" t="s">
        <v>1296</v>
      </c>
      <c r="C129" s="200">
        <v>45387</v>
      </c>
      <c r="D129" s="201" t="s">
        <v>152</v>
      </c>
      <c r="E129" s="206">
        <v>1211613</v>
      </c>
      <c r="F129" s="206">
        <v>0</v>
      </c>
      <c r="G129" s="206">
        <v>0</v>
      </c>
      <c r="H129" s="202">
        <f t="shared" si="1"/>
        <v>1211613</v>
      </c>
      <c r="I129" s="205" t="s">
        <v>25</v>
      </c>
      <c r="J129" s="205" t="s">
        <v>214</v>
      </c>
      <c r="K129" s="201" t="s">
        <v>1028</v>
      </c>
      <c r="L129" s="205" t="s">
        <v>1297</v>
      </c>
      <c r="M129" s="201" t="s">
        <v>1030</v>
      </c>
      <c r="N129" s="205" t="s">
        <v>652</v>
      </c>
      <c r="O129" s="205" t="s">
        <v>652</v>
      </c>
      <c r="P129" s="207" t="s">
        <v>663</v>
      </c>
      <c r="Q129" s="208" t="s">
        <v>723</v>
      </c>
      <c r="R129" s="208" t="s">
        <v>990</v>
      </c>
    </row>
    <row r="130" spans="1:18" s="205" customFormat="1" x14ac:dyDescent="0.2">
      <c r="A130" s="205" t="s">
        <v>1298</v>
      </c>
      <c r="B130" s="205" t="s">
        <v>1299</v>
      </c>
      <c r="C130" s="200">
        <v>45387</v>
      </c>
      <c r="D130" s="201" t="s">
        <v>152</v>
      </c>
      <c r="E130" s="206">
        <v>35934287</v>
      </c>
      <c r="F130" s="206">
        <v>0</v>
      </c>
      <c r="G130" s="206">
        <v>0</v>
      </c>
      <c r="H130" s="202">
        <f t="shared" ref="H130:H193" si="2">E130+G130-F130</f>
        <v>35934287</v>
      </c>
      <c r="I130" s="205" t="s">
        <v>25</v>
      </c>
      <c r="J130" s="205" t="s">
        <v>214</v>
      </c>
      <c r="K130" s="201" t="s">
        <v>1058</v>
      </c>
      <c r="L130" s="205" t="s">
        <v>1300</v>
      </c>
      <c r="M130" s="201" t="s">
        <v>1301</v>
      </c>
      <c r="N130" s="205" t="s">
        <v>1302</v>
      </c>
      <c r="O130" s="205" t="s">
        <v>1066</v>
      </c>
      <c r="P130" s="207" t="s">
        <v>866</v>
      </c>
      <c r="Q130" s="208" t="s">
        <v>986</v>
      </c>
      <c r="R130" s="208" t="s">
        <v>990</v>
      </c>
    </row>
    <row r="131" spans="1:18" s="205" customFormat="1" x14ac:dyDescent="0.2">
      <c r="A131" s="205" t="s">
        <v>1303</v>
      </c>
      <c r="B131" s="205" t="s">
        <v>743</v>
      </c>
      <c r="C131" s="200">
        <v>45387</v>
      </c>
      <c r="D131" s="201" t="s">
        <v>152</v>
      </c>
      <c r="E131" s="206">
        <v>5789</v>
      </c>
      <c r="F131" s="206">
        <v>0</v>
      </c>
      <c r="G131" s="206">
        <v>0</v>
      </c>
      <c r="H131" s="202">
        <f t="shared" si="2"/>
        <v>5789</v>
      </c>
      <c r="I131" s="205" t="s">
        <v>25</v>
      </c>
      <c r="J131" s="205" t="s">
        <v>214</v>
      </c>
      <c r="K131" s="201" t="s">
        <v>1151</v>
      </c>
      <c r="L131" s="205" t="s">
        <v>1304</v>
      </c>
      <c r="M131" s="201" t="s">
        <v>1030</v>
      </c>
      <c r="N131" s="205" t="s">
        <v>652</v>
      </c>
      <c r="O131" s="205" t="s">
        <v>652</v>
      </c>
      <c r="P131" s="207" t="s">
        <v>653</v>
      </c>
      <c r="Q131" s="208" t="s">
        <v>654</v>
      </c>
      <c r="R131" s="208" t="s">
        <v>990</v>
      </c>
    </row>
    <row r="132" spans="1:18" s="205" customFormat="1" x14ac:dyDescent="0.2">
      <c r="A132" s="205" t="s">
        <v>458</v>
      </c>
      <c r="B132" s="205" t="s">
        <v>744</v>
      </c>
      <c r="C132" s="200">
        <v>45387</v>
      </c>
      <c r="D132" s="199" t="s">
        <v>166</v>
      </c>
      <c r="E132" s="206">
        <v>-7698</v>
      </c>
      <c r="F132" s="206">
        <v>0</v>
      </c>
      <c r="G132" s="206">
        <v>0</v>
      </c>
      <c r="H132" s="202">
        <f t="shared" si="2"/>
        <v>-7698</v>
      </c>
      <c r="I132" s="205" t="s">
        <v>25</v>
      </c>
      <c r="J132" s="205" t="s">
        <v>214</v>
      </c>
      <c r="K132" s="201" t="s">
        <v>1068</v>
      </c>
      <c r="L132" s="205" t="s">
        <v>1305</v>
      </c>
      <c r="M132" s="201" t="s">
        <v>1030</v>
      </c>
      <c r="N132" s="205" t="s">
        <v>652</v>
      </c>
      <c r="O132" s="205" t="s">
        <v>652</v>
      </c>
      <c r="P132" s="207" t="s">
        <v>653</v>
      </c>
      <c r="Q132" s="208" t="s">
        <v>654</v>
      </c>
      <c r="R132" s="208" t="s">
        <v>990</v>
      </c>
    </row>
    <row r="133" spans="1:18" s="205" customFormat="1" x14ac:dyDescent="0.2">
      <c r="A133" s="205" t="s">
        <v>165</v>
      </c>
      <c r="B133" s="205" t="s">
        <v>302</v>
      </c>
      <c r="C133" s="200">
        <v>45387</v>
      </c>
      <c r="D133" s="199" t="s">
        <v>166</v>
      </c>
      <c r="E133" s="206">
        <v>-55329</v>
      </c>
      <c r="F133" s="206">
        <v>0</v>
      </c>
      <c r="G133" s="206">
        <v>0</v>
      </c>
      <c r="H133" s="202">
        <f t="shared" si="2"/>
        <v>-55329</v>
      </c>
      <c r="I133" s="205" t="s">
        <v>25</v>
      </c>
      <c r="J133" s="205" t="s">
        <v>214</v>
      </c>
      <c r="K133" s="201" t="s">
        <v>1151</v>
      </c>
      <c r="L133" s="205" t="s">
        <v>1306</v>
      </c>
      <c r="M133" s="201" t="s">
        <v>1030</v>
      </c>
      <c r="N133" s="205" t="s">
        <v>652</v>
      </c>
      <c r="O133" s="205" t="s">
        <v>652</v>
      </c>
      <c r="P133" s="207" t="s">
        <v>491</v>
      </c>
      <c r="Q133" s="208" t="s">
        <v>884</v>
      </c>
      <c r="R133" s="208" t="s">
        <v>990</v>
      </c>
    </row>
    <row r="134" spans="1:18" s="205" customFormat="1" x14ac:dyDescent="0.2">
      <c r="A134" s="205" t="s">
        <v>164</v>
      </c>
      <c r="B134" s="205" t="s">
        <v>301</v>
      </c>
      <c r="C134" s="200">
        <v>45387</v>
      </c>
      <c r="D134" s="199" t="s">
        <v>166</v>
      </c>
      <c r="E134" s="206">
        <v>-72438</v>
      </c>
      <c r="F134" s="206">
        <v>0</v>
      </c>
      <c r="G134" s="206">
        <v>0</v>
      </c>
      <c r="H134" s="202">
        <f t="shared" si="2"/>
        <v>-72438</v>
      </c>
      <c r="I134" s="205" t="s">
        <v>25</v>
      </c>
      <c r="J134" s="205" t="s">
        <v>214</v>
      </c>
      <c r="K134" s="201" t="s">
        <v>1068</v>
      </c>
      <c r="L134" s="205" t="s">
        <v>1307</v>
      </c>
      <c r="M134" s="201" t="s">
        <v>1030</v>
      </c>
      <c r="N134" s="205" t="s">
        <v>652</v>
      </c>
      <c r="O134" s="205" t="s">
        <v>652</v>
      </c>
      <c r="P134" s="207" t="s">
        <v>491</v>
      </c>
      <c r="Q134" s="208" t="s">
        <v>884</v>
      </c>
      <c r="R134" s="208" t="s">
        <v>990</v>
      </c>
    </row>
    <row r="135" spans="1:18" s="205" customFormat="1" x14ac:dyDescent="0.2">
      <c r="A135" s="205" t="s">
        <v>163</v>
      </c>
      <c r="B135" s="205" t="s">
        <v>300</v>
      </c>
      <c r="C135" s="200">
        <v>45388</v>
      </c>
      <c r="D135" s="201" t="s">
        <v>152</v>
      </c>
      <c r="E135" s="206">
        <v>2359870</v>
      </c>
      <c r="F135" s="206">
        <v>0</v>
      </c>
      <c r="G135" s="206">
        <v>0</v>
      </c>
      <c r="H135" s="202">
        <f t="shared" si="2"/>
        <v>2359870</v>
      </c>
      <c r="I135" s="205" t="s">
        <v>25</v>
      </c>
      <c r="J135" s="205" t="s">
        <v>214</v>
      </c>
      <c r="K135" s="201" t="s">
        <v>1028</v>
      </c>
      <c r="L135" s="205" t="s">
        <v>1308</v>
      </c>
      <c r="M135" s="201" t="s">
        <v>1030</v>
      </c>
      <c r="N135" s="205" t="s">
        <v>652</v>
      </c>
      <c r="O135" s="205" t="s">
        <v>652</v>
      </c>
      <c r="P135" s="207" t="s">
        <v>491</v>
      </c>
      <c r="Q135" s="208" t="s">
        <v>884</v>
      </c>
      <c r="R135" s="208" t="s">
        <v>856</v>
      </c>
    </row>
    <row r="136" spans="1:18" s="205" customFormat="1" x14ac:dyDescent="0.2">
      <c r="A136" s="205" t="s">
        <v>453</v>
      </c>
      <c r="B136" s="205" t="s">
        <v>478</v>
      </c>
      <c r="C136" s="200">
        <v>45388</v>
      </c>
      <c r="D136" s="201" t="s">
        <v>152</v>
      </c>
      <c r="E136" s="206">
        <v>325139</v>
      </c>
      <c r="F136" s="206">
        <v>0</v>
      </c>
      <c r="G136" s="206">
        <v>0</v>
      </c>
      <c r="H136" s="202">
        <f t="shared" si="2"/>
        <v>325139</v>
      </c>
      <c r="I136" s="205" t="s">
        <v>25</v>
      </c>
      <c r="J136" s="205" t="s">
        <v>214</v>
      </c>
      <c r="K136" s="201" t="s">
        <v>1028</v>
      </c>
      <c r="L136" s="205" t="s">
        <v>1309</v>
      </c>
      <c r="M136" s="201" t="s">
        <v>1030</v>
      </c>
      <c r="N136" s="205" t="s">
        <v>652</v>
      </c>
      <c r="O136" s="205" t="s">
        <v>652</v>
      </c>
      <c r="P136" s="207" t="s">
        <v>491</v>
      </c>
      <c r="Q136" s="208" t="s">
        <v>884</v>
      </c>
      <c r="R136" s="208" t="s">
        <v>856</v>
      </c>
    </row>
    <row r="137" spans="1:18" s="205" customFormat="1" x14ac:dyDescent="0.2">
      <c r="A137" s="205" t="s">
        <v>472</v>
      </c>
      <c r="B137" s="205" t="s">
        <v>484</v>
      </c>
      <c r="C137" s="200">
        <v>45388</v>
      </c>
      <c r="D137" s="201" t="s">
        <v>152</v>
      </c>
      <c r="E137" s="206">
        <v>566462</v>
      </c>
      <c r="F137" s="206">
        <v>0</v>
      </c>
      <c r="G137" s="206">
        <v>0</v>
      </c>
      <c r="H137" s="202">
        <f t="shared" si="2"/>
        <v>566462</v>
      </c>
      <c r="I137" s="205" t="s">
        <v>25</v>
      </c>
      <c r="J137" s="205" t="s">
        <v>214</v>
      </c>
      <c r="K137" s="201" t="s">
        <v>1028</v>
      </c>
      <c r="L137" s="205" t="s">
        <v>1310</v>
      </c>
      <c r="M137" s="201" t="s">
        <v>1030</v>
      </c>
      <c r="N137" s="205" t="s">
        <v>652</v>
      </c>
      <c r="O137" s="205" t="s">
        <v>652</v>
      </c>
      <c r="P137" s="207" t="s">
        <v>491</v>
      </c>
      <c r="Q137" s="208" t="s">
        <v>884</v>
      </c>
      <c r="R137" s="208" t="s">
        <v>856</v>
      </c>
    </row>
    <row r="138" spans="1:18" s="205" customFormat="1" x14ac:dyDescent="0.2">
      <c r="A138" s="205" t="s">
        <v>164</v>
      </c>
      <c r="B138" s="205" t="s">
        <v>301</v>
      </c>
      <c r="C138" s="200">
        <v>45388</v>
      </c>
      <c r="D138" s="201" t="s">
        <v>152</v>
      </c>
      <c r="E138" s="206">
        <v>43512677</v>
      </c>
      <c r="F138" s="206">
        <v>0</v>
      </c>
      <c r="G138" s="206">
        <v>0</v>
      </c>
      <c r="H138" s="202">
        <f t="shared" si="2"/>
        <v>43512677</v>
      </c>
      <c r="I138" s="205" t="s">
        <v>25</v>
      </c>
      <c r="J138" s="205" t="s">
        <v>214</v>
      </c>
      <c r="K138" s="201" t="s">
        <v>1028</v>
      </c>
      <c r="L138" s="205" t="s">
        <v>1311</v>
      </c>
      <c r="M138" s="201" t="s">
        <v>1030</v>
      </c>
      <c r="N138" s="205" t="s">
        <v>652</v>
      </c>
      <c r="O138" s="205" t="s">
        <v>652</v>
      </c>
      <c r="P138" s="207" t="s">
        <v>491</v>
      </c>
      <c r="Q138" s="208" t="s">
        <v>884</v>
      </c>
      <c r="R138" s="208" t="s">
        <v>856</v>
      </c>
    </row>
    <row r="139" spans="1:18" s="205" customFormat="1" x14ac:dyDescent="0.2">
      <c r="A139" s="205" t="s">
        <v>165</v>
      </c>
      <c r="B139" s="205" t="s">
        <v>302</v>
      </c>
      <c r="C139" s="200">
        <v>45389</v>
      </c>
      <c r="D139" s="201" t="s">
        <v>152</v>
      </c>
      <c r="E139" s="206">
        <v>13935613</v>
      </c>
      <c r="F139" s="206">
        <v>0</v>
      </c>
      <c r="G139" s="206">
        <v>0</v>
      </c>
      <c r="H139" s="202">
        <f t="shared" si="2"/>
        <v>13935613</v>
      </c>
      <c r="I139" s="205" t="s">
        <v>25</v>
      </c>
      <c r="J139" s="205" t="s">
        <v>214</v>
      </c>
      <c r="K139" s="201" t="s">
        <v>1028</v>
      </c>
      <c r="L139" s="205" t="s">
        <v>1312</v>
      </c>
      <c r="M139" s="201" t="s">
        <v>1030</v>
      </c>
      <c r="N139" s="205" t="s">
        <v>652</v>
      </c>
      <c r="O139" s="205" t="s">
        <v>652</v>
      </c>
      <c r="P139" s="207" t="s">
        <v>491</v>
      </c>
      <c r="Q139" s="208" t="s">
        <v>884</v>
      </c>
      <c r="R139" s="208" t="s">
        <v>856</v>
      </c>
    </row>
    <row r="140" spans="1:18" s="205" customFormat="1" x14ac:dyDescent="0.2">
      <c r="A140" s="205" t="s">
        <v>262</v>
      </c>
      <c r="B140" s="205" t="s">
        <v>1313</v>
      </c>
      <c r="C140" s="200">
        <v>45390</v>
      </c>
      <c r="D140" s="201" t="s">
        <v>152</v>
      </c>
      <c r="E140" s="206">
        <v>801576</v>
      </c>
      <c r="F140" s="206">
        <v>80158</v>
      </c>
      <c r="G140" s="206">
        <v>8016</v>
      </c>
      <c r="H140" s="202">
        <f t="shared" si="2"/>
        <v>729434</v>
      </c>
      <c r="I140" s="205" t="s">
        <v>40</v>
      </c>
      <c r="J140" s="205" t="s">
        <v>29</v>
      </c>
      <c r="K140" s="201" t="s">
        <v>1028</v>
      </c>
      <c r="L140" s="205" t="s">
        <v>1314</v>
      </c>
      <c r="M140" s="201" t="s">
        <v>1030</v>
      </c>
      <c r="N140" s="205" t="s">
        <v>652</v>
      </c>
      <c r="O140" s="205" t="s">
        <v>652</v>
      </c>
      <c r="P140" s="207" t="s">
        <v>987</v>
      </c>
      <c r="Q140" s="208" t="s">
        <v>988</v>
      </c>
      <c r="R140" s="208" t="s">
        <v>1106</v>
      </c>
    </row>
    <row r="141" spans="1:18" s="205" customFormat="1" x14ac:dyDescent="0.2">
      <c r="A141" s="205" t="s">
        <v>1315</v>
      </c>
      <c r="B141" s="205" t="s">
        <v>1316</v>
      </c>
      <c r="C141" s="200">
        <v>45390</v>
      </c>
      <c r="D141" s="201" t="s">
        <v>152</v>
      </c>
      <c r="E141" s="206">
        <v>83776</v>
      </c>
      <c r="F141" s="206">
        <v>8378</v>
      </c>
      <c r="G141" s="206">
        <v>838</v>
      </c>
      <c r="H141" s="202">
        <f t="shared" si="2"/>
        <v>76236</v>
      </c>
      <c r="I141" s="205" t="s">
        <v>46</v>
      </c>
      <c r="J141" s="205" t="s">
        <v>29</v>
      </c>
      <c r="K141" s="201" t="s">
        <v>1028</v>
      </c>
      <c r="L141" s="205" t="s">
        <v>1317</v>
      </c>
      <c r="M141" s="201" t="s">
        <v>1030</v>
      </c>
      <c r="N141" s="205" t="s">
        <v>652</v>
      </c>
      <c r="O141" s="205" t="s">
        <v>652</v>
      </c>
      <c r="P141" s="207" t="s">
        <v>792</v>
      </c>
      <c r="Q141" s="208" t="s">
        <v>1318</v>
      </c>
      <c r="R141" s="208" t="s">
        <v>1106</v>
      </c>
    </row>
    <row r="142" spans="1:18" s="205" customFormat="1" x14ac:dyDescent="0.2">
      <c r="A142" s="205" t="s">
        <v>558</v>
      </c>
      <c r="B142" s="205" t="s">
        <v>559</v>
      </c>
      <c r="C142" s="200">
        <v>45390</v>
      </c>
      <c r="D142" s="201" t="s">
        <v>152</v>
      </c>
      <c r="E142" s="206">
        <v>93029</v>
      </c>
      <c r="F142" s="206">
        <v>9303</v>
      </c>
      <c r="G142" s="206">
        <v>930</v>
      </c>
      <c r="H142" s="202">
        <f t="shared" si="2"/>
        <v>84656</v>
      </c>
      <c r="I142" s="205" t="s">
        <v>31</v>
      </c>
      <c r="J142" s="205" t="s">
        <v>29</v>
      </c>
      <c r="K142" s="201" t="s">
        <v>1042</v>
      </c>
      <c r="L142" s="205" t="s">
        <v>1319</v>
      </c>
      <c r="M142" s="201" t="s">
        <v>1030</v>
      </c>
      <c r="N142" s="205" t="s">
        <v>1046</v>
      </c>
      <c r="O142" s="205" t="s">
        <v>1047</v>
      </c>
      <c r="P142" s="207" t="s">
        <v>653</v>
      </c>
      <c r="Q142" s="208" t="s">
        <v>654</v>
      </c>
      <c r="R142" s="208" t="s">
        <v>1106</v>
      </c>
    </row>
    <row r="143" spans="1:18" s="205" customFormat="1" x14ac:dyDescent="0.2">
      <c r="A143" s="205" t="s">
        <v>175</v>
      </c>
      <c r="B143" s="205" t="s">
        <v>529</v>
      </c>
      <c r="C143" s="200">
        <v>45390</v>
      </c>
      <c r="D143" s="201" t="s">
        <v>152</v>
      </c>
      <c r="E143" s="206">
        <v>20793</v>
      </c>
      <c r="F143" s="206">
        <v>2079</v>
      </c>
      <c r="G143" s="206">
        <v>208</v>
      </c>
      <c r="H143" s="202">
        <f t="shared" si="2"/>
        <v>18922</v>
      </c>
      <c r="I143" s="205" t="s">
        <v>32</v>
      </c>
      <c r="J143" s="205" t="s">
        <v>29</v>
      </c>
      <c r="K143" s="201" t="s">
        <v>1042</v>
      </c>
      <c r="L143" s="205" t="s">
        <v>1320</v>
      </c>
      <c r="M143" s="201" t="s">
        <v>1030</v>
      </c>
      <c r="N143" s="205" t="s">
        <v>652</v>
      </c>
      <c r="O143" s="205" t="s">
        <v>652</v>
      </c>
      <c r="P143" s="207" t="s">
        <v>718</v>
      </c>
      <c r="Q143" s="208" t="s">
        <v>719</v>
      </c>
      <c r="R143" s="208" t="s">
        <v>1106</v>
      </c>
    </row>
    <row r="144" spans="1:18" s="205" customFormat="1" x14ac:dyDescent="0.2">
      <c r="A144" s="205" t="s">
        <v>139</v>
      </c>
      <c r="B144" s="205" t="s">
        <v>1252</v>
      </c>
      <c r="C144" s="200">
        <v>45390</v>
      </c>
      <c r="D144" s="201" t="s">
        <v>152</v>
      </c>
      <c r="E144" s="206">
        <v>31590</v>
      </c>
      <c r="F144" s="206">
        <v>3159</v>
      </c>
      <c r="G144" s="206">
        <v>316</v>
      </c>
      <c r="H144" s="202">
        <f t="shared" si="2"/>
        <v>28747</v>
      </c>
      <c r="I144" s="205" t="s">
        <v>1253</v>
      </c>
      <c r="J144" s="205" t="s">
        <v>29</v>
      </c>
      <c r="K144" s="201" t="s">
        <v>1042</v>
      </c>
      <c r="L144" s="205" t="s">
        <v>1321</v>
      </c>
      <c r="M144" s="201" t="s">
        <v>1030</v>
      </c>
      <c r="N144" s="205" t="s">
        <v>652</v>
      </c>
      <c r="O144" s="205" t="s">
        <v>652</v>
      </c>
      <c r="P144" s="207" t="s">
        <v>750</v>
      </c>
      <c r="Q144" s="208" t="s">
        <v>1251</v>
      </c>
      <c r="R144" s="208" t="s">
        <v>1106</v>
      </c>
    </row>
    <row r="145" spans="1:18" s="205" customFormat="1" x14ac:dyDescent="0.2">
      <c r="A145" s="205" t="s">
        <v>1322</v>
      </c>
      <c r="B145" s="205" t="s">
        <v>1323</v>
      </c>
      <c r="C145" s="200">
        <v>45390</v>
      </c>
      <c r="D145" s="199" t="s">
        <v>166</v>
      </c>
      <c r="E145" s="206">
        <v>-32239</v>
      </c>
      <c r="F145" s="206">
        <v>-3224</v>
      </c>
      <c r="G145" s="206">
        <v>-322</v>
      </c>
      <c r="H145" s="202">
        <f t="shared" si="2"/>
        <v>-29337</v>
      </c>
      <c r="I145" s="205" t="s">
        <v>46</v>
      </c>
      <c r="J145" s="205" t="s">
        <v>29</v>
      </c>
      <c r="K145" s="201" t="s">
        <v>1068</v>
      </c>
      <c r="L145" s="205" t="s">
        <v>1324</v>
      </c>
      <c r="M145" s="201" t="s">
        <v>1030</v>
      </c>
      <c r="N145" s="205" t="s">
        <v>652</v>
      </c>
      <c r="O145" s="205" t="s">
        <v>652</v>
      </c>
      <c r="P145" s="207" t="s">
        <v>895</v>
      </c>
      <c r="Q145" s="208" t="s">
        <v>896</v>
      </c>
      <c r="R145" s="208" t="s">
        <v>1106</v>
      </c>
    </row>
    <row r="146" spans="1:18" s="205" customFormat="1" x14ac:dyDescent="0.2">
      <c r="A146" s="205" t="s">
        <v>428</v>
      </c>
      <c r="B146" s="205" t="s">
        <v>710</v>
      </c>
      <c r="C146" s="200">
        <v>45390</v>
      </c>
      <c r="D146" s="199" t="s">
        <v>166</v>
      </c>
      <c r="E146" s="206">
        <v>-70583</v>
      </c>
      <c r="F146" s="206">
        <v>-7058</v>
      </c>
      <c r="G146" s="206">
        <v>-706</v>
      </c>
      <c r="H146" s="202">
        <f t="shared" si="2"/>
        <v>-64231</v>
      </c>
      <c r="I146" s="205" t="s">
        <v>562</v>
      </c>
      <c r="J146" s="205" t="s">
        <v>29</v>
      </c>
      <c r="K146" s="201" t="s">
        <v>1325</v>
      </c>
      <c r="L146" s="205" t="s">
        <v>1326</v>
      </c>
      <c r="M146" s="201" t="s">
        <v>1030</v>
      </c>
      <c r="N146" s="205" t="s">
        <v>652</v>
      </c>
      <c r="O146" s="205" t="s">
        <v>652</v>
      </c>
      <c r="P146" s="207" t="s">
        <v>711</v>
      </c>
      <c r="Q146" s="208" t="s">
        <v>712</v>
      </c>
      <c r="R146" s="208" t="s">
        <v>1106</v>
      </c>
    </row>
    <row r="147" spans="1:18" s="205" customFormat="1" x14ac:dyDescent="0.2">
      <c r="A147" s="205" t="s">
        <v>36</v>
      </c>
      <c r="B147" s="205" t="s">
        <v>1327</v>
      </c>
      <c r="C147" s="200">
        <v>45390</v>
      </c>
      <c r="D147" s="201" t="s">
        <v>152</v>
      </c>
      <c r="E147" s="206">
        <v>52204</v>
      </c>
      <c r="F147" s="206">
        <v>5220</v>
      </c>
      <c r="G147" s="206">
        <v>261</v>
      </c>
      <c r="H147" s="202">
        <f t="shared" si="2"/>
        <v>47245</v>
      </c>
      <c r="I147" s="205" t="s">
        <v>37</v>
      </c>
      <c r="J147" s="205" t="s">
        <v>23</v>
      </c>
      <c r="K147" s="201" t="s">
        <v>1028</v>
      </c>
      <c r="L147" s="205" t="s">
        <v>1328</v>
      </c>
      <c r="M147" s="209" t="s">
        <v>1030</v>
      </c>
      <c r="N147" s="205" t="s">
        <v>652</v>
      </c>
      <c r="O147" s="205" t="s">
        <v>652</v>
      </c>
      <c r="P147" s="207" t="s">
        <v>1031</v>
      </c>
      <c r="Q147" s="208" t="s">
        <v>1329</v>
      </c>
      <c r="R147" s="208" t="s">
        <v>990</v>
      </c>
    </row>
    <row r="148" spans="1:18" s="205" customFormat="1" x14ac:dyDescent="0.2">
      <c r="A148" s="205" t="s">
        <v>1330</v>
      </c>
      <c r="B148" s="205" t="s">
        <v>252</v>
      </c>
      <c r="C148" s="200">
        <v>45390</v>
      </c>
      <c r="D148" s="201" t="s">
        <v>152</v>
      </c>
      <c r="E148" s="206">
        <v>61465</v>
      </c>
      <c r="F148" s="206">
        <v>6147</v>
      </c>
      <c r="G148" s="206">
        <v>307</v>
      </c>
      <c r="H148" s="202">
        <f t="shared" si="2"/>
        <v>55625</v>
      </c>
      <c r="I148" s="205" t="s">
        <v>104</v>
      </c>
      <c r="J148" s="205" t="s">
        <v>23</v>
      </c>
      <c r="K148" s="201" t="s">
        <v>1058</v>
      </c>
      <c r="L148" s="205" t="s">
        <v>1331</v>
      </c>
      <c r="M148" s="201" t="s">
        <v>1072</v>
      </c>
      <c r="N148" s="205" t="s">
        <v>652</v>
      </c>
      <c r="O148" s="205" t="s">
        <v>652</v>
      </c>
      <c r="P148" s="207" t="s">
        <v>663</v>
      </c>
      <c r="Q148" s="208" t="s">
        <v>723</v>
      </c>
      <c r="R148" s="208" t="s">
        <v>1106</v>
      </c>
    </row>
    <row r="149" spans="1:18" s="205" customFormat="1" x14ac:dyDescent="0.2">
      <c r="A149" s="205" t="s">
        <v>1332</v>
      </c>
      <c r="B149" s="205" t="s">
        <v>252</v>
      </c>
      <c r="C149" s="200">
        <v>45390</v>
      </c>
      <c r="D149" s="201" t="s">
        <v>152</v>
      </c>
      <c r="E149" s="206">
        <v>29326</v>
      </c>
      <c r="F149" s="206">
        <v>2933</v>
      </c>
      <c r="G149" s="206">
        <v>147</v>
      </c>
      <c r="H149" s="202">
        <f t="shared" si="2"/>
        <v>26540</v>
      </c>
      <c r="I149" s="205" t="s">
        <v>104</v>
      </c>
      <c r="J149" s="205" t="s">
        <v>23</v>
      </c>
      <c r="K149" s="201" t="s">
        <v>1058</v>
      </c>
      <c r="L149" s="205" t="s">
        <v>1333</v>
      </c>
      <c r="M149" s="201" t="s">
        <v>1072</v>
      </c>
      <c r="N149" s="205" t="s">
        <v>652</v>
      </c>
      <c r="O149" s="205" t="s">
        <v>652</v>
      </c>
      <c r="P149" s="207" t="s">
        <v>653</v>
      </c>
      <c r="Q149" s="208" t="s">
        <v>654</v>
      </c>
      <c r="R149" s="208" t="s">
        <v>1106</v>
      </c>
    </row>
    <row r="150" spans="1:18" s="205" customFormat="1" x14ac:dyDescent="0.2">
      <c r="A150" s="205" t="s">
        <v>422</v>
      </c>
      <c r="B150" s="205" t="s">
        <v>1334</v>
      </c>
      <c r="C150" s="200">
        <v>45390</v>
      </c>
      <c r="D150" s="201" t="s">
        <v>152</v>
      </c>
      <c r="E150" s="206">
        <v>575682</v>
      </c>
      <c r="F150" s="206">
        <v>57568</v>
      </c>
      <c r="G150" s="206">
        <v>2878</v>
      </c>
      <c r="H150" s="202">
        <f t="shared" si="2"/>
        <v>520992</v>
      </c>
      <c r="I150" s="205" t="s">
        <v>224</v>
      </c>
      <c r="J150" s="205" t="s">
        <v>23</v>
      </c>
      <c r="K150" s="201" t="s">
        <v>1028</v>
      </c>
      <c r="L150" s="205" t="s">
        <v>1335</v>
      </c>
      <c r="M150" s="201" t="s">
        <v>1030</v>
      </c>
      <c r="N150" s="205" t="s">
        <v>652</v>
      </c>
      <c r="O150" s="205" t="s">
        <v>652</v>
      </c>
      <c r="P150" s="207" t="s">
        <v>1079</v>
      </c>
      <c r="Q150" s="208" t="s">
        <v>1336</v>
      </c>
      <c r="R150" s="208" t="s">
        <v>1106</v>
      </c>
    </row>
    <row r="151" spans="1:18" s="205" customFormat="1" x14ac:dyDescent="0.2">
      <c r="A151" s="205" t="s">
        <v>1337</v>
      </c>
      <c r="B151" s="205" t="s">
        <v>1338</v>
      </c>
      <c r="C151" s="200">
        <v>45390</v>
      </c>
      <c r="D151" s="201" t="s">
        <v>152</v>
      </c>
      <c r="E151" s="206">
        <v>242645</v>
      </c>
      <c r="F151" s="206">
        <v>24264</v>
      </c>
      <c r="G151" s="206">
        <v>1213</v>
      </c>
      <c r="H151" s="202">
        <f t="shared" si="2"/>
        <v>219594</v>
      </c>
      <c r="I151" s="205" t="s">
        <v>1339</v>
      </c>
      <c r="J151" s="205" t="s">
        <v>23</v>
      </c>
      <c r="K151" s="201" t="s">
        <v>1028</v>
      </c>
      <c r="L151" s="205" t="s">
        <v>1340</v>
      </c>
      <c r="M151" s="201" t="s">
        <v>1030</v>
      </c>
      <c r="N151" s="205" t="s">
        <v>652</v>
      </c>
      <c r="O151" s="205" t="s">
        <v>652</v>
      </c>
      <c r="P151" s="207" t="s">
        <v>987</v>
      </c>
      <c r="Q151" s="208" t="s">
        <v>988</v>
      </c>
      <c r="R151" s="208" t="s">
        <v>1106</v>
      </c>
    </row>
    <row r="152" spans="1:18" s="205" customFormat="1" x14ac:dyDescent="0.2">
      <c r="A152" s="205" t="s">
        <v>209</v>
      </c>
      <c r="B152" s="205" t="s">
        <v>917</v>
      </c>
      <c r="C152" s="200">
        <v>45390</v>
      </c>
      <c r="D152" s="201" t="s">
        <v>152</v>
      </c>
      <c r="E152" s="206">
        <v>9864</v>
      </c>
      <c r="F152" s="206">
        <v>986</v>
      </c>
      <c r="G152" s="206">
        <v>49</v>
      </c>
      <c r="H152" s="202">
        <f t="shared" si="2"/>
        <v>8927</v>
      </c>
      <c r="I152" s="205" t="s">
        <v>138</v>
      </c>
      <c r="J152" s="205" t="s">
        <v>23</v>
      </c>
      <c r="K152" s="201" t="s">
        <v>1042</v>
      </c>
      <c r="L152" s="205" t="s">
        <v>1341</v>
      </c>
      <c r="M152" s="201" t="s">
        <v>1030</v>
      </c>
      <c r="N152" s="205" t="s">
        <v>652</v>
      </c>
      <c r="O152" s="205" t="s">
        <v>652</v>
      </c>
      <c r="P152" s="207" t="s">
        <v>663</v>
      </c>
      <c r="Q152" s="208" t="s">
        <v>723</v>
      </c>
      <c r="R152" s="208" t="s">
        <v>1106</v>
      </c>
    </row>
    <row r="153" spans="1:18" s="205" customFormat="1" x14ac:dyDescent="0.2">
      <c r="A153" s="205" t="s">
        <v>444</v>
      </c>
      <c r="B153" s="205" t="s">
        <v>1342</v>
      </c>
      <c r="C153" s="200">
        <v>45390</v>
      </c>
      <c r="D153" s="201" t="s">
        <v>152</v>
      </c>
      <c r="E153" s="206">
        <v>1474459</v>
      </c>
      <c r="F153" s="206">
        <v>147446</v>
      </c>
      <c r="G153" s="206">
        <v>7372</v>
      </c>
      <c r="H153" s="202">
        <f t="shared" si="2"/>
        <v>1334385</v>
      </c>
      <c r="I153" s="205" t="s">
        <v>22</v>
      </c>
      <c r="J153" s="205" t="s">
        <v>23</v>
      </c>
      <c r="K153" s="201" t="s">
        <v>1028</v>
      </c>
      <c r="L153" s="205" t="s">
        <v>1343</v>
      </c>
      <c r="M153" s="201" t="s">
        <v>1030</v>
      </c>
      <c r="N153" s="205" t="s">
        <v>652</v>
      </c>
      <c r="O153" s="205" t="s">
        <v>652</v>
      </c>
      <c r="P153" s="207" t="s">
        <v>987</v>
      </c>
      <c r="Q153" s="208" t="s">
        <v>988</v>
      </c>
      <c r="R153" s="208" t="s">
        <v>1106</v>
      </c>
    </row>
    <row r="154" spans="1:18" s="205" customFormat="1" x14ac:dyDescent="0.2">
      <c r="A154" s="205" t="s">
        <v>36</v>
      </c>
      <c r="B154" s="205" t="s">
        <v>1344</v>
      </c>
      <c r="C154" s="200">
        <v>45390</v>
      </c>
      <c r="D154" s="201" t="s">
        <v>152</v>
      </c>
      <c r="E154" s="206">
        <v>52204</v>
      </c>
      <c r="F154" s="206">
        <v>5220</v>
      </c>
      <c r="G154" s="206">
        <v>261</v>
      </c>
      <c r="H154" s="202">
        <f t="shared" si="2"/>
        <v>47245</v>
      </c>
      <c r="I154" s="205" t="s">
        <v>37</v>
      </c>
      <c r="J154" s="205" t="s">
        <v>23</v>
      </c>
      <c r="K154" s="201" t="s">
        <v>1028</v>
      </c>
      <c r="L154" s="205" t="s">
        <v>1345</v>
      </c>
      <c r="M154" s="201" t="s">
        <v>1030</v>
      </c>
      <c r="N154" s="205" t="s">
        <v>652</v>
      </c>
      <c r="O154" s="205" t="s">
        <v>652</v>
      </c>
      <c r="P154" s="207" t="s">
        <v>879</v>
      </c>
      <c r="Q154" s="208" t="s">
        <v>971</v>
      </c>
      <c r="R154" s="208" t="s">
        <v>1106</v>
      </c>
    </row>
    <row r="155" spans="1:18" s="205" customFormat="1" x14ac:dyDescent="0.2">
      <c r="A155" s="205" t="s">
        <v>36</v>
      </c>
      <c r="B155" s="205" t="s">
        <v>1346</v>
      </c>
      <c r="C155" s="200">
        <v>45390</v>
      </c>
      <c r="D155" s="201" t="s">
        <v>152</v>
      </c>
      <c r="E155" s="206">
        <v>67877</v>
      </c>
      <c r="F155" s="206">
        <v>6788</v>
      </c>
      <c r="G155" s="206">
        <v>339</v>
      </c>
      <c r="H155" s="202">
        <f t="shared" si="2"/>
        <v>61428</v>
      </c>
      <c r="I155" s="205" t="s">
        <v>37</v>
      </c>
      <c r="J155" s="205" t="s">
        <v>23</v>
      </c>
      <c r="K155" s="201" t="s">
        <v>1028</v>
      </c>
      <c r="L155" s="205" t="s">
        <v>1347</v>
      </c>
      <c r="M155" s="201" t="s">
        <v>1030</v>
      </c>
      <c r="N155" s="205" t="s">
        <v>652</v>
      </c>
      <c r="O155" s="205" t="s">
        <v>652</v>
      </c>
      <c r="P155" s="207" t="s">
        <v>662</v>
      </c>
      <c r="Q155" s="208" t="s">
        <v>789</v>
      </c>
      <c r="R155" s="208" t="s">
        <v>1106</v>
      </c>
    </row>
    <row r="156" spans="1:18" s="205" customFormat="1" x14ac:dyDescent="0.2">
      <c r="A156" s="205" t="s">
        <v>1348</v>
      </c>
      <c r="B156" s="205" t="s">
        <v>246</v>
      </c>
      <c r="C156" s="200">
        <v>45390</v>
      </c>
      <c r="D156" s="201" t="s">
        <v>152</v>
      </c>
      <c r="E156" s="206">
        <v>38001</v>
      </c>
      <c r="F156" s="206">
        <v>3800</v>
      </c>
      <c r="G156" s="206">
        <v>190</v>
      </c>
      <c r="H156" s="202">
        <f t="shared" si="2"/>
        <v>34391</v>
      </c>
      <c r="I156" s="205" t="s">
        <v>193</v>
      </c>
      <c r="J156" s="205" t="s">
        <v>23</v>
      </c>
      <c r="K156" s="201" t="s">
        <v>1042</v>
      </c>
      <c r="L156" s="205" t="s">
        <v>1349</v>
      </c>
      <c r="M156" s="201" t="s">
        <v>1030</v>
      </c>
      <c r="N156" s="205" t="s">
        <v>652</v>
      </c>
      <c r="O156" s="205" t="s">
        <v>652</v>
      </c>
      <c r="P156" s="207" t="s">
        <v>987</v>
      </c>
      <c r="Q156" s="208" t="s">
        <v>988</v>
      </c>
      <c r="R156" s="208" t="s">
        <v>1106</v>
      </c>
    </row>
    <row r="157" spans="1:18" s="205" customFormat="1" x14ac:dyDescent="0.2">
      <c r="A157" s="205" t="s">
        <v>1350</v>
      </c>
      <c r="B157" s="205" t="s">
        <v>246</v>
      </c>
      <c r="C157" s="200">
        <v>45390</v>
      </c>
      <c r="D157" s="201" t="s">
        <v>152</v>
      </c>
      <c r="E157" s="206">
        <v>46787</v>
      </c>
      <c r="F157" s="206">
        <v>4679</v>
      </c>
      <c r="G157" s="206">
        <v>234</v>
      </c>
      <c r="H157" s="202">
        <f t="shared" si="2"/>
        <v>42342</v>
      </c>
      <c r="I157" s="205" t="s">
        <v>193</v>
      </c>
      <c r="J157" s="205" t="s">
        <v>23</v>
      </c>
      <c r="K157" s="201" t="s">
        <v>1042</v>
      </c>
      <c r="L157" s="205" t="s">
        <v>1351</v>
      </c>
      <c r="M157" s="201" t="s">
        <v>1030</v>
      </c>
      <c r="N157" s="205" t="s">
        <v>652</v>
      </c>
      <c r="O157" s="205" t="s">
        <v>652</v>
      </c>
      <c r="P157" s="207" t="s">
        <v>987</v>
      </c>
      <c r="Q157" s="208" t="s">
        <v>988</v>
      </c>
      <c r="R157" s="208" t="s">
        <v>1106</v>
      </c>
    </row>
    <row r="158" spans="1:18" s="205" customFormat="1" x14ac:dyDescent="0.2">
      <c r="A158" s="205" t="s">
        <v>1352</v>
      </c>
      <c r="B158" s="205" t="s">
        <v>246</v>
      </c>
      <c r="C158" s="200">
        <v>45390</v>
      </c>
      <c r="D158" s="201" t="s">
        <v>152</v>
      </c>
      <c r="E158" s="206">
        <v>22716</v>
      </c>
      <c r="F158" s="206">
        <v>2272</v>
      </c>
      <c r="G158" s="206">
        <v>114</v>
      </c>
      <c r="H158" s="202">
        <f t="shared" si="2"/>
        <v>20558</v>
      </c>
      <c r="I158" s="205" t="s">
        <v>193</v>
      </c>
      <c r="J158" s="205" t="s">
        <v>23</v>
      </c>
      <c r="K158" s="201" t="s">
        <v>1042</v>
      </c>
      <c r="L158" s="205" t="s">
        <v>1353</v>
      </c>
      <c r="M158" s="201" t="s">
        <v>1030</v>
      </c>
      <c r="N158" s="205" t="s">
        <v>652</v>
      </c>
      <c r="O158" s="205" t="s">
        <v>652</v>
      </c>
      <c r="P158" s="207" t="s">
        <v>987</v>
      </c>
      <c r="Q158" s="208" t="s">
        <v>988</v>
      </c>
      <c r="R158" s="208" t="s">
        <v>1106</v>
      </c>
    </row>
    <row r="159" spans="1:18" s="205" customFormat="1" x14ac:dyDescent="0.2">
      <c r="A159" s="205" t="s">
        <v>1354</v>
      </c>
      <c r="B159" s="205" t="s">
        <v>246</v>
      </c>
      <c r="C159" s="200">
        <v>45390</v>
      </c>
      <c r="D159" s="201" t="s">
        <v>152</v>
      </c>
      <c r="E159" s="206">
        <v>31332</v>
      </c>
      <c r="F159" s="206">
        <v>3133</v>
      </c>
      <c r="G159" s="206">
        <v>157</v>
      </c>
      <c r="H159" s="202">
        <f t="shared" si="2"/>
        <v>28356</v>
      </c>
      <c r="I159" s="205" t="s">
        <v>193</v>
      </c>
      <c r="J159" s="205" t="s">
        <v>23</v>
      </c>
      <c r="K159" s="201" t="s">
        <v>1042</v>
      </c>
      <c r="L159" s="205" t="s">
        <v>1355</v>
      </c>
      <c r="M159" s="201" t="s">
        <v>1030</v>
      </c>
      <c r="N159" s="205" t="s">
        <v>652</v>
      </c>
      <c r="O159" s="205" t="s">
        <v>652</v>
      </c>
      <c r="P159" s="207" t="s">
        <v>987</v>
      </c>
      <c r="Q159" s="208" t="s">
        <v>988</v>
      </c>
      <c r="R159" s="208" t="s">
        <v>1106</v>
      </c>
    </row>
    <row r="160" spans="1:18" s="205" customFormat="1" x14ac:dyDescent="0.2">
      <c r="A160" s="205" t="s">
        <v>1356</v>
      </c>
      <c r="B160" s="205" t="s">
        <v>229</v>
      </c>
      <c r="C160" s="200">
        <v>45390</v>
      </c>
      <c r="D160" s="201" t="s">
        <v>152</v>
      </c>
      <c r="E160" s="206">
        <v>56973</v>
      </c>
      <c r="F160" s="206">
        <v>5697</v>
      </c>
      <c r="G160" s="206">
        <v>285</v>
      </c>
      <c r="H160" s="202">
        <f t="shared" si="2"/>
        <v>51561</v>
      </c>
      <c r="I160" s="205" t="s">
        <v>38</v>
      </c>
      <c r="J160" s="205" t="s">
        <v>23</v>
      </c>
      <c r="K160" s="201" t="s">
        <v>1042</v>
      </c>
      <c r="L160" s="205" t="s">
        <v>1357</v>
      </c>
      <c r="M160" s="201" t="s">
        <v>1030</v>
      </c>
      <c r="N160" s="205" t="s">
        <v>652</v>
      </c>
      <c r="O160" s="205" t="s">
        <v>652</v>
      </c>
      <c r="P160" s="207" t="s">
        <v>653</v>
      </c>
      <c r="Q160" s="208" t="s">
        <v>654</v>
      </c>
      <c r="R160" s="208" t="s">
        <v>1106</v>
      </c>
    </row>
    <row r="161" spans="1:18" s="205" customFormat="1" x14ac:dyDescent="0.2">
      <c r="A161" s="205" t="s">
        <v>36</v>
      </c>
      <c r="B161" s="205" t="s">
        <v>1358</v>
      </c>
      <c r="C161" s="200">
        <v>45390</v>
      </c>
      <c r="D161" s="201" t="s">
        <v>152</v>
      </c>
      <c r="E161" s="206">
        <v>84856</v>
      </c>
      <c r="F161" s="206">
        <v>8486</v>
      </c>
      <c r="G161" s="206">
        <v>424</v>
      </c>
      <c r="H161" s="202">
        <f t="shared" si="2"/>
        <v>76794</v>
      </c>
      <c r="I161" s="205" t="s">
        <v>37</v>
      </c>
      <c r="J161" s="205" t="s">
        <v>23</v>
      </c>
      <c r="K161" s="201" t="s">
        <v>1028</v>
      </c>
      <c r="L161" s="205" t="s">
        <v>1359</v>
      </c>
      <c r="M161" s="201" t="s">
        <v>1030</v>
      </c>
      <c r="N161" s="205" t="s">
        <v>652</v>
      </c>
      <c r="O161" s="205" t="s">
        <v>652</v>
      </c>
      <c r="P161" s="207" t="s">
        <v>1086</v>
      </c>
      <c r="Q161" s="208" t="s">
        <v>1360</v>
      </c>
      <c r="R161" s="208" t="s">
        <v>1106</v>
      </c>
    </row>
    <row r="162" spans="1:18" s="205" customFormat="1" x14ac:dyDescent="0.2">
      <c r="A162" s="205" t="s">
        <v>1361</v>
      </c>
      <c r="B162" s="205" t="s">
        <v>229</v>
      </c>
      <c r="C162" s="200">
        <v>45390</v>
      </c>
      <c r="D162" s="201" t="s">
        <v>152</v>
      </c>
      <c r="E162" s="206">
        <v>27574</v>
      </c>
      <c r="F162" s="206">
        <v>2757</v>
      </c>
      <c r="G162" s="206">
        <v>138</v>
      </c>
      <c r="H162" s="202">
        <f t="shared" si="2"/>
        <v>24955</v>
      </c>
      <c r="I162" s="205" t="s">
        <v>38</v>
      </c>
      <c r="J162" s="205" t="s">
        <v>23</v>
      </c>
      <c r="K162" s="201" t="s">
        <v>1042</v>
      </c>
      <c r="L162" s="205" t="s">
        <v>1362</v>
      </c>
      <c r="M162" s="201" t="s">
        <v>1030</v>
      </c>
      <c r="N162" s="205" t="s">
        <v>652</v>
      </c>
      <c r="O162" s="205" t="s">
        <v>652</v>
      </c>
      <c r="P162" s="207" t="s">
        <v>653</v>
      </c>
      <c r="Q162" s="208" t="s">
        <v>654</v>
      </c>
      <c r="R162" s="208" t="s">
        <v>1106</v>
      </c>
    </row>
    <row r="163" spans="1:18" s="205" customFormat="1" x14ac:dyDescent="0.2">
      <c r="A163" s="205" t="s">
        <v>1363</v>
      </c>
      <c r="B163" s="205" t="s">
        <v>250</v>
      </c>
      <c r="C163" s="200">
        <v>45390</v>
      </c>
      <c r="D163" s="201" t="s">
        <v>152</v>
      </c>
      <c r="E163" s="206">
        <v>85607</v>
      </c>
      <c r="F163" s="206">
        <v>8561</v>
      </c>
      <c r="G163" s="206">
        <v>428</v>
      </c>
      <c r="H163" s="202">
        <f t="shared" si="2"/>
        <v>77474</v>
      </c>
      <c r="I163" s="205" t="s">
        <v>193</v>
      </c>
      <c r="J163" s="205" t="s">
        <v>23</v>
      </c>
      <c r="K163" s="201" t="s">
        <v>1042</v>
      </c>
      <c r="L163" s="205" t="s">
        <v>1364</v>
      </c>
      <c r="M163" s="201" t="s">
        <v>1030</v>
      </c>
      <c r="N163" s="205" t="s">
        <v>652</v>
      </c>
      <c r="O163" s="205" t="s">
        <v>652</v>
      </c>
      <c r="P163" s="207" t="s">
        <v>987</v>
      </c>
      <c r="Q163" s="208" t="s">
        <v>988</v>
      </c>
      <c r="R163" s="208" t="s">
        <v>1106</v>
      </c>
    </row>
    <row r="164" spans="1:18" s="205" customFormat="1" x14ac:dyDescent="0.2">
      <c r="A164" s="205" t="s">
        <v>1365</v>
      </c>
      <c r="B164" s="205" t="s">
        <v>284</v>
      </c>
      <c r="C164" s="200">
        <v>45390</v>
      </c>
      <c r="D164" s="201" t="s">
        <v>152</v>
      </c>
      <c r="E164" s="206">
        <v>127646</v>
      </c>
      <c r="F164" s="206">
        <v>12765</v>
      </c>
      <c r="G164" s="206">
        <v>638</v>
      </c>
      <c r="H164" s="202">
        <f t="shared" si="2"/>
        <v>115519</v>
      </c>
      <c r="I164" s="205" t="s">
        <v>193</v>
      </c>
      <c r="J164" s="205" t="s">
        <v>23</v>
      </c>
      <c r="K164" s="201" t="s">
        <v>1058</v>
      </c>
      <c r="L164" s="205" t="s">
        <v>1366</v>
      </c>
      <c r="M164" s="201" t="s">
        <v>1030</v>
      </c>
      <c r="N164" s="205" t="s">
        <v>652</v>
      </c>
      <c r="O164" s="205" t="s">
        <v>652</v>
      </c>
      <c r="P164" s="207" t="s">
        <v>987</v>
      </c>
      <c r="Q164" s="208" t="s">
        <v>988</v>
      </c>
      <c r="R164" s="208" t="s">
        <v>1106</v>
      </c>
    </row>
    <row r="165" spans="1:18" s="205" customFormat="1" x14ac:dyDescent="0.2">
      <c r="A165" s="205" t="s">
        <v>1367</v>
      </c>
      <c r="B165" s="205" t="s">
        <v>246</v>
      </c>
      <c r="C165" s="200">
        <v>45390</v>
      </c>
      <c r="D165" s="201" t="s">
        <v>152</v>
      </c>
      <c r="E165" s="206">
        <v>44011</v>
      </c>
      <c r="F165" s="206">
        <v>4401</v>
      </c>
      <c r="G165" s="206">
        <v>220</v>
      </c>
      <c r="H165" s="202">
        <f t="shared" si="2"/>
        <v>39830</v>
      </c>
      <c r="I165" s="205" t="s">
        <v>193</v>
      </c>
      <c r="J165" s="205" t="s">
        <v>23</v>
      </c>
      <c r="K165" s="201" t="s">
        <v>1042</v>
      </c>
      <c r="L165" s="205" t="s">
        <v>1368</v>
      </c>
      <c r="M165" s="201" t="s">
        <v>1030</v>
      </c>
      <c r="N165" s="205" t="s">
        <v>652</v>
      </c>
      <c r="O165" s="205" t="s">
        <v>652</v>
      </c>
      <c r="P165" s="207" t="s">
        <v>987</v>
      </c>
      <c r="Q165" s="208" t="s">
        <v>988</v>
      </c>
      <c r="R165" s="208" t="s">
        <v>1106</v>
      </c>
    </row>
    <row r="166" spans="1:18" s="205" customFormat="1" x14ac:dyDescent="0.2">
      <c r="A166" s="205" t="s">
        <v>1369</v>
      </c>
      <c r="B166" s="205" t="s">
        <v>246</v>
      </c>
      <c r="C166" s="200">
        <v>45390</v>
      </c>
      <c r="D166" s="201" t="s">
        <v>152</v>
      </c>
      <c r="E166" s="206">
        <v>44011</v>
      </c>
      <c r="F166" s="206">
        <v>4401</v>
      </c>
      <c r="G166" s="206">
        <v>220</v>
      </c>
      <c r="H166" s="202">
        <f t="shared" si="2"/>
        <v>39830</v>
      </c>
      <c r="I166" s="205" t="s">
        <v>193</v>
      </c>
      <c r="J166" s="205" t="s">
        <v>23</v>
      </c>
      <c r="K166" s="201" t="s">
        <v>1042</v>
      </c>
      <c r="L166" s="205" t="s">
        <v>1370</v>
      </c>
      <c r="M166" s="201" t="s">
        <v>1030</v>
      </c>
      <c r="N166" s="205" t="s">
        <v>652</v>
      </c>
      <c r="O166" s="205" t="s">
        <v>652</v>
      </c>
      <c r="P166" s="207" t="s">
        <v>987</v>
      </c>
      <c r="Q166" s="208" t="s">
        <v>988</v>
      </c>
      <c r="R166" s="208" t="s">
        <v>1106</v>
      </c>
    </row>
    <row r="167" spans="1:18" s="205" customFormat="1" x14ac:dyDescent="0.2">
      <c r="A167" s="205" t="s">
        <v>96</v>
      </c>
      <c r="B167" s="205" t="s">
        <v>588</v>
      </c>
      <c r="C167" s="200">
        <v>45390</v>
      </c>
      <c r="D167" s="201" t="s">
        <v>152</v>
      </c>
      <c r="E167" s="206">
        <v>27167</v>
      </c>
      <c r="F167" s="206">
        <v>2717</v>
      </c>
      <c r="G167" s="206">
        <v>136</v>
      </c>
      <c r="H167" s="202">
        <f t="shared" si="2"/>
        <v>24586</v>
      </c>
      <c r="I167" s="205" t="s">
        <v>38</v>
      </c>
      <c r="J167" s="205" t="s">
        <v>23</v>
      </c>
      <c r="K167" s="201" t="s">
        <v>1042</v>
      </c>
      <c r="L167" s="205" t="s">
        <v>1371</v>
      </c>
      <c r="M167" s="199" t="s">
        <v>1030</v>
      </c>
      <c r="N167" s="205" t="s">
        <v>652</v>
      </c>
      <c r="O167" s="205" t="s">
        <v>652</v>
      </c>
      <c r="P167" s="207" t="s">
        <v>653</v>
      </c>
      <c r="Q167" s="208" t="s">
        <v>654</v>
      </c>
      <c r="R167" s="208" t="s">
        <v>1106</v>
      </c>
    </row>
    <row r="168" spans="1:18" s="205" customFormat="1" x14ac:dyDescent="0.2">
      <c r="A168" s="205" t="s">
        <v>393</v>
      </c>
      <c r="B168" s="205" t="s">
        <v>596</v>
      </c>
      <c r="C168" s="200">
        <v>45390</v>
      </c>
      <c r="D168" s="201" t="s">
        <v>152</v>
      </c>
      <c r="E168" s="206">
        <v>40153</v>
      </c>
      <c r="F168" s="206">
        <v>4015</v>
      </c>
      <c r="G168" s="206">
        <v>201</v>
      </c>
      <c r="H168" s="202">
        <f t="shared" si="2"/>
        <v>36339</v>
      </c>
      <c r="I168" s="205" t="s">
        <v>38</v>
      </c>
      <c r="J168" s="205" t="s">
        <v>23</v>
      </c>
      <c r="K168" s="201" t="s">
        <v>1042</v>
      </c>
      <c r="L168" s="205" t="s">
        <v>1372</v>
      </c>
      <c r="M168" s="201" t="s">
        <v>1030</v>
      </c>
      <c r="N168" s="205" t="s">
        <v>652</v>
      </c>
      <c r="O168" s="205" t="s">
        <v>652</v>
      </c>
      <c r="P168" s="207" t="s">
        <v>653</v>
      </c>
      <c r="Q168" s="208" t="s">
        <v>654</v>
      </c>
      <c r="R168" s="208" t="s">
        <v>1106</v>
      </c>
    </row>
    <row r="169" spans="1:18" s="205" customFormat="1" x14ac:dyDescent="0.2">
      <c r="A169" s="205" t="s">
        <v>207</v>
      </c>
      <c r="B169" s="205" t="s">
        <v>916</v>
      </c>
      <c r="C169" s="200">
        <v>45390</v>
      </c>
      <c r="D169" s="201" t="s">
        <v>152</v>
      </c>
      <c r="E169" s="206">
        <v>77030</v>
      </c>
      <c r="F169" s="206">
        <v>7703</v>
      </c>
      <c r="G169" s="206">
        <v>385</v>
      </c>
      <c r="H169" s="202">
        <f t="shared" si="2"/>
        <v>69712</v>
      </c>
      <c r="I169" s="205" t="s">
        <v>44</v>
      </c>
      <c r="J169" s="205" t="s">
        <v>23</v>
      </c>
      <c r="K169" s="201" t="s">
        <v>1042</v>
      </c>
      <c r="L169" s="205" t="s">
        <v>1373</v>
      </c>
      <c r="M169" s="201" t="s">
        <v>1030</v>
      </c>
      <c r="N169" s="205" t="s">
        <v>652</v>
      </c>
      <c r="O169" s="205" t="s">
        <v>652</v>
      </c>
      <c r="P169" s="207" t="s">
        <v>663</v>
      </c>
      <c r="Q169" s="208" t="s">
        <v>745</v>
      </c>
      <c r="R169" s="208" t="s">
        <v>1106</v>
      </c>
    </row>
    <row r="170" spans="1:18" s="205" customFormat="1" x14ac:dyDescent="0.2">
      <c r="A170" s="205" t="s">
        <v>206</v>
      </c>
      <c r="B170" s="205" t="s">
        <v>855</v>
      </c>
      <c r="C170" s="200">
        <v>45390</v>
      </c>
      <c r="D170" s="201" t="s">
        <v>152</v>
      </c>
      <c r="E170" s="206">
        <v>55417</v>
      </c>
      <c r="F170" s="206">
        <v>5542</v>
      </c>
      <c r="G170" s="206">
        <v>277</v>
      </c>
      <c r="H170" s="202">
        <f t="shared" si="2"/>
        <v>50152</v>
      </c>
      <c r="I170" s="205" t="s">
        <v>22</v>
      </c>
      <c r="J170" s="205" t="s">
        <v>23</v>
      </c>
      <c r="K170" s="201" t="s">
        <v>1042</v>
      </c>
      <c r="L170" s="205" t="s">
        <v>1374</v>
      </c>
      <c r="M170" s="201" t="s">
        <v>1030</v>
      </c>
      <c r="N170" s="205" t="s">
        <v>652</v>
      </c>
      <c r="O170" s="205" t="s">
        <v>652</v>
      </c>
      <c r="P170" s="207" t="s">
        <v>651</v>
      </c>
      <c r="Q170" s="208" t="s">
        <v>673</v>
      </c>
      <c r="R170" s="208" t="s">
        <v>1106</v>
      </c>
    </row>
    <row r="171" spans="1:18" s="205" customFormat="1" x14ac:dyDescent="0.2">
      <c r="A171" s="205" t="s">
        <v>1056</v>
      </c>
      <c r="B171" s="205" t="s">
        <v>1057</v>
      </c>
      <c r="C171" s="200">
        <v>45390</v>
      </c>
      <c r="D171" s="201" t="s">
        <v>152</v>
      </c>
      <c r="E171" s="206">
        <v>60296</v>
      </c>
      <c r="F171" s="206">
        <v>6030</v>
      </c>
      <c r="G171" s="206">
        <v>301</v>
      </c>
      <c r="H171" s="202">
        <f t="shared" si="2"/>
        <v>54567</v>
      </c>
      <c r="I171" s="205" t="s">
        <v>44</v>
      </c>
      <c r="J171" s="205" t="s">
        <v>23</v>
      </c>
      <c r="K171" s="201" t="s">
        <v>1042</v>
      </c>
      <c r="L171" s="205" t="s">
        <v>1375</v>
      </c>
      <c r="M171" s="201" t="s">
        <v>1030</v>
      </c>
      <c r="N171" s="205" t="s">
        <v>1060</v>
      </c>
      <c r="O171" s="205" t="s">
        <v>1061</v>
      </c>
      <c r="P171" s="207" t="s">
        <v>987</v>
      </c>
      <c r="Q171" s="208" t="s">
        <v>988</v>
      </c>
      <c r="R171" s="208" t="s">
        <v>1106</v>
      </c>
    </row>
    <row r="172" spans="1:18" s="205" customFormat="1" x14ac:dyDescent="0.2">
      <c r="A172" s="205" t="s">
        <v>1376</v>
      </c>
      <c r="B172" s="205" t="s">
        <v>1377</v>
      </c>
      <c r="C172" s="200">
        <v>45390</v>
      </c>
      <c r="D172" s="201" t="s">
        <v>152</v>
      </c>
      <c r="E172" s="206">
        <v>17892</v>
      </c>
      <c r="F172" s="206">
        <v>1789</v>
      </c>
      <c r="G172" s="206">
        <v>89</v>
      </c>
      <c r="H172" s="202">
        <f t="shared" si="2"/>
        <v>16192</v>
      </c>
      <c r="I172" s="205" t="s">
        <v>52</v>
      </c>
      <c r="J172" s="205" t="s">
        <v>23</v>
      </c>
      <c r="K172" s="201" t="s">
        <v>1042</v>
      </c>
      <c r="L172" s="205" t="s">
        <v>1378</v>
      </c>
      <c r="M172" s="201" t="s">
        <v>1030</v>
      </c>
      <c r="N172" s="205" t="s">
        <v>652</v>
      </c>
      <c r="O172" s="205" t="s">
        <v>652</v>
      </c>
      <c r="P172" s="215" t="s">
        <v>696</v>
      </c>
      <c r="Q172" s="216" t="s">
        <v>697</v>
      </c>
      <c r="R172" s="208" t="s">
        <v>1106</v>
      </c>
    </row>
    <row r="173" spans="1:18" s="205" customFormat="1" x14ac:dyDescent="0.2">
      <c r="A173" s="205" t="s">
        <v>121</v>
      </c>
      <c r="B173" s="205" t="s">
        <v>339</v>
      </c>
      <c r="C173" s="200">
        <v>45390</v>
      </c>
      <c r="D173" s="201" t="s">
        <v>152</v>
      </c>
      <c r="E173" s="206">
        <v>3285</v>
      </c>
      <c r="F173" s="206">
        <v>329</v>
      </c>
      <c r="G173" s="206">
        <v>16</v>
      </c>
      <c r="H173" s="202">
        <f t="shared" si="2"/>
        <v>2972</v>
      </c>
      <c r="I173" s="205" t="s">
        <v>38</v>
      </c>
      <c r="J173" s="205" t="s">
        <v>23</v>
      </c>
      <c r="K173" s="201" t="s">
        <v>1042</v>
      </c>
      <c r="L173" s="205" t="s">
        <v>1379</v>
      </c>
      <c r="M173" s="201" t="s">
        <v>1030</v>
      </c>
      <c r="N173" s="205" t="s">
        <v>652</v>
      </c>
      <c r="O173" s="205" t="s">
        <v>652</v>
      </c>
      <c r="P173" s="207" t="s">
        <v>696</v>
      </c>
      <c r="Q173" s="208" t="s">
        <v>697</v>
      </c>
      <c r="R173" s="208" t="s">
        <v>1106</v>
      </c>
    </row>
    <row r="174" spans="1:18" s="205" customFormat="1" x14ac:dyDescent="0.2">
      <c r="A174" s="205" t="s">
        <v>105</v>
      </c>
      <c r="B174" s="205" t="s">
        <v>619</v>
      </c>
      <c r="C174" s="200">
        <v>45390</v>
      </c>
      <c r="D174" s="201" t="s">
        <v>152</v>
      </c>
      <c r="E174" s="206">
        <v>66011</v>
      </c>
      <c r="F174" s="206">
        <v>6601</v>
      </c>
      <c r="G174" s="206">
        <v>330</v>
      </c>
      <c r="H174" s="202">
        <f t="shared" si="2"/>
        <v>59740</v>
      </c>
      <c r="I174" s="205" t="s">
        <v>44</v>
      </c>
      <c r="J174" s="205" t="s">
        <v>23</v>
      </c>
      <c r="K174" s="201" t="s">
        <v>1141</v>
      </c>
      <c r="L174" s="205" t="s">
        <v>1380</v>
      </c>
      <c r="M174" s="201" t="s">
        <v>1030</v>
      </c>
      <c r="N174" s="205" t="s">
        <v>652</v>
      </c>
      <c r="O174" s="205" t="s">
        <v>652</v>
      </c>
      <c r="P174" s="215" t="s">
        <v>653</v>
      </c>
      <c r="Q174" s="216" t="s">
        <v>654</v>
      </c>
      <c r="R174" s="216" t="s">
        <v>1106</v>
      </c>
    </row>
    <row r="175" spans="1:18" s="205" customFormat="1" x14ac:dyDescent="0.2">
      <c r="A175" s="205" t="s">
        <v>544</v>
      </c>
      <c r="B175" s="205" t="s">
        <v>545</v>
      </c>
      <c r="C175" s="200">
        <v>45390</v>
      </c>
      <c r="D175" s="201" t="s">
        <v>152</v>
      </c>
      <c r="E175" s="206">
        <v>96066</v>
      </c>
      <c r="F175" s="206">
        <v>9607</v>
      </c>
      <c r="G175" s="206">
        <v>480</v>
      </c>
      <c r="H175" s="202">
        <f t="shared" si="2"/>
        <v>86939</v>
      </c>
      <c r="I175" s="205" t="s">
        <v>44</v>
      </c>
      <c r="J175" s="205" t="s">
        <v>23</v>
      </c>
      <c r="K175" s="201" t="s">
        <v>1042</v>
      </c>
      <c r="L175" s="205" t="s">
        <v>1381</v>
      </c>
      <c r="M175" s="201" t="s">
        <v>1030</v>
      </c>
      <c r="N175" s="205" t="s">
        <v>1382</v>
      </c>
      <c r="O175" s="205" t="s">
        <v>1382</v>
      </c>
      <c r="P175" s="215" t="s">
        <v>699</v>
      </c>
      <c r="Q175" s="216" t="s">
        <v>700</v>
      </c>
      <c r="R175" s="216" t="s">
        <v>1106</v>
      </c>
    </row>
    <row r="176" spans="1:18" s="205" customFormat="1" x14ac:dyDescent="0.2">
      <c r="A176" s="205" t="s">
        <v>105</v>
      </c>
      <c r="B176" s="205" t="s">
        <v>618</v>
      </c>
      <c r="C176" s="200">
        <v>45390</v>
      </c>
      <c r="D176" s="201" t="s">
        <v>152</v>
      </c>
      <c r="E176" s="206">
        <v>16329</v>
      </c>
      <c r="F176" s="206">
        <v>1633</v>
      </c>
      <c r="G176" s="206">
        <v>82</v>
      </c>
      <c r="H176" s="202">
        <f t="shared" si="2"/>
        <v>14778</v>
      </c>
      <c r="I176" s="205" t="s">
        <v>44</v>
      </c>
      <c r="J176" s="205" t="s">
        <v>23</v>
      </c>
      <c r="K176" s="201" t="s">
        <v>1042</v>
      </c>
      <c r="L176" s="205" t="s">
        <v>1383</v>
      </c>
      <c r="M176" s="201" t="s">
        <v>1030</v>
      </c>
      <c r="N176" s="205" t="s">
        <v>652</v>
      </c>
      <c r="O176" s="205" t="s">
        <v>652</v>
      </c>
      <c r="P176" s="207" t="s">
        <v>653</v>
      </c>
      <c r="Q176" s="208" t="s">
        <v>654</v>
      </c>
      <c r="R176" s="208" t="s">
        <v>1106</v>
      </c>
    </row>
    <row r="177" spans="1:18" s="205" customFormat="1" x14ac:dyDescent="0.2">
      <c r="A177" s="205" t="s">
        <v>194</v>
      </c>
      <c r="B177" s="205" t="s">
        <v>548</v>
      </c>
      <c r="C177" s="200">
        <v>45390</v>
      </c>
      <c r="D177" s="201" t="s">
        <v>152</v>
      </c>
      <c r="E177" s="206">
        <v>8390</v>
      </c>
      <c r="F177" s="206">
        <v>839</v>
      </c>
      <c r="G177" s="206">
        <v>42</v>
      </c>
      <c r="H177" s="202">
        <f t="shared" si="2"/>
        <v>7593</v>
      </c>
      <c r="I177" s="205" t="s">
        <v>52</v>
      </c>
      <c r="J177" s="205" t="s">
        <v>23</v>
      </c>
      <c r="K177" s="201" t="s">
        <v>1042</v>
      </c>
      <c r="L177" s="205" t="s">
        <v>1384</v>
      </c>
      <c r="M177" s="201" t="s">
        <v>1030</v>
      </c>
      <c r="N177" s="205" t="s">
        <v>652</v>
      </c>
      <c r="O177" s="205" t="s">
        <v>652</v>
      </c>
      <c r="P177" s="207" t="s">
        <v>837</v>
      </c>
      <c r="Q177" s="208" t="s">
        <v>838</v>
      </c>
      <c r="R177" s="208" t="s">
        <v>1106</v>
      </c>
    </row>
    <row r="178" spans="1:18" s="205" customFormat="1" x14ac:dyDescent="0.2">
      <c r="A178" s="205" t="s">
        <v>221</v>
      </c>
      <c r="B178" s="205" t="s">
        <v>1062</v>
      </c>
      <c r="C178" s="200">
        <v>45390</v>
      </c>
      <c r="D178" s="201" t="s">
        <v>152</v>
      </c>
      <c r="E178" s="206">
        <v>81169</v>
      </c>
      <c r="F178" s="206">
        <v>8117</v>
      </c>
      <c r="G178" s="206">
        <v>406</v>
      </c>
      <c r="H178" s="202">
        <f t="shared" si="2"/>
        <v>73458</v>
      </c>
      <c r="I178" s="205" t="s">
        <v>224</v>
      </c>
      <c r="J178" s="205" t="s">
        <v>23</v>
      </c>
      <c r="K178" s="201" t="s">
        <v>1042</v>
      </c>
      <c r="L178" s="205" t="s">
        <v>1385</v>
      </c>
      <c r="M178" s="201" t="s">
        <v>1030</v>
      </c>
      <c r="N178" s="205" t="s">
        <v>652</v>
      </c>
      <c r="O178" s="205" t="s">
        <v>652</v>
      </c>
      <c r="P178" s="207" t="s">
        <v>987</v>
      </c>
      <c r="Q178" s="208" t="s">
        <v>988</v>
      </c>
      <c r="R178" s="208" t="s">
        <v>1106</v>
      </c>
    </row>
    <row r="179" spans="1:18" s="205" customFormat="1" x14ac:dyDescent="0.2">
      <c r="A179" s="205" t="s">
        <v>790</v>
      </c>
      <c r="B179" s="205" t="s">
        <v>791</v>
      </c>
      <c r="C179" s="200">
        <v>45390</v>
      </c>
      <c r="D179" s="199" t="s">
        <v>166</v>
      </c>
      <c r="E179" s="206">
        <v>-56090</v>
      </c>
      <c r="F179" s="206">
        <v>-5609</v>
      </c>
      <c r="G179" s="206">
        <v>-280</v>
      </c>
      <c r="H179" s="202">
        <f t="shared" si="2"/>
        <v>-50761</v>
      </c>
      <c r="I179" s="205" t="s">
        <v>37</v>
      </c>
      <c r="J179" s="205" t="s">
        <v>23</v>
      </c>
      <c r="K179" s="201" t="s">
        <v>1386</v>
      </c>
      <c r="L179" s="205" t="s">
        <v>1387</v>
      </c>
      <c r="M179" s="201" t="s">
        <v>1030</v>
      </c>
      <c r="N179" s="205" t="s">
        <v>652</v>
      </c>
      <c r="O179" s="205" t="s">
        <v>652</v>
      </c>
      <c r="P179" s="207" t="s">
        <v>668</v>
      </c>
      <c r="Q179" s="208" t="s">
        <v>668</v>
      </c>
      <c r="R179" s="208" t="s">
        <v>1106</v>
      </c>
    </row>
    <row r="180" spans="1:18" s="205" customFormat="1" x14ac:dyDescent="0.2">
      <c r="A180" s="205" t="s">
        <v>946</v>
      </c>
      <c r="B180" s="205" t="s">
        <v>947</v>
      </c>
      <c r="C180" s="200">
        <v>45390</v>
      </c>
      <c r="D180" s="201" t="s">
        <v>152</v>
      </c>
      <c r="E180" s="206">
        <v>305572</v>
      </c>
      <c r="F180" s="206">
        <v>0</v>
      </c>
      <c r="G180" s="206">
        <v>0</v>
      </c>
      <c r="H180" s="202">
        <f t="shared" si="2"/>
        <v>305572</v>
      </c>
      <c r="I180" s="205" t="s">
        <v>25</v>
      </c>
      <c r="J180" s="205" t="s">
        <v>214</v>
      </c>
      <c r="K180" s="201" t="s">
        <v>1042</v>
      </c>
      <c r="L180" s="205" t="s">
        <v>1388</v>
      </c>
      <c r="M180" s="201" t="s">
        <v>1072</v>
      </c>
      <c r="N180" s="205" t="s">
        <v>1073</v>
      </c>
      <c r="O180" s="205" t="s">
        <v>1074</v>
      </c>
      <c r="P180" s="207" t="s">
        <v>874</v>
      </c>
      <c r="Q180" s="208" t="s">
        <v>945</v>
      </c>
      <c r="R180" s="208" t="s">
        <v>1106</v>
      </c>
    </row>
    <row r="181" spans="1:18" s="205" customFormat="1" x14ac:dyDescent="0.2">
      <c r="A181" s="205" t="s">
        <v>35</v>
      </c>
      <c r="B181" s="205" t="s">
        <v>351</v>
      </c>
      <c r="C181" s="200">
        <v>45390</v>
      </c>
      <c r="D181" s="201" t="s">
        <v>152</v>
      </c>
      <c r="E181" s="206">
        <v>13309</v>
      </c>
      <c r="F181" s="206">
        <v>0</v>
      </c>
      <c r="G181" s="206">
        <v>0</v>
      </c>
      <c r="H181" s="202">
        <f t="shared" si="2"/>
        <v>13309</v>
      </c>
      <c r="I181" s="205" t="s">
        <v>25</v>
      </c>
      <c r="J181" s="205" t="s">
        <v>214</v>
      </c>
      <c r="K181" s="201" t="s">
        <v>1042</v>
      </c>
      <c r="L181" s="205" t="s">
        <v>1389</v>
      </c>
      <c r="M181" s="201" t="s">
        <v>1030</v>
      </c>
      <c r="N181" s="205" t="s">
        <v>652</v>
      </c>
      <c r="O181" s="205" t="s">
        <v>652</v>
      </c>
      <c r="P181" s="207" t="s">
        <v>771</v>
      </c>
      <c r="Q181" s="208" t="s">
        <v>772</v>
      </c>
      <c r="R181" s="208" t="s">
        <v>1106</v>
      </c>
    </row>
    <row r="182" spans="1:18" s="205" customFormat="1" x14ac:dyDescent="0.2">
      <c r="A182" s="205" t="s">
        <v>155</v>
      </c>
      <c r="B182" s="205" t="s">
        <v>547</v>
      </c>
      <c r="C182" s="200">
        <v>45390</v>
      </c>
      <c r="D182" s="201" t="s">
        <v>152</v>
      </c>
      <c r="E182" s="206">
        <v>77905</v>
      </c>
      <c r="F182" s="206">
        <v>0</v>
      </c>
      <c r="G182" s="206">
        <v>0</v>
      </c>
      <c r="H182" s="202">
        <f t="shared" si="2"/>
        <v>77905</v>
      </c>
      <c r="I182" s="205" t="s">
        <v>25</v>
      </c>
      <c r="J182" s="205" t="s">
        <v>214</v>
      </c>
      <c r="K182" s="201" t="s">
        <v>1042</v>
      </c>
      <c r="L182" s="205" t="s">
        <v>1390</v>
      </c>
      <c r="M182" s="201" t="s">
        <v>1030</v>
      </c>
      <c r="N182" s="205" t="s">
        <v>652</v>
      </c>
      <c r="O182" s="205" t="s">
        <v>652</v>
      </c>
      <c r="P182" s="207" t="s">
        <v>801</v>
      </c>
      <c r="Q182" s="208" t="s">
        <v>802</v>
      </c>
      <c r="R182" s="208" t="s">
        <v>1106</v>
      </c>
    </row>
    <row r="183" spans="1:18" s="205" customFormat="1" x14ac:dyDescent="0.2">
      <c r="A183" s="205" t="s">
        <v>366</v>
      </c>
      <c r="B183" s="205" t="s">
        <v>365</v>
      </c>
      <c r="C183" s="200">
        <v>45390</v>
      </c>
      <c r="D183" s="201" t="s">
        <v>152</v>
      </c>
      <c r="E183" s="206">
        <v>25557</v>
      </c>
      <c r="F183" s="206">
        <v>0</v>
      </c>
      <c r="G183" s="206">
        <v>0</v>
      </c>
      <c r="H183" s="202">
        <f t="shared" si="2"/>
        <v>25557</v>
      </c>
      <c r="I183" s="205" t="s">
        <v>25</v>
      </c>
      <c r="J183" s="205" t="s">
        <v>214</v>
      </c>
      <c r="K183" s="201" t="s">
        <v>1042</v>
      </c>
      <c r="L183" s="205" t="s">
        <v>1391</v>
      </c>
      <c r="M183" s="201" t="s">
        <v>1030</v>
      </c>
      <c r="N183" s="205" t="s">
        <v>1190</v>
      </c>
      <c r="O183" s="205" t="s">
        <v>1191</v>
      </c>
      <c r="P183" s="207" t="s">
        <v>494</v>
      </c>
      <c r="Q183" s="208" t="s">
        <v>780</v>
      </c>
      <c r="R183" s="208" t="s">
        <v>1106</v>
      </c>
    </row>
    <row r="184" spans="1:18" s="205" customFormat="1" x14ac:dyDescent="0.2">
      <c r="A184" s="205" t="s">
        <v>323</v>
      </c>
      <c r="B184" s="205" t="s">
        <v>324</v>
      </c>
      <c r="C184" s="200">
        <v>45390</v>
      </c>
      <c r="D184" s="201" t="s">
        <v>152</v>
      </c>
      <c r="E184" s="206">
        <v>40829</v>
      </c>
      <c r="F184" s="206">
        <v>0</v>
      </c>
      <c r="G184" s="206">
        <v>0</v>
      </c>
      <c r="H184" s="202">
        <f t="shared" si="2"/>
        <v>40829</v>
      </c>
      <c r="I184" s="205" t="s">
        <v>25</v>
      </c>
      <c r="J184" s="205" t="s">
        <v>214</v>
      </c>
      <c r="K184" s="201" t="s">
        <v>1042</v>
      </c>
      <c r="L184" s="205" t="s">
        <v>1392</v>
      </c>
      <c r="M184" s="201" t="s">
        <v>1393</v>
      </c>
      <c r="N184" s="205" t="s">
        <v>1190</v>
      </c>
      <c r="O184" s="205" t="s">
        <v>1191</v>
      </c>
      <c r="P184" s="207" t="s">
        <v>669</v>
      </c>
      <c r="Q184" s="208" t="s">
        <v>670</v>
      </c>
      <c r="R184" s="208" t="s">
        <v>1106</v>
      </c>
    </row>
    <row r="185" spans="1:18" s="205" customFormat="1" x14ac:dyDescent="0.2">
      <c r="A185" s="205" t="s">
        <v>1394</v>
      </c>
      <c r="B185" s="205" t="s">
        <v>185</v>
      </c>
      <c r="C185" s="200">
        <v>45391</v>
      </c>
      <c r="D185" s="201" t="s">
        <v>152</v>
      </c>
      <c r="E185" s="206">
        <v>7483</v>
      </c>
      <c r="F185" s="206">
        <v>748</v>
      </c>
      <c r="G185" s="206">
        <v>75</v>
      </c>
      <c r="H185" s="202">
        <f t="shared" si="2"/>
        <v>6810</v>
      </c>
      <c r="I185" s="205" t="s">
        <v>46</v>
      </c>
      <c r="J185" s="205" t="s">
        <v>29</v>
      </c>
      <c r="K185" s="201" t="s">
        <v>1042</v>
      </c>
      <c r="L185" s="205" t="s">
        <v>1395</v>
      </c>
      <c r="M185" s="201" t="s">
        <v>1030</v>
      </c>
      <c r="N185" s="205" t="s">
        <v>652</v>
      </c>
      <c r="O185" s="205" t="s">
        <v>652</v>
      </c>
      <c r="P185" s="207" t="s">
        <v>688</v>
      </c>
      <c r="Q185" s="208" t="s">
        <v>689</v>
      </c>
      <c r="R185" s="208" t="s">
        <v>742</v>
      </c>
    </row>
    <row r="186" spans="1:18" s="205" customFormat="1" x14ac:dyDescent="0.2">
      <c r="A186" s="205" t="s">
        <v>1396</v>
      </c>
      <c r="B186" s="205" t="s">
        <v>1397</v>
      </c>
      <c r="C186" s="200">
        <v>45391</v>
      </c>
      <c r="D186" s="201" t="s">
        <v>152</v>
      </c>
      <c r="E186" s="206">
        <v>754050</v>
      </c>
      <c r="F186" s="206">
        <v>75405</v>
      </c>
      <c r="G186" s="206">
        <v>7541</v>
      </c>
      <c r="H186" s="202">
        <f t="shared" si="2"/>
        <v>686186</v>
      </c>
      <c r="I186" s="205" t="s">
        <v>1398</v>
      </c>
      <c r="J186" s="205" t="s">
        <v>29</v>
      </c>
      <c r="K186" s="201" t="s">
        <v>1058</v>
      </c>
      <c r="L186" s="205" t="s">
        <v>1399</v>
      </c>
      <c r="M186" s="201" t="s">
        <v>1030</v>
      </c>
      <c r="N186" s="205" t="s">
        <v>1190</v>
      </c>
      <c r="O186" s="205" t="s">
        <v>1191</v>
      </c>
      <c r="P186" s="207" t="s">
        <v>1037</v>
      </c>
      <c r="Q186" s="208" t="s">
        <v>1400</v>
      </c>
      <c r="R186" s="208" t="s">
        <v>742</v>
      </c>
    </row>
    <row r="187" spans="1:18" s="205" customFormat="1" x14ac:dyDescent="0.2">
      <c r="A187" s="205" t="s">
        <v>64</v>
      </c>
      <c r="B187" s="205" t="s">
        <v>514</v>
      </c>
      <c r="C187" s="200">
        <v>45391</v>
      </c>
      <c r="D187" s="201" t="s">
        <v>152</v>
      </c>
      <c r="E187" s="206">
        <v>334101</v>
      </c>
      <c r="F187" s="206">
        <v>33410</v>
      </c>
      <c r="G187" s="206">
        <v>3341</v>
      </c>
      <c r="H187" s="202">
        <f t="shared" si="2"/>
        <v>304032</v>
      </c>
      <c r="I187" s="205" t="s">
        <v>31</v>
      </c>
      <c r="J187" s="205" t="s">
        <v>29</v>
      </c>
      <c r="K187" s="201" t="s">
        <v>1042</v>
      </c>
      <c r="L187" s="205" t="s">
        <v>1401</v>
      </c>
      <c r="M187" s="201" t="s">
        <v>1030</v>
      </c>
      <c r="N187" s="205" t="s">
        <v>652</v>
      </c>
      <c r="O187" s="205" t="s">
        <v>652</v>
      </c>
      <c r="P187" s="207" t="s">
        <v>653</v>
      </c>
      <c r="Q187" s="208" t="s">
        <v>654</v>
      </c>
      <c r="R187" s="208" t="s">
        <v>742</v>
      </c>
    </row>
    <row r="188" spans="1:18" s="205" customFormat="1" x14ac:dyDescent="0.2">
      <c r="A188" s="205" t="s">
        <v>27</v>
      </c>
      <c r="B188" s="205" t="s">
        <v>531</v>
      </c>
      <c r="C188" s="200">
        <v>45391</v>
      </c>
      <c r="D188" s="201" t="s">
        <v>152</v>
      </c>
      <c r="E188" s="206">
        <v>57724</v>
      </c>
      <c r="F188" s="206">
        <v>5772</v>
      </c>
      <c r="G188" s="206">
        <v>577</v>
      </c>
      <c r="H188" s="202">
        <f t="shared" si="2"/>
        <v>52529</v>
      </c>
      <c r="I188" s="205" t="s">
        <v>28</v>
      </c>
      <c r="J188" s="205" t="s">
        <v>29</v>
      </c>
      <c r="K188" s="201" t="s">
        <v>1042</v>
      </c>
      <c r="L188" s="205" t="s">
        <v>1402</v>
      </c>
      <c r="M188" s="201" t="s">
        <v>1030</v>
      </c>
      <c r="N188" s="205" t="s">
        <v>652</v>
      </c>
      <c r="O188" s="205" t="s">
        <v>652</v>
      </c>
      <c r="P188" s="207" t="s">
        <v>764</v>
      </c>
      <c r="Q188" s="208" t="s">
        <v>765</v>
      </c>
      <c r="R188" s="208" t="s">
        <v>742</v>
      </c>
    </row>
    <row r="189" spans="1:18" s="205" customFormat="1" x14ac:dyDescent="0.2">
      <c r="A189" s="205" t="s">
        <v>1403</v>
      </c>
      <c r="B189" s="205" t="s">
        <v>1404</v>
      </c>
      <c r="C189" s="200">
        <v>45391</v>
      </c>
      <c r="D189" s="201" t="s">
        <v>152</v>
      </c>
      <c r="E189" s="206">
        <v>43827</v>
      </c>
      <c r="F189" s="206">
        <v>4383</v>
      </c>
      <c r="G189" s="206">
        <v>438</v>
      </c>
      <c r="H189" s="202">
        <f t="shared" si="2"/>
        <v>39882</v>
      </c>
      <c r="I189" s="205" t="s">
        <v>1405</v>
      </c>
      <c r="J189" s="205" t="s">
        <v>29</v>
      </c>
      <c r="K189" s="201" t="s">
        <v>1028</v>
      </c>
      <c r="L189" s="205" t="s">
        <v>1406</v>
      </c>
      <c r="M189" s="201" t="s">
        <v>1030</v>
      </c>
      <c r="N189" s="205" t="s">
        <v>652</v>
      </c>
      <c r="O189" s="205" t="s">
        <v>652</v>
      </c>
      <c r="P189" s="207" t="s">
        <v>1407</v>
      </c>
      <c r="Q189" s="208" t="s">
        <v>1408</v>
      </c>
      <c r="R189" s="208" t="s">
        <v>742</v>
      </c>
    </row>
    <row r="190" spans="1:18" s="205" customFormat="1" x14ac:dyDescent="0.2">
      <c r="A190" s="205" t="s">
        <v>312</v>
      </c>
      <c r="B190" s="205" t="s">
        <v>557</v>
      </c>
      <c r="C190" s="200">
        <v>45391</v>
      </c>
      <c r="D190" s="201" t="s">
        <v>152</v>
      </c>
      <c r="E190" s="206">
        <v>90468</v>
      </c>
      <c r="F190" s="206">
        <v>9047</v>
      </c>
      <c r="G190" s="206">
        <v>905</v>
      </c>
      <c r="H190" s="202">
        <f t="shared" si="2"/>
        <v>82326</v>
      </c>
      <c r="I190" s="205" t="s">
        <v>98</v>
      </c>
      <c r="J190" s="205" t="s">
        <v>29</v>
      </c>
      <c r="K190" s="201" t="s">
        <v>1042</v>
      </c>
      <c r="L190" s="205" t="s">
        <v>1409</v>
      </c>
      <c r="M190" s="201" t="s">
        <v>1030</v>
      </c>
      <c r="N190" s="205" t="s">
        <v>1190</v>
      </c>
      <c r="O190" s="205" t="s">
        <v>1191</v>
      </c>
      <c r="P190" s="207" t="s">
        <v>653</v>
      </c>
      <c r="Q190" s="208" t="s">
        <v>654</v>
      </c>
      <c r="R190" s="208" t="s">
        <v>742</v>
      </c>
    </row>
    <row r="191" spans="1:18" s="205" customFormat="1" x14ac:dyDescent="0.2">
      <c r="A191" s="205" t="s">
        <v>175</v>
      </c>
      <c r="B191" s="205" t="s">
        <v>529</v>
      </c>
      <c r="C191" s="200">
        <v>45391</v>
      </c>
      <c r="D191" s="201" t="s">
        <v>152</v>
      </c>
      <c r="E191" s="206">
        <v>24295</v>
      </c>
      <c r="F191" s="206">
        <v>2430</v>
      </c>
      <c r="G191" s="206">
        <v>243</v>
      </c>
      <c r="H191" s="202">
        <f t="shared" si="2"/>
        <v>22108</v>
      </c>
      <c r="I191" s="205" t="s">
        <v>32</v>
      </c>
      <c r="J191" s="205" t="s">
        <v>29</v>
      </c>
      <c r="K191" s="201" t="s">
        <v>1042</v>
      </c>
      <c r="L191" s="205" t="s">
        <v>1410</v>
      </c>
      <c r="M191" s="201" t="s">
        <v>1030</v>
      </c>
      <c r="N191" s="205" t="s">
        <v>652</v>
      </c>
      <c r="O191" s="205" t="s">
        <v>652</v>
      </c>
      <c r="P191" s="207" t="s">
        <v>718</v>
      </c>
      <c r="Q191" s="208" t="s">
        <v>719</v>
      </c>
      <c r="R191" s="208" t="s">
        <v>742</v>
      </c>
    </row>
    <row r="192" spans="1:18" s="205" customFormat="1" x14ac:dyDescent="0.2">
      <c r="A192" s="205" t="s">
        <v>1183</v>
      </c>
      <c r="B192" s="205" t="s">
        <v>1184</v>
      </c>
      <c r="C192" s="200">
        <v>45391</v>
      </c>
      <c r="D192" s="201" t="s">
        <v>152</v>
      </c>
      <c r="E192" s="206">
        <v>34052</v>
      </c>
      <c r="F192" s="206">
        <v>3405</v>
      </c>
      <c r="G192" s="206">
        <v>341</v>
      </c>
      <c r="H192" s="202">
        <f t="shared" si="2"/>
        <v>30988</v>
      </c>
      <c r="I192" s="205" t="s">
        <v>90</v>
      </c>
      <c r="J192" s="205" t="s">
        <v>29</v>
      </c>
      <c r="K192" s="201" t="s">
        <v>1042</v>
      </c>
      <c r="L192" s="205" t="s">
        <v>1411</v>
      </c>
      <c r="M192" s="201" t="s">
        <v>1030</v>
      </c>
      <c r="N192" s="205" t="s">
        <v>1186</v>
      </c>
      <c r="O192" s="205" t="s">
        <v>1187</v>
      </c>
      <c r="P192" s="207" t="s">
        <v>987</v>
      </c>
      <c r="Q192" s="208" t="s">
        <v>988</v>
      </c>
      <c r="R192" s="208" t="s">
        <v>742</v>
      </c>
    </row>
    <row r="193" spans="1:18" s="205" customFormat="1" x14ac:dyDescent="0.2">
      <c r="A193" s="205" t="s">
        <v>178</v>
      </c>
      <c r="B193" s="205" t="s">
        <v>526</v>
      </c>
      <c r="C193" s="200">
        <v>45391</v>
      </c>
      <c r="D193" s="201" t="s">
        <v>152</v>
      </c>
      <c r="E193" s="206">
        <v>48593</v>
      </c>
      <c r="F193" s="206">
        <v>4859</v>
      </c>
      <c r="G193" s="206">
        <v>486</v>
      </c>
      <c r="H193" s="202">
        <f t="shared" si="2"/>
        <v>44220</v>
      </c>
      <c r="I193" s="205" t="s">
        <v>179</v>
      </c>
      <c r="J193" s="205" t="s">
        <v>29</v>
      </c>
      <c r="K193" s="201" t="s">
        <v>1042</v>
      </c>
      <c r="L193" s="205" t="s">
        <v>1412</v>
      </c>
      <c r="M193" s="201" t="s">
        <v>1030</v>
      </c>
      <c r="N193" s="205" t="s">
        <v>652</v>
      </c>
      <c r="O193" s="205" t="s">
        <v>652</v>
      </c>
      <c r="P193" s="207" t="s">
        <v>718</v>
      </c>
      <c r="Q193" s="208" t="s">
        <v>719</v>
      </c>
      <c r="R193" s="208" t="s">
        <v>742</v>
      </c>
    </row>
    <row r="194" spans="1:18" s="205" customFormat="1" x14ac:dyDescent="0.2">
      <c r="A194" s="205" t="s">
        <v>1413</v>
      </c>
      <c r="B194" s="205" t="s">
        <v>1414</v>
      </c>
      <c r="C194" s="200">
        <v>45391</v>
      </c>
      <c r="D194" s="201" t="s">
        <v>152</v>
      </c>
      <c r="E194" s="206">
        <v>544566</v>
      </c>
      <c r="F194" s="206">
        <v>54457</v>
      </c>
      <c r="G194" s="206">
        <v>2723</v>
      </c>
      <c r="H194" s="202">
        <f t="shared" ref="H194:H257" si="3">E194+G194-F194</f>
        <v>492832</v>
      </c>
      <c r="I194" s="205" t="s">
        <v>38</v>
      </c>
      <c r="J194" s="205" t="s">
        <v>23</v>
      </c>
      <c r="K194" s="201" t="s">
        <v>1028</v>
      </c>
      <c r="L194" s="205" t="s">
        <v>1415</v>
      </c>
      <c r="M194" s="201" t="s">
        <v>1030</v>
      </c>
      <c r="N194" s="205" t="s">
        <v>652</v>
      </c>
      <c r="O194" s="205" t="s">
        <v>652</v>
      </c>
      <c r="P194" s="207" t="s">
        <v>1416</v>
      </c>
      <c r="Q194" s="208" t="s">
        <v>1417</v>
      </c>
      <c r="R194" s="208" t="s">
        <v>1106</v>
      </c>
    </row>
    <row r="195" spans="1:18" s="205" customFormat="1" x14ac:dyDescent="0.2">
      <c r="A195" s="205" t="s">
        <v>1418</v>
      </c>
      <c r="B195" s="205" t="s">
        <v>229</v>
      </c>
      <c r="C195" s="200">
        <v>45391</v>
      </c>
      <c r="D195" s="201" t="s">
        <v>152</v>
      </c>
      <c r="E195" s="206">
        <v>40412</v>
      </c>
      <c r="F195" s="206">
        <v>4041</v>
      </c>
      <c r="G195" s="206">
        <v>202</v>
      </c>
      <c r="H195" s="202">
        <f t="shared" si="3"/>
        <v>36573</v>
      </c>
      <c r="I195" s="205" t="s">
        <v>38</v>
      </c>
      <c r="J195" s="205" t="s">
        <v>23</v>
      </c>
      <c r="K195" s="201" t="s">
        <v>1042</v>
      </c>
      <c r="L195" s="205" t="s">
        <v>1419</v>
      </c>
      <c r="M195" s="201" t="s">
        <v>1030</v>
      </c>
      <c r="N195" s="205" t="s">
        <v>652</v>
      </c>
      <c r="O195" s="205" t="s">
        <v>652</v>
      </c>
      <c r="P195" s="207" t="s">
        <v>653</v>
      </c>
      <c r="Q195" s="208" t="s">
        <v>654</v>
      </c>
      <c r="R195" s="208" t="s">
        <v>742</v>
      </c>
    </row>
    <row r="196" spans="1:18" s="205" customFormat="1" x14ac:dyDescent="0.2">
      <c r="A196" s="205" t="s">
        <v>1420</v>
      </c>
      <c r="B196" s="205" t="s">
        <v>229</v>
      </c>
      <c r="C196" s="200">
        <v>45391</v>
      </c>
      <c r="D196" s="201" t="s">
        <v>152</v>
      </c>
      <c r="E196" s="206">
        <v>87104</v>
      </c>
      <c r="F196" s="206">
        <v>8710</v>
      </c>
      <c r="G196" s="206">
        <v>436</v>
      </c>
      <c r="H196" s="202">
        <f t="shared" si="3"/>
        <v>78830</v>
      </c>
      <c r="I196" s="205" t="s">
        <v>38</v>
      </c>
      <c r="J196" s="205" t="s">
        <v>23</v>
      </c>
      <c r="K196" s="201" t="s">
        <v>1042</v>
      </c>
      <c r="L196" s="205" t="s">
        <v>1421</v>
      </c>
      <c r="M196" s="201" t="s">
        <v>1030</v>
      </c>
      <c r="N196" s="205" t="s">
        <v>652</v>
      </c>
      <c r="O196" s="205" t="s">
        <v>652</v>
      </c>
      <c r="P196" s="207" t="s">
        <v>688</v>
      </c>
      <c r="Q196" s="208" t="s">
        <v>689</v>
      </c>
      <c r="R196" s="208" t="s">
        <v>742</v>
      </c>
    </row>
    <row r="197" spans="1:18" s="205" customFormat="1" x14ac:dyDescent="0.2">
      <c r="A197" s="205" t="s">
        <v>495</v>
      </c>
      <c r="B197" s="205" t="s">
        <v>1422</v>
      </c>
      <c r="C197" s="200">
        <v>45391</v>
      </c>
      <c r="D197" s="201" t="s">
        <v>152</v>
      </c>
      <c r="E197" s="206">
        <v>3819905</v>
      </c>
      <c r="F197" s="206">
        <v>381991</v>
      </c>
      <c r="G197" s="206">
        <v>19100</v>
      </c>
      <c r="H197" s="202">
        <f t="shared" si="3"/>
        <v>3457014</v>
      </c>
      <c r="I197" s="205" t="s">
        <v>44</v>
      </c>
      <c r="J197" s="205" t="s">
        <v>23</v>
      </c>
      <c r="K197" s="201" t="s">
        <v>1028</v>
      </c>
      <c r="L197" s="205" t="s">
        <v>1423</v>
      </c>
      <c r="M197" s="201" t="s">
        <v>1030</v>
      </c>
      <c r="N197" s="205" t="s">
        <v>652</v>
      </c>
      <c r="O197" s="205" t="s">
        <v>652</v>
      </c>
      <c r="P197" s="207" t="s">
        <v>1424</v>
      </c>
      <c r="Q197" s="208" t="s">
        <v>1425</v>
      </c>
      <c r="R197" s="208" t="s">
        <v>742</v>
      </c>
    </row>
    <row r="198" spans="1:18" s="205" customFormat="1" x14ac:dyDescent="0.2">
      <c r="A198" s="205" t="s">
        <v>1426</v>
      </c>
      <c r="B198" s="205" t="s">
        <v>229</v>
      </c>
      <c r="C198" s="200">
        <v>45391</v>
      </c>
      <c r="D198" s="201" t="s">
        <v>152</v>
      </c>
      <c r="E198" s="206">
        <v>51322</v>
      </c>
      <c r="F198" s="206">
        <v>5132</v>
      </c>
      <c r="G198" s="206">
        <v>257</v>
      </c>
      <c r="H198" s="202">
        <f t="shared" si="3"/>
        <v>46447</v>
      </c>
      <c r="I198" s="205" t="s">
        <v>38</v>
      </c>
      <c r="J198" s="205" t="s">
        <v>23</v>
      </c>
      <c r="K198" s="201" t="s">
        <v>1042</v>
      </c>
      <c r="L198" s="205" t="s">
        <v>1427</v>
      </c>
      <c r="M198" s="201" t="s">
        <v>1030</v>
      </c>
      <c r="N198" s="205" t="s">
        <v>652</v>
      </c>
      <c r="O198" s="205" t="s">
        <v>652</v>
      </c>
      <c r="P198" s="207" t="s">
        <v>688</v>
      </c>
      <c r="Q198" s="208" t="s">
        <v>689</v>
      </c>
      <c r="R198" s="208" t="s">
        <v>742</v>
      </c>
    </row>
    <row r="199" spans="1:18" s="205" customFormat="1" x14ac:dyDescent="0.2">
      <c r="A199" s="205" t="s">
        <v>1428</v>
      </c>
      <c r="B199" s="205" t="s">
        <v>229</v>
      </c>
      <c r="C199" s="200">
        <v>45391</v>
      </c>
      <c r="D199" s="201" t="s">
        <v>152</v>
      </c>
      <c r="E199" s="206">
        <v>87104</v>
      </c>
      <c r="F199" s="206">
        <v>8710</v>
      </c>
      <c r="G199" s="206">
        <v>436</v>
      </c>
      <c r="H199" s="202">
        <f t="shared" si="3"/>
        <v>78830</v>
      </c>
      <c r="I199" s="205" t="s">
        <v>38</v>
      </c>
      <c r="J199" s="205" t="s">
        <v>23</v>
      </c>
      <c r="K199" s="201" t="s">
        <v>1042</v>
      </c>
      <c r="L199" s="205" t="s">
        <v>1429</v>
      </c>
      <c r="M199" s="201" t="s">
        <v>1030</v>
      </c>
      <c r="N199" s="205" t="s">
        <v>652</v>
      </c>
      <c r="O199" s="205" t="s">
        <v>652</v>
      </c>
      <c r="P199" s="207" t="s">
        <v>720</v>
      </c>
      <c r="Q199" s="208" t="s">
        <v>721</v>
      </c>
      <c r="R199" s="208" t="s">
        <v>742</v>
      </c>
    </row>
    <row r="200" spans="1:18" s="205" customFormat="1" x14ac:dyDescent="0.2">
      <c r="A200" s="205" t="s">
        <v>936</v>
      </c>
      <c r="B200" s="205" t="s">
        <v>937</v>
      </c>
      <c r="C200" s="200">
        <v>45391</v>
      </c>
      <c r="D200" s="201" t="s">
        <v>152</v>
      </c>
      <c r="E200" s="206">
        <v>7739</v>
      </c>
      <c r="F200" s="206">
        <v>774</v>
      </c>
      <c r="G200" s="206">
        <v>39</v>
      </c>
      <c r="H200" s="202">
        <f t="shared" si="3"/>
        <v>7004</v>
      </c>
      <c r="I200" s="205" t="s">
        <v>360</v>
      </c>
      <c r="J200" s="205" t="s">
        <v>23</v>
      </c>
      <c r="K200" s="201" t="e">
        <v>#N/A</v>
      </c>
      <c r="L200" s="205" t="s">
        <v>1430</v>
      </c>
      <c r="M200" s="201"/>
      <c r="P200" s="215" t="s">
        <v>869</v>
      </c>
      <c r="Q200" s="216" t="s">
        <v>942</v>
      </c>
      <c r="R200" s="216" t="s">
        <v>742</v>
      </c>
    </row>
    <row r="201" spans="1:18" s="205" customFormat="1" x14ac:dyDescent="0.2">
      <c r="A201" s="205" t="s">
        <v>938</v>
      </c>
      <c r="B201" s="205" t="s">
        <v>939</v>
      </c>
      <c r="C201" s="200">
        <v>45391</v>
      </c>
      <c r="D201" s="201" t="s">
        <v>152</v>
      </c>
      <c r="E201" s="206">
        <v>7739</v>
      </c>
      <c r="F201" s="206">
        <v>774</v>
      </c>
      <c r="G201" s="206">
        <v>39</v>
      </c>
      <c r="H201" s="202">
        <f t="shared" si="3"/>
        <v>7004</v>
      </c>
      <c r="I201" s="205" t="s">
        <v>360</v>
      </c>
      <c r="J201" s="205" t="s">
        <v>23</v>
      </c>
      <c r="K201" s="201" t="e">
        <v>#N/A</v>
      </c>
      <c r="L201" s="205" t="s">
        <v>1431</v>
      </c>
      <c r="M201" s="201"/>
      <c r="P201" s="215" t="s">
        <v>869</v>
      </c>
      <c r="Q201" s="216" t="s">
        <v>942</v>
      </c>
      <c r="R201" s="216" t="s">
        <v>742</v>
      </c>
    </row>
    <row r="202" spans="1:18" s="205" customFormat="1" x14ac:dyDescent="0.2">
      <c r="A202" s="205" t="s">
        <v>1432</v>
      </c>
      <c r="B202" s="205" t="s">
        <v>229</v>
      </c>
      <c r="C202" s="200">
        <v>45391</v>
      </c>
      <c r="D202" s="201" t="s">
        <v>152</v>
      </c>
      <c r="E202" s="206">
        <v>117590</v>
      </c>
      <c r="F202" s="206">
        <v>11759</v>
      </c>
      <c r="G202" s="206">
        <v>588</v>
      </c>
      <c r="H202" s="202">
        <f t="shared" si="3"/>
        <v>106419</v>
      </c>
      <c r="I202" s="205" t="s">
        <v>38</v>
      </c>
      <c r="J202" s="205" t="s">
        <v>23</v>
      </c>
      <c r="K202" s="201" t="s">
        <v>1028</v>
      </c>
      <c r="L202" s="205" t="s">
        <v>1433</v>
      </c>
      <c r="M202" s="201" t="s">
        <v>1030</v>
      </c>
      <c r="N202" s="205" t="s">
        <v>652</v>
      </c>
      <c r="O202" s="205" t="s">
        <v>652</v>
      </c>
      <c r="P202" s="207">
        <v>45323</v>
      </c>
      <c r="Q202" s="217">
        <v>45657</v>
      </c>
      <c r="R202" s="217">
        <v>45391</v>
      </c>
    </row>
    <row r="203" spans="1:18" s="205" customFormat="1" x14ac:dyDescent="0.2">
      <c r="A203" s="205" t="s">
        <v>1434</v>
      </c>
      <c r="B203" s="205" t="s">
        <v>330</v>
      </c>
      <c r="C203" s="200">
        <v>45391</v>
      </c>
      <c r="D203" s="201" t="s">
        <v>152</v>
      </c>
      <c r="E203" s="206">
        <v>84793</v>
      </c>
      <c r="F203" s="206">
        <v>8479</v>
      </c>
      <c r="G203" s="206">
        <v>424</v>
      </c>
      <c r="H203" s="202">
        <f t="shared" si="3"/>
        <v>76738</v>
      </c>
      <c r="I203" s="205" t="s">
        <v>193</v>
      </c>
      <c r="J203" s="205" t="s">
        <v>23</v>
      </c>
      <c r="K203" s="201" t="s">
        <v>1058</v>
      </c>
      <c r="L203" s="205" t="s">
        <v>1435</v>
      </c>
      <c r="M203" s="201" t="s">
        <v>1030</v>
      </c>
      <c r="N203" s="205" t="s">
        <v>652</v>
      </c>
      <c r="O203" s="205" t="s">
        <v>652</v>
      </c>
      <c r="P203" s="207" t="s">
        <v>987</v>
      </c>
      <c r="Q203" s="208" t="s">
        <v>988</v>
      </c>
      <c r="R203" s="208" t="s">
        <v>742</v>
      </c>
    </row>
    <row r="204" spans="1:18" s="205" customFormat="1" x14ac:dyDescent="0.2">
      <c r="A204" s="205" t="s">
        <v>1436</v>
      </c>
      <c r="B204" s="205" t="s">
        <v>330</v>
      </c>
      <c r="C204" s="200">
        <v>45391</v>
      </c>
      <c r="D204" s="201" t="s">
        <v>152</v>
      </c>
      <c r="E204" s="206">
        <v>113984</v>
      </c>
      <c r="F204" s="206">
        <v>11398</v>
      </c>
      <c r="G204" s="206">
        <v>570</v>
      </c>
      <c r="H204" s="202">
        <f t="shared" si="3"/>
        <v>103156</v>
      </c>
      <c r="I204" s="205" t="s">
        <v>193</v>
      </c>
      <c r="J204" s="205" t="s">
        <v>23</v>
      </c>
      <c r="K204" s="201" t="s">
        <v>1058</v>
      </c>
      <c r="L204" s="205" t="s">
        <v>1437</v>
      </c>
      <c r="M204" s="201" t="s">
        <v>1030</v>
      </c>
      <c r="N204" s="205" t="s">
        <v>652</v>
      </c>
      <c r="O204" s="205" t="s">
        <v>652</v>
      </c>
      <c r="P204" s="207" t="s">
        <v>987</v>
      </c>
      <c r="Q204" s="208" t="s">
        <v>988</v>
      </c>
      <c r="R204" s="208" t="s">
        <v>742</v>
      </c>
    </row>
    <row r="205" spans="1:18" s="205" customFormat="1" x14ac:dyDescent="0.2">
      <c r="A205" s="205" t="s">
        <v>1438</v>
      </c>
      <c r="B205" s="205" t="s">
        <v>284</v>
      </c>
      <c r="C205" s="200">
        <v>45391</v>
      </c>
      <c r="D205" s="201" t="s">
        <v>152</v>
      </c>
      <c r="E205" s="206">
        <v>94377</v>
      </c>
      <c r="F205" s="206">
        <v>9438</v>
      </c>
      <c r="G205" s="206">
        <v>472</v>
      </c>
      <c r="H205" s="202">
        <f t="shared" si="3"/>
        <v>85411</v>
      </c>
      <c r="I205" s="205" t="s">
        <v>193</v>
      </c>
      <c r="J205" s="205" t="s">
        <v>23</v>
      </c>
      <c r="K205" s="201" t="s">
        <v>1058</v>
      </c>
      <c r="L205" s="205" t="s">
        <v>1439</v>
      </c>
      <c r="M205" s="201" t="s">
        <v>1030</v>
      </c>
      <c r="N205" s="205" t="s">
        <v>652</v>
      </c>
      <c r="O205" s="205" t="s">
        <v>652</v>
      </c>
      <c r="P205" s="207" t="s">
        <v>987</v>
      </c>
      <c r="Q205" s="208" t="s">
        <v>988</v>
      </c>
      <c r="R205" s="208" t="s">
        <v>742</v>
      </c>
    </row>
    <row r="206" spans="1:18" s="205" customFormat="1" x14ac:dyDescent="0.2">
      <c r="A206" s="205" t="s">
        <v>1440</v>
      </c>
      <c r="B206" s="205" t="s">
        <v>246</v>
      </c>
      <c r="C206" s="200">
        <v>45391</v>
      </c>
      <c r="D206" s="201" t="s">
        <v>152</v>
      </c>
      <c r="E206" s="206">
        <v>44011</v>
      </c>
      <c r="F206" s="206">
        <v>4401</v>
      </c>
      <c r="G206" s="206">
        <v>220</v>
      </c>
      <c r="H206" s="202">
        <f t="shared" si="3"/>
        <v>39830</v>
      </c>
      <c r="I206" s="205" t="s">
        <v>193</v>
      </c>
      <c r="J206" s="205" t="s">
        <v>23</v>
      </c>
      <c r="K206" s="201" t="s">
        <v>1042</v>
      </c>
      <c r="L206" s="205" t="s">
        <v>1441</v>
      </c>
      <c r="M206" s="201" t="s">
        <v>1030</v>
      </c>
      <c r="N206" s="205" t="s">
        <v>652</v>
      </c>
      <c r="O206" s="205" t="s">
        <v>652</v>
      </c>
      <c r="P206" s="207" t="s">
        <v>987</v>
      </c>
      <c r="Q206" s="208" t="s">
        <v>988</v>
      </c>
      <c r="R206" s="208" t="s">
        <v>742</v>
      </c>
    </row>
    <row r="207" spans="1:18" s="205" customFormat="1" x14ac:dyDescent="0.2">
      <c r="A207" s="205" t="s">
        <v>1442</v>
      </c>
      <c r="B207" s="205" t="s">
        <v>246</v>
      </c>
      <c r="C207" s="200">
        <v>45391</v>
      </c>
      <c r="D207" s="201" t="s">
        <v>152</v>
      </c>
      <c r="E207" s="206">
        <v>50912</v>
      </c>
      <c r="F207" s="206">
        <v>5091</v>
      </c>
      <c r="G207" s="206">
        <v>255</v>
      </c>
      <c r="H207" s="202">
        <f t="shared" si="3"/>
        <v>46076</v>
      </c>
      <c r="I207" s="205" t="s">
        <v>193</v>
      </c>
      <c r="J207" s="205" t="s">
        <v>23</v>
      </c>
      <c r="K207" s="201" t="s">
        <v>1042</v>
      </c>
      <c r="L207" s="205" t="s">
        <v>1443</v>
      </c>
      <c r="M207" s="201" t="s">
        <v>1030</v>
      </c>
      <c r="N207" s="205" t="s">
        <v>652</v>
      </c>
      <c r="O207" s="205" t="s">
        <v>652</v>
      </c>
      <c r="P207" s="207" t="s">
        <v>987</v>
      </c>
      <c r="Q207" s="208" t="s">
        <v>988</v>
      </c>
      <c r="R207" s="208" t="s">
        <v>742</v>
      </c>
    </row>
    <row r="208" spans="1:18" s="205" customFormat="1" x14ac:dyDescent="0.2">
      <c r="A208" s="205" t="s">
        <v>1444</v>
      </c>
      <c r="B208" s="205" t="s">
        <v>252</v>
      </c>
      <c r="C208" s="200">
        <v>45391</v>
      </c>
      <c r="D208" s="201" t="s">
        <v>152</v>
      </c>
      <c r="E208" s="206">
        <v>258875</v>
      </c>
      <c r="F208" s="206">
        <v>25888</v>
      </c>
      <c r="G208" s="206">
        <v>1294</v>
      </c>
      <c r="H208" s="202">
        <f t="shared" si="3"/>
        <v>234281</v>
      </c>
      <c r="I208" s="205" t="s">
        <v>104</v>
      </c>
      <c r="J208" s="205" t="s">
        <v>23</v>
      </c>
      <c r="K208" s="201" t="s">
        <v>1058</v>
      </c>
      <c r="L208" s="205" t="s">
        <v>1445</v>
      </c>
      <c r="M208" s="201" t="s">
        <v>1072</v>
      </c>
      <c r="N208" s="205" t="s">
        <v>652</v>
      </c>
      <c r="O208" s="205" t="s">
        <v>652</v>
      </c>
      <c r="P208" s="207" t="s">
        <v>688</v>
      </c>
      <c r="Q208" s="208" t="s">
        <v>689</v>
      </c>
      <c r="R208" s="208" t="s">
        <v>742</v>
      </c>
    </row>
    <row r="209" spans="1:18" s="205" customFormat="1" x14ac:dyDescent="0.2">
      <c r="A209" s="205" t="s">
        <v>115</v>
      </c>
      <c r="B209" s="205" t="s">
        <v>650</v>
      </c>
      <c r="C209" s="200">
        <v>45391</v>
      </c>
      <c r="D209" s="201" t="s">
        <v>152</v>
      </c>
      <c r="E209" s="206">
        <v>47937</v>
      </c>
      <c r="F209" s="206">
        <v>4794</v>
      </c>
      <c r="G209" s="206">
        <v>240</v>
      </c>
      <c r="H209" s="202">
        <f t="shared" si="3"/>
        <v>43383</v>
      </c>
      <c r="I209" s="205" t="s">
        <v>44</v>
      </c>
      <c r="J209" s="205" t="s">
        <v>23</v>
      </c>
      <c r="K209" s="201" t="s">
        <v>1042</v>
      </c>
      <c r="L209" s="205" t="s">
        <v>1446</v>
      </c>
      <c r="M209" s="201" t="s">
        <v>1030</v>
      </c>
      <c r="N209" s="205" t="s">
        <v>652</v>
      </c>
      <c r="O209" s="205" t="s">
        <v>652</v>
      </c>
      <c r="P209" s="207" t="s">
        <v>653</v>
      </c>
      <c r="Q209" s="208" t="s">
        <v>654</v>
      </c>
      <c r="R209" s="208" t="s">
        <v>742</v>
      </c>
    </row>
    <row r="210" spans="1:18" s="205" customFormat="1" x14ac:dyDescent="0.2">
      <c r="A210" s="205" t="s">
        <v>194</v>
      </c>
      <c r="B210" s="205" t="s">
        <v>548</v>
      </c>
      <c r="C210" s="200">
        <v>45391</v>
      </c>
      <c r="D210" s="201" t="s">
        <v>152</v>
      </c>
      <c r="E210" s="206">
        <v>7919</v>
      </c>
      <c r="F210" s="206">
        <v>792</v>
      </c>
      <c r="G210" s="206">
        <v>40</v>
      </c>
      <c r="H210" s="202">
        <f t="shared" si="3"/>
        <v>7167</v>
      </c>
      <c r="I210" s="205" t="s">
        <v>52</v>
      </c>
      <c r="J210" s="205" t="s">
        <v>23</v>
      </c>
      <c r="K210" s="201" t="s">
        <v>1042</v>
      </c>
      <c r="L210" s="205" t="s">
        <v>1447</v>
      </c>
      <c r="M210" s="201" t="s">
        <v>1030</v>
      </c>
      <c r="N210" s="205" t="s">
        <v>652</v>
      </c>
      <c r="O210" s="205" t="s">
        <v>652</v>
      </c>
      <c r="P210" s="207" t="s">
        <v>837</v>
      </c>
      <c r="Q210" s="208" t="s">
        <v>838</v>
      </c>
      <c r="R210" s="208" t="s">
        <v>742</v>
      </c>
    </row>
    <row r="211" spans="1:18" s="205" customFormat="1" x14ac:dyDescent="0.2">
      <c r="A211" s="205" t="s">
        <v>1448</v>
      </c>
      <c r="B211" s="205" t="s">
        <v>229</v>
      </c>
      <c r="C211" s="200">
        <v>45391</v>
      </c>
      <c r="D211" s="201" t="s">
        <v>152</v>
      </c>
      <c r="E211" s="206">
        <v>40628</v>
      </c>
      <c r="F211" s="206">
        <v>4063</v>
      </c>
      <c r="G211" s="206">
        <v>203</v>
      </c>
      <c r="H211" s="202">
        <f t="shared" si="3"/>
        <v>36768</v>
      </c>
      <c r="I211" s="205" t="s">
        <v>38</v>
      </c>
      <c r="J211" s="205" t="s">
        <v>23</v>
      </c>
      <c r="K211" s="201" t="s">
        <v>1028</v>
      </c>
      <c r="L211" s="205" t="s">
        <v>1449</v>
      </c>
      <c r="M211" s="201" t="s">
        <v>1030</v>
      </c>
      <c r="N211" s="205" t="s">
        <v>652</v>
      </c>
      <c r="O211" s="205" t="s">
        <v>652</v>
      </c>
      <c r="P211" s="207" t="s">
        <v>651</v>
      </c>
      <c r="Q211" s="208" t="s">
        <v>673</v>
      </c>
      <c r="R211" s="208" t="s">
        <v>742</v>
      </c>
    </row>
    <row r="212" spans="1:18" s="205" customFormat="1" x14ac:dyDescent="0.2">
      <c r="A212" s="205" t="s">
        <v>1450</v>
      </c>
      <c r="B212" s="205" t="s">
        <v>229</v>
      </c>
      <c r="C212" s="200">
        <v>45391</v>
      </c>
      <c r="D212" s="201" t="s">
        <v>152</v>
      </c>
      <c r="E212" s="206">
        <v>66020</v>
      </c>
      <c r="F212" s="206">
        <v>6602</v>
      </c>
      <c r="G212" s="206">
        <v>330</v>
      </c>
      <c r="H212" s="202">
        <f t="shared" si="3"/>
        <v>59748</v>
      </c>
      <c r="I212" s="205" t="s">
        <v>38</v>
      </c>
      <c r="J212" s="205" t="s">
        <v>23</v>
      </c>
      <c r="K212" s="201" t="s">
        <v>1028</v>
      </c>
      <c r="L212" s="205" t="s">
        <v>1451</v>
      </c>
      <c r="M212" s="201" t="s">
        <v>1030</v>
      </c>
      <c r="N212" s="205" t="s">
        <v>652</v>
      </c>
      <c r="O212" s="205" t="s">
        <v>652</v>
      </c>
      <c r="P212" s="207" t="s">
        <v>651</v>
      </c>
      <c r="Q212" s="208" t="s">
        <v>673</v>
      </c>
      <c r="R212" s="208" t="s">
        <v>742</v>
      </c>
    </row>
    <row r="213" spans="1:18" s="205" customFormat="1" x14ac:dyDescent="0.2">
      <c r="A213" s="205" t="s">
        <v>1452</v>
      </c>
      <c r="B213" s="205" t="s">
        <v>229</v>
      </c>
      <c r="C213" s="200">
        <v>45391</v>
      </c>
      <c r="D213" s="201" t="s">
        <v>152</v>
      </c>
      <c r="E213" s="206">
        <v>56454</v>
      </c>
      <c r="F213" s="206">
        <v>5645</v>
      </c>
      <c r="G213" s="206">
        <v>282</v>
      </c>
      <c r="H213" s="202">
        <f t="shared" si="3"/>
        <v>51091</v>
      </c>
      <c r="I213" s="205" t="s">
        <v>38</v>
      </c>
      <c r="J213" s="205" t="s">
        <v>23</v>
      </c>
      <c r="K213" s="201" t="s">
        <v>1042</v>
      </c>
      <c r="L213" s="205" t="s">
        <v>1453</v>
      </c>
      <c r="M213" s="201" t="s">
        <v>1030</v>
      </c>
      <c r="N213" s="205" t="s">
        <v>652</v>
      </c>
      <c r="O213" s="205" t="s">
        <v>652</v>
      </c>
      <c r="P213" s="207" t="s">
        <v>722</v>
      </c>
      <c r="Q213" s="208" t="s">
        <v>723</v>
      </c>
      <c r="R213" s="208" t="s">
        <v>742</v>
      </c>
    </row>
    <row r="214" spans="1:18" s="205" customFormat="1" x14ac:dyDescent="0.2">
      <c r="A214" s="205" t="s">
        <v>1454</v>
      </c>
      <c r="B214" s="205" t="s">
        <v>229</v>
      </c>
      <c r="C214" s="200">
        <v>45391</v>
      </c>
      <c r="D214" s="201" t="s">
        <v>152</v>
      </c>
      <c r="E214" s="206">
        <v>36738</v>
      </c>
      <c r="F214" s="206">
        <v>3674</v>
      </c>
      <c r="G214" s="206">
        <v>184</v>
      </c>
      <c r="H214" s="202">
        <f t="shared" si="3"/>
        <v>33248</v>
      </c>
      <c r="I214" s="205" t="s">
        <v>38</v>
      </c>
      <c r="J214" s="205" t="s">
        <v>23</v>
      </c>
      <c r="K214" s="201" t="s">
        <v>1028</v>
      </c>
      <c r="L214" s="205" t="s">
        <v>1455</v>
      </c>
      <c r="M214" s="201" t="s">
        <v>1030</v>
      </c>
      <c r="N214" s="205" t="s">
        <v>652</v>
      </c>
      <c r="O214" s="205" t="s">
        <v>652</v>
      </c>
      <c r="P214" s="207" t="s">
        <v>663</v>
      </c>
      <c r="Q214" s="208" t="s">
        <v>723</v>
      </c>
      <c r="R214" s="208" t="s">
        <v>742</v>
      </c>
    </row>
    <row r="215" spans="1:18" s="205" customFormat="1" x14ac:dyDescent="0.2">
      <c r="A215" s="205" t="s">
        <v>1456</v>
      </c>
      <c r="B215" s="205" t="s">
        <v>229</v>
      </c>
      <c r="C215" s="200">
        <v>45391</v>
      </c>
      <c r="D215" s="201" t="s">
        <v>152</v>
      </c>
      <c r="E215" s="206">
        <v>46439</v>
      </c>
      <c r="F215" s="206">
        <v>4644</v>
      </c>
      <c r="G215" s="206">
        <v>232</v>
      </c>
      <c r="H215" s="202">
        <f t="shared" si="3"/>
        <v>42027</v>
      </c>
      <c r="I215" s="205" t="s">
        <v>38</v>
      </c>
      <c r="J215" s="205" t="s">
        <v>23</v>
      </c>
      <c r="K215" s="201" t="s">
        <v>1028</v>
      </c>
      <c r="L215" s="205" t="s">
        <v>1457</v>
      </c>
      <c r="M215" s="201" t="s">
        <v>1030</v>
      </c>
      <c r="N215" s="205" t="s">
        <v>652</v>
      </c>
      <c r="O215" s="205" t="s">
        <v>652</v>
      </c>
      <c r="P215" s="207" t="s">
        <v>663</v>
      </c>
      <c r="Q215" s="208" t="s">
        <v>723</v>
      </c>
      <c r="R215" s="208" t="s">
        <v>742</v>
      </c>
    </row>
    <row r="216" spans="1:18" s="205" customFormat="1" x14ac:dyDescent="0.2">
      <c r="A216" s="205" t="s">
        <v>151</v>
      </c>
      <c r="B216" s="205" t="s">
        <v>582</v>
      </c>
      <c r="C216" s="200">
        <v>45391</v>
      </c>
      <c r="D216" s="201" t="s">
        <v>152</v>
      </c>
      <c r="E216" s="206">
        <v>31243</v>
      </c>
      <c r="F216" s="206">
        <v>3124</v>
      </c>
      <c r="G216" s="206">
        <v>156</v>
      </c>
      <c r="H216" s="202">
        <f t="shared" si="3"/>
        <v>28275</v>
      </c>
      <c r="I216" s="205" t="s">
        <v>54</v>
      </c>
      <c r="J216" s="205" t="s">
        <v>23</v>
      </c>
      <c r="K216" s="201" t="s">
        <v>1042</v>
      </c>
      <c r="L216" s="205" t="s">
        <v>1458</v>
      </c>
      <c r="M216" s="201" t="s">
        <v>1030</v>
      </c>
      <c r="N216" s="205" t="s">
        <v>652</v>
      </c>
      <c r="O216" s="205" t="s">
        <v>652</v>
      </c>
      <c r="P216" s="207" t="s">
        <v>653</v>
      </c>
      <c r="Q216" s="208" t="s">
        <v>654</v>
      </c>
      <c r="R216" s="208" t="s">
        <v>742</v>
      </c>
    </row>
    <row r="217" spans="1:18" s="205" customFormat="1" x14ac:dyDescent="0.2">
      <c r="A217" s="205" t="s">
        <v>537</v>
      </c>
      <c r="B217" s="205" t="s">
        <v>538</v>
      </c>
      <c r="C217" s="200">
        <v>45391</v>
      </c>
      <c r="D217" s="201" t="s">
        <v>152</v>
      </c>
      <c r="E217" s="206">
        <v>14549</v>
      </c>
      <c r="F217" s="206">
        <v>1455</v>
      </c>
      <c r="G217" s="206">
        <v>73</v>
      </c>
      <c r="H217" s="202">
        <f t="shared" si="3"/>
        <v>13167</v>
      </c>
      <c r="I217" s="205" t="s">
        <v>344</v>
      </c>
      <c r="J217" s="205" t="s">
        <v>23</v>
      </c>
      <c r="K217" s="201" t="s">
        <v>1042</v>
      </c>
      <c r="L217" s="205" t="s">
        <v>1459</v>
      </c>
      <c r="M217" s="201" t="s">
        <v>1030</v>
      </c>
      <c r="N217" s="205" t="s">
        <v>1065</v>
      </c>
      <c r="O217" s="205" t="s">
        <v>1066</v>
      </c>
      <c r="P217" s="207" t="s">
        <v>688</v>
      </c>
      <c r="Q217" s="208" t="s">
        <v>689</v>
      </c>
      <c r="R217" s="208" t="s">
        <v>742</v>
      </c>
    </row>
    <row r="218" spans="1:18" s="205" customFormat="1" x14ac:dyDescent="0.2">
      <c r="A218" s="205" t="s">
        <v>1460</v>
      </c>
      <c r="B218" s="205" t="s">
        <v>1461</v>
      </c>
      <c r="C218" s="200">
        <v>45391</v>
      </c>
      <c r="D218" s="201" t="s">
        <v>152</v>
      </c>
      <c r="E218" s="206">
        <v>2801050</v>
      </c>
      <c r="F218" s="206">
        <v>280105</v>
      </c>
      <c r="G218" s="206">
        <v>14005</v>
      </c>
      <c r="H218" s="202">
        <f t="shared" si="3"/>
        <v>2534950</v>
      </c>
      <c r="I218" s="205" t="s">
        <v>61</v>
      </c>
      <c r="J218" s="205" t="s">
        <v>23</v>
      </c>
      <c r="K218" s="201" t="s">
        <v>1058</v>
      </c>
      <c r="L218" s="205" t="s">
        <v>1462</v>
      </c>
      <c r="M218" s="201" t="s">
        <v>1030</v>
      </c>
      <c r="N218" s="205" t="s">
        <v>1463</v>
      </c>
      <c r="O218" s="205" t="s">
        <v>1074</v>
      </c>
      <c r="P218" s="207" t="s">
        <v>1424</v>
      </c>
      <c r="Q218" s="208" t="s">
        <v>1425</v>
      </c>
      <c r="R218" s="208" t="s">
        <v>742</v>
      </c>
    </row>
    <row r="219" spans="1:18" s="205" customFormat="1" x14ac:dyDescent="0.2">
      <c r="A219" s="205" t="s">
        <v>207</v>
      </c>
      <c r="B219" s="205" t="s">
        <v>916</v>
      </c>
      <c r="C219" s="200">
        <v>45391</v>
      </c>
      <c r="D219" s="201" t="s">
        <v>152</v>
      </c>
      <c r="E219" s="206">
        <v>22066</v>
      </c>
      <c r="F219" s="206">
        <v>2207</v>
      </c>
      <c r="G219" s="206">
        <v>110</v>
      </c>
      <c r="H219" s="202">
        <f t="shared" si="3"/>
        <v>19969</v>
      </c>
      <c r="I219" s="205" t="s">
        <v>44</v>
      </c>
      <c r="J219" s="205" t="s">
        <v>23</v>
      </c>
      <c r="K219" s="201" t="s">
        <v>1042</v>
      </c>
      <c r="L219" s="205" t="s">
        <v>1464</v>
      </c>
      <c r="M219" s="201" t="s">
        <v>1030</v>
      </c>
      <c r="N219" s="205" t="s">
        <v>652</v>
      </c>
      <c r="O219" s="205" t="s">
        <v>652</v>
      </c>
      <c r="P219" s="207" t="s">
        <v>663</v>
      </c>
      <c r="Q219" s="208" t="s">
        <v>745</v>
      </c>
      <c r="R219" s="208" t="s">
        <v>742</v>
      </c>
    </row>
    <row r="220" spans="1:18" s="205" customFormat="1" x14ac:dyDescent="0.2">
      <c r="A220" s="205" t="s">
        <v>83</v>
      </c>
      <c r="B220" s="205" t="s">
        <v>921</v>
      </c>
      <c r="C220" s="200">
        <v>45391</v>
      </c>
      <c r="D220" s="201" t="s">
        <v>152</v>
      </c>
      <c r="E220" s="206">
        <v>13008</v>
      </c>
      <c r="F220" s="206">
        <v>1301</v>
      </c>
      <c r="G220" s="206">
        <v>65</v>
      </c>
      <c r="H220" s="202">
        <f t="shared" si="3"/>
        <v>11772</v>
      </c>
      <c r="I220" s="205" t="s">
        <v>44</v>
      </c>
      <c r="J220" s="205" t="s">
        <v>23</v>
      </c>
      <c r="K220" s="201" t="s">
        <v>1042</v>
      </c>
      <c r="L220" s="205" t="s">
        <v>1465</v>
      </c>
      <c r="M220" s="201" t="s">
        <v>1030</v>
      </c>
      <c r="N220" s="205" t="s">
        <v>652</v>
      </c>
      <c r="O220" s="205" t="s">
        <v>652</v>
      </c>
      <c r="P220" s="207" t="s">
        <v>722</v>
      </c>
      <c r="Q220" s="208" t="s">
        <v>723</v>
      </c>
      <c r="R220" s="208" t="s">
        <v>742</v>
      </c>
    </row>
    <row r="221" spans="1:18" s="205" customFormat="1" x14ac:dyDescent="0.2">
      <c r="A221" s="205" t="s">
        <v>154</v>
      </c>
      <c r="B221" s="205" t="s">
        <v>542</v>
      </c>
      <c r="C221" s="200">
        <v>45391</v>
      </c>
      <c r="D221" s="201" t="s">
        <v>152</v>
      </c>
      <c r="E221" s="206">
        <v>27042</v>
      </c>
      <c r="F221" s="206">
        <v>0</v>
      </c>
      <c r="G221" s="206">
        <v>0</v>
      </c>
      <c r="H221" s="202">
        <f t="shared" si="3"/>
        <v>27042</v>
      </c>
      <c r="I221" s="205" t="s">
        <v>25</v>
      </c>
      <c r="J221" s="205" t="s">
        <v>214</v>
      </c>
      <c r="K221" s="201" t="s">
        <v>1042</v>
      </c>
      <c r="L221" s="205" t="s">
        <v>1466</v>
      </c>
      <c r="M221" s="201" t="s">
        <v>1030</v>
      </c>
      <c r="N221" s="205" t="s">
        <v>652</v>
      </c>
      <c r="O221" s="205" t="s">
        <v>652</v>
      </c>
      <c r="P221" s="207" t="s">
        <v>688</v>
      </c>
      <c r="Q221" s="208" t="s">
        <v>689</v>
      </c>
      <c r="R221" s="208" t="s">
        <v>742</v>
      </c>
    </row>
    <row r="222" spans="1:18" s="205" customFormat="1" x14ac:dyDescent="0.2">
      <c r="A222" s="205" t="s">
        <v>158</v>
      </c>
      <c r="B222" s="205" t="s">
        <v>734</v>
      </c>
      <c r="C222" s="200">
        <v>45391</v>
      </c>
      <c r="D222" s="201" t="s">
        <v>152</v>
      </c>
      <c r="E222" s="206">
        <v>27000</v>
      </c>
      <c r="F222" s="206">
        <v>0</v>
      </c>
      <c r="G222" s="206">
        <v>0</v>
      </c>
      <c r="H222" s="202">
        <f t="shared" si="3"/>
        <v>27000</v>
      </c>
      <c r="I222" s="205" t="s">
        <v>25</v>
      </c>
      <c r="J222" s="205" t="s">
        <v>214</v>
      </c>
      <c r="K222" s="201" t="s">
        <v>1141</v>
      </c>
      <c r="L222" s="205" t="s">
        <v>1467</v>
      </c>
      <c r="M222" s="201" t="s">
        <v>1468</v>
      </c>
      <c r="N222" s="205" t="s">
        <v>1190</v>
      </c>
      <c r="O222" s="205" t="s">
        <v>1191</v>
      </c>
      <c r="P222" s="207" t="s">
        <v>660</v>
      </c>
      <c r="Q222" s="208" t="s">
        <v>735</v>
      </c>
      <c r="R222" s="208" t="s">
        <v>742</v>
      </c>
    </row>
    <row r="223" spans="1:18" s="205" customFormat="1" x14ac:dyDescent="0.2">
      <c r="A223" s="205" t="s">
        <v>1002</v>
      </c>
      <c r="B223" s="205" t="s">
        <v>1469</v>
      </c>
      <c r="C223" s="200">
        <v>45392</v>
      </c>
      <c r="D223" s="201" t="s">
        <v>152</v>
      </c>
      <c r="E223" s="206">
        <v>52512</v>
      </c>
      <c r="F223" s="206">
        <v>5251</v>
      </c>
      <c r="G223" s="206">
        <v>525</v>
      </c>
      <c r="H223" s="202">
        <f t="shared" si="3"/>
        <v>47786</v>
      </c>
      <c r="I223" s="205" t="s">
        <v>1470</v>
      </c>
      <c r="J223" s="205" t="s">
        <v>29</v>
      </c>
      <c r="K223" s="201" t="s">
        <v>1028</v>
      </c>
      <c r="L223" s="205" t="s">
        <v>1471</v>
      </c>
      <c r="M223" s="201" t="s">
        <v>1030</v>
      </c>
      <c r="N223" s="205" t="s">
        <v>652</v>
      </c>
      <c r="O223" s="205" t="s">
        <v>652</v>
      </c>
      <c r="P223" s="207" t="s">
        <v>1035</v>
      </c>
      <c r="Q223" s="208" t="s">
        <v>1036</v>
      </c>
      <c r="R223" s="208" t="s">
        <v>742</v>
      </c>
    </row>
    <row r="224" spans="1:18" s="205" customFormat="1" x14ac:dyDescent="0.2">
      <c r="A224" s="205" t="s">
        <v>1472</v>
      </c>
      <c r="B224" s="205" t="s">
        <v>1473</v>
      </c>
      <c r="C224" s="200">
        <v>45393</v>
      </c>
      <c r="D224" s="201" t="s">
        <v>152</v>
      </c>
      <c r="E224" s="206">
        <v>83776</v>
      </c>
      <c r="F224" s="206">
        <v>8378</v>
      </c>
      <c r="G224" s="206">
        <v>838</v>
      </c>
      <c r="H224" s="202">
        <f t="shared" si="3"/>
        <v>76236</v>
      </c>
      <c r="I224" s="205" t="s">
        <v>41</v>
      </c>
      <c r="J224" s="205" t="s">
        <v>29</v>
      </c>
      <c r="K224" s="201" t="s">
        <v>1028</v>
      </c>
      <c r="L224" s="205" t="s">
        <v>1474</v>
      </c>
      <c r="M224" s="201" t="s">
        <v>1030</v>
      </c>
      <c r="N224" s="205" t="s">
        <v>652</v>
      </c>
      <c r="O224" s="205" t="s">
        <v>652</v>
      </c>
      <c r="P224" s="207" t="s">
        <v>1407</v>
      </c>
      <c r="Q224" s="208" t="s">
        <v>1408</v>
      </c>
      <c r="R224" s="208" t="s">
        <v>1475</v>
      </c>
    </row>
    <row r="225" spans="1:18" s="205" customFormat="1" x14ac:dyDescent="0.2">
      <c r="A225" s="205" t="s">
        <v>1476</v>
      </c>
      <c r="B225" s="205" t="s">
        <v>1477</v>
      </c>
      <c r="C225" s="200">
        <v>45393</v>
      </c>
      <c r="D225" s="201" t="s">
        <v>152</v>
      </c>
      <c r="E225" s="206">
        <v>67308</v>
      </c>
      <c r="F225" s="206">
        <v>6731</v>
      </c>
      <c r="G225" s="206">
        <v>673</v>
      </c>
      <c r="H225" s="202">
        <f t="shared" si="3"/>
        <v>61250</v>
      </c>
      <c r="I225" s="205" t="s">
        <v>41</v>
      </c>
      <c r="J225" s="205" t="s">
        <v>29</v>
      </c>
      <c r="K225" s="201" t="s">
        <v>1028</v>
      </c>
      <c r="L225" s="205" t="s">
        <v>1478</v>
      </c>
      <c r="M225" s="201" t="s">
        <v>1030</v>
      </c>
      <c r="N225" s="205" t="s">
        <v>652</v>
      </c>
      <c r="O225" s="205" t="s">
        <v>652</v>
      </c>
      <c r="P225" s="207" t="s">
        <v>661</v>
      </c>
      <c r="Q225" s="208" t="s">
        <v>793</v>
      </c>
      <c r="R225" s="208" t="s">
        <v>1475</v>
      </c>
    </row>
    <row r="226" spans="1:18" s="205" customFormat="1" x14ac:dyDescent="0.2">
      <c r="A226" s="205" t="s">
        <v>1479</v>
      </c>
      <c r="B226" s="205" t="s">
        <v>1480</v>
      </c>
      <c r="C226" s="200">
        <v>45393</v>
      </c>
      <c r="D226" s="201" t="s">
        <v>152</v>
      </c>
      <c r="E226" s="206">
        <v>68648</v>
      </c>
      <c r="F226" s="206">
        <v>6865</v>
      </c>
      <c r="G226" s="206">
        <v>687</v>
      </c>
      <c r="H226" s="202">
        <f t="shared" si="3"/>
        <v>62470</v>
      </c>
      <c r="I226" s="205" t="s">
        <v>41</v>
      </c>
      <c r="J226" s="205" t="s">
        <v>29</v>
      </c>
      <c r="K226" s="201" t="s">
        <v>1058</v>
      </c>
      <c r="L226" s="205" t="s">
        <v>1481</v>
      </c>
      <c r="M226" s="201" t="s">
        <v>1030</v>
      </c>
      <c r="N226" s="205" t="s">
        <v>652</v>
      </c>
      <c r="O226" s="205" t="s">
        <v>652</v>
      </c>
      <c r="P226" s="207" t="s">
        <v>742</v>
      </c>
      <c r="Q226" s="208" t="s">
        <v>1482</v>
      </c>
      <c r="R226" s="208" t="s">
        <v>1475</v>
      </c>
    </row>
    <row r="227" spans="1:18" s="205" customFormat="1" x14ac:dyDescent="0.2">
      <c r="A227" s="205" t="s">
        <v>233</v>
      </c>
      <c r="B227" s="205" t="s">
        <v>234</v>
      </c>
      <c r="C227" s="200">
        <v>45393</v>
      </c>
      <c r="D227" s="201" t="s">
        <v>152</v>
      </c>
      <c r="E227" s="206">
        <v>5675</v>
      </c>
      <c r="F227" s="206">
        <v>568</v>
      </c>
      <c r="G227" s="206">
        <v>57</v>
      </c>
      <c r="H227" s="202">
        <f t="shared" si="3"/>
        <v>5164</v>
      </c>
      <c r="I227" s="205" t="s">
        <v>235</v>
      </c>
      <c r="J227" s="205" t="s">
        <v>29</v>
      </c>
      <c r="K227" s="201" t="s">
        <v>1042</v>
      </c>
      <c r="L227" s="205" t="s">
        <v>1483</v>
      </c>
      <c r="M227" s="201" t="s">
        <v>1484</v>
      </c>
      <c r="N227" s="205" t="s">
        <v>1382</v>
      </c>
      <c r="O227" s="205" t="s">
        <v>1382</v>
      </c>
      <c r="P227" s="207" t="s">
        <v>677</v>
      </c>
      <c r="Q227" s="208" t="s">
        <v>678</v>
      </c>
      <c r="R227" s="208" t="s">
        <v>1475</v>
      </c>
    </row>
    <row r="228" spans="1:18" s="205" customFormat="1" x14ac:dyDescent="0.2">
      <c r="A228" s="205" t="s">
        <v>27</v>
      </c>
      <c r="B228" s="205" t="s">
        <v>531</v>
      </c>
      <c r="C228" s="200">
        <v>45393</v>
      </c>
      <c r="D228" s="201" t="s">
        <v>152</v>
      </c>
      <c r="E228" s="206">
        <v>28657</v>
      </c>
      <c r="F228" s="206">
        <v>2866</v>
      </c>
      <c r="G228" s="206">
        <v>287</v>
      </c>
      <c r="H228" s="202">
        <f t="shared" si="3"/>
        <v>26078</v>
      </c>
      <c r="I228" s="205" t="s">
        <v>28</v>
      </c>
      <c r="J228" s="205" t="s">
        <v>29</v>
      </c>
      <c r="K228" s="201" t="s">
        <v>1141</v>
      </c>
      <c r="L228" s="205" t="s">
        <v>1485</v>
      </c>
      <c r="M228" s="201" t="s">
        <v>1030</v>
      </c>
      <c r="N228" s="205" t="s">
        <v>652</v>
      </c>
      <c r="O228" s="205" t="s">
        <v>652</v>
      </c>
      <c r="P228" s="207" t="s">
        <v>764</v>
      </c>
      <c r="Q228" s="208" t="s">
        <v>765</v>
      </c>
      <c r="R228" s="208" t="s">
        <v>1475</v>
      </c>
    </row>
    <row r="229" spans="1:18" s="205" customFormat="1" x14ac:dyDescent="0.2">
      <c r="A229" s="205" t="s">
        <v>558</v>
      </c>
      <c r="B229" s="205" t="s">
        <v>559</v>
      </c>
      <c r="C229" s="200">
        <v>45393</v>
      </c>
      <c r="D229" s="201" t="s">
        <v>152</v>
      </c>
      <c r="E229" s="206">
        <v>34571</v>
      </c>
      <c r="F229" s="206">
        <v>3457</v>
      </c>
      <c r="G229" s="206">
        <v>346</v>
      </c>
      <c r="H229" s="202">
        <f t="shared" si="3"/>
        <v>31460</v>
      </c>
      <c r="I229" s="205" t="s">
        <v>31</v>
      </c>
      <c r="J229" s="205" t="s">
        <v>29</v>
      </c>
      <c r="K229" s="201" t="s">
        <v>1151</v>
      </c>
      <c r="L229" s="205" t="s">
        <v>1486</v>
      </c>
      <c r="M229" s="201" t="s">
        <v>1030</v>
      </c>
      <c r="N229" s="205" t="s">
        <v>1046</v>
      </c>
      <c r="O229" s="205" t="s">
        <v>1047</v>
      </c>
      <c r="P229" s="207" t="s">
        <v>653</v>
      </c>
      <c r="Q229" s="208" t="s">
        <v>654</v>
      </c>
      <c r="R229" s="208" t="s">
        <v>1475</v>
      </c>
    </row>
    <row r="230" spans="1:18" s="205" customFormat="1" x14ac:dyDescent="0.2">
      <c r="A230" s="205" t="s">
        <v>929</v>
      </c>
      <c r="B230" s="205" t="s">
        <v>930</v>
      </c>
      <c r="C230" s="200">
        <v>45393</v>
      </c>
      <c r="D230" s="201" t="s">
        <v>152</v>
      </c>
      <c r="E230" s="206">
        <v>53728</v>
      </c>
      <c r="F230" s="206">
        <v>5373</v>
      </c>
      <c r="G230" s="206">
        <v>537</v>
      </c>
      <c r="H230" s="202">
        <f t="shared" si="3"/>
        <v>48892</v>
      </c>
      <c r="I230" s="205" t="s">
        <v>32</v>
      </c>
      <c r="J230" s="205" t="s">
        <v>29</v>
      </c>
      <c r="K230" s="201" t="s">
        <v>1042</v>
      </c>
      <c r="L230" s="205" t="s">
        <v>1487</v>
      </c>
      <c r="M230" s="201" t="s">
        <v>1030</v>
      </c>
      <c r="N230" s="205" t="s">
        <v>1488</v>
      </c>
      <c r="O230" s="205" t="s">
        <v>1191</v>
      </c>
      <c r="P230" s="207" t="s">
        <v>722</v>
      </c>
      <c r="Q230" s="208" t="s">
        <v>723</v>
      </c>
      <c r="R230" s="208" t="s">
        <v>1475</v>
      </c>
    </row>
    <row r="231" spans="1:18" s="205" customFormat="1" x14ac:dyDescent="0.2">
      <c r="A231" s="205" t="s">
        <v>1489</v>
      </c>
      <c r="B231" s="205" t="s">
        <v>1490</v>
      </c>
      <c r="C231" s="200">
        <v>45393</v>
      </c>
      <c r="D231" s="201" t="s">
        <v>152</v>
      </c>
      <c r="E231" s="206">
        <v>121202</v>
      </c>
      <c r="F231" s="206">
        <v>12120</v>
      </c>
      <c r="G231" s="206">
        <v>606</v>
      </c>
      <c r="H231" s="202">
        <f t="shared" si="3"/>
        <v>109688</v>
      </c>
      <c r="I231" s="205" t="s">
        <v>86</v>
      </c>
      <c r="J231" s="205" t="s">
        <v>23</v>
      </c>
      <c r="K231" s="201" t="s">
        <v>1058</v>
      </c>
      <c r="L231" s="205" t="s">
        <v>1491</v>
      </c>
      <c r="M231" s="201" t="s">
        <v>1030</v>
      </c>
      <c r="N231" s="205" t="s">
        <v>652</v>
      </c>
      <c r="O231" s="205" t="s">
        <v>652</v>
      </c>
      <c r="P231" s="207" t="s">
        <v>1086</v>
      </c>
      <c r="Q231" s="208" t="s">
        <v>1360</v>
      </c>
      <c r="R231" s="208" t="s">
        <v>1475</v>
      </c>
    </row>
    <row r="232" spans="1:18" s="205" customFormat="1" x14ac:dyDescent="0.2">
      <c r="A232" s="205" t="s">
        <v>1492</v>
      </c>
      <c r="B232" s="205" t="s">
        <v>1493</v>
      </c>
      <c r="C232" s="200">
        <v>45393</v>
      </c>
      <c r="D232" s="201" t="s">
        <v>152</v>
      </c>
      <c r="E232" s="206">
        <v>62645</v>
      </c>
      <c r="F232" s="206">
        <v>6265</v>
      </c>
      <c r="G232" s="206">
        <v>313</v>
      </c>
      <c r="H232" s="202">
        <f t="shared" si="3"/>
        <v>56693</v>
      </c>
      <c r="I232" s="205" t="s">
        <v>103</v>
      </c>
      <c r="J232" s="205" t="s">
        <v>23</v>
      </c>
      <c r="K232" s="201" t="s">
        <v>1028</v>
      </c>
      <c r="L232" s="205" t="s">
        <v>1494</v>
      </c>
      <c r="M232" s="201" t="s">
        <v>1072</v>
      </c>
      <c r="N232" s="205" t="s">
        <v>652</v>
      </c>
      <c r="O232" s="205" t="s">
        <v>652</v>
      </c>
      <c r="P232" s="207" t="s">
        <v>832</v>
      </c>
      <c r="Q232" s="208" t="s">
        <v>1495</v>
      </c>
      <c r="R232" s="208" t="s">
        <v>1475</v>
      </c>
    </row>
    <row r="233" spans="1:18" s="205" customFormat="1" x14ac:dyDescent="0.2">
      <c r="A233" s="205" t="s">
        <v>1496</v>
      </c>
      <c r="B233" s="205" t="s">
        <v>1497</v>
      </c>
      <c r="C233" s="200">
        <v>45393</v>
      </c>
      <c r="D233" s="201" t="s">
        <v>152</v>
      </c>
      <c r="E233" s="206">
        <v>186992</v>
      </c>
      <c r="F233" s="206">
        <v>18699</v>
      </c>
      <c r="G233" s="206">
        <v>935</v>
      </c>
      <c r="H233" s="202">
        <f t="shared" si="3"/>
        <v>169228</v>
      </c>
      <c r="I233" s="205" t="s">
        <v>44</v>
      </c>
      <c r="J233" s="205" t="s">
        <v>23</v>
      </c>
      <c r="K233" s="201" t="s">
        <v>1028</v>
      </c>
      <c r="L233" s="205" t="s">
        <v>1498</v>
      </c>
      <c r="M233" s="201" t="s">
        <v>1030</v>
      </c>
      <c r="N233" s="205" t="s">
        <v>652</v>
      </c>
      <c r="O233" s="205" t="s">
        <v>652</v>
      </c>
      <c r="P233" s="207" t="s">
        <v>987</v>
      </c>
      <c r="Q233" s="208" t="s">
        <v>988</v>
      </c>
      <c r="R233" s="208" t="s">
        <v>1475</v>
      </c>
    </row>
    <row r="234" spans="1:18" s="205" customFormat="1" x14ac:dyDescent="0.2">
      <c r="A234" s="205" t="s">
        <v>105</v>
      </c>
      <c r="B234" s="205" t="s">
        <v>620</v>
      </c>
      <c r="C234" s="200">
        <v>45393</v>
      </c>
      <c r="D234" s="201" t="s">
        <v>152</v>
      </c>
      <c r="E234" s="206">
        <v>19423</v>
      </c>
      <c r="F234" s="206">
        <v>1942</v>
      </c>
      <c r="G234" s="206">
        <v>97</v>
      </c>
      <c r="H234" s="202">
        <f t="shared" si="3"/>
        <v>17578</v>
      </c>
      <c r="I234" s="205" t="s">
        <v>44</v>
      </c>
      <c r="J234" s="205" t="s">
        <v>23</v>
      </c>
      <c r="K234" s="201" t="s">
        <v>1042</v>
      </c>
      <c r="L234" s="205" t="s">
        <v>1499</v>
      </c>
      <c r="M234" s="201" t="s">
        <v>1030</v>
      </c>
      <c r="N234" s="205" t="s">
        <v>652</v>
      </c>
      <c r="O234" s="205" t="s">
        <v>652</v>
      </c>
      <c r="P234" s="207" t="s">
        <v>653</v>
      </c>
      <c r="Q234" s="208" t="s">
        <v>654</v>
      </c>
      <c r="R234" s="208" t="s">
        <v>1475</v>
      </c>
    </row>
    <row r="235" spans="1:18" s="205" customFormat="1" x14ac:dyDescent="0.2">
      <c r="A235" s="205" t="s">
        <v>140</v>
      </c>
      <c r="B235" s="205" t="s">
        <v>388</v>
      </c>
      <c r="C235" s="200">
        <v>45393</v>
      </c>
      <c r="D235" s="201" t="s">
        <v>152</v>
      </c>
      <c r="E235" s="206">
        <v>11678</v>
      </c>
      <c r="F235" s="206">
        <v>1168</v>
      </c>
      <c r="G235" s="206">
        <v>58</v>
      </c>
      <c r="H235" s="202">
        <f t="shared" si="3"/>
        <v>10568</v>
      </c>
      <c r="I235" s="205" t="s">
        <v>38</v>
      </c>
      <c r="J235" s="205" t="s">
        <v>23</v>
      </c>
      <c r="K235" s="201" t="s">
        <v>1042</v>
      </c>
      <c r="L235" s="205" t="s">
        <v>1500</v>
      </c>
      <c r="M235" s="201" t="s">
        <v>1030</v>
      </c>
      <c r="N235" s="205" t="s">
        <v>652</v>
      </c>
      <c r="O235" s="205" t="s">
        <v>652</v>
      </c>
      <c r="P235" s="207" t="s">
        <v>696</v>
      </c>
      <c r="Q235" s="208" t="s">
        <v>697</v>
      </c>
      <c r="R235" s="208" t="s">
        <v>1475</v>
      </c>
    </row>
    <row r="236" spans="1:18" s="205" customFormat="1" x14ac:dyDescent="0.2">
      <c r="A236" s="205" t="s">
        <v>368</v>
      </c>
      <c r="B236" s="205" t="s">
        <v>1501</v>
      </c>
      <c r="C236" s="200">
        <v>45393</v>
      </c>
      <c r="D236" s="201" t="s">
        <v>152</v>
      </c>
      <c r="E236" s="206">
        <v>12622</v>
      </c>
      <c r="F236" s="206">
        <v>1262</v>
      </c>
      <c r="G236" s="206">
        <v>63</v>
      </c>
      <c r="H236" s="202">
        <f t="shared" si="3"/>
        <v>11423</v>
      </c>
      <c r="I236" s="205" t="s">
        <v>292</v>
      </c>
      <c r="J236" s="205" t="s">
        <v>23</v>
      </c>
      <c r="K236" s="201" t="s">
        <v>1042</v>
      </c>
      <c r="L236" s="205" t="s">
        <v>1502</v>
      </c>
      <c r="M236" s="201" t="s">
        <v>1030</v>
      </c>
      <c r="N236" s="205" t="s">
        <v>652</v>
      </c>
      <c r="O236" s="205" t="s">
        <v>652</v>
      </c>
      <c r="P236" s="207" t="s">
        <v>498</v>
      </c>
      <c r="Q236" s="208" t="s">
        <v>828</v>
      </c>
      <c r="R236" s="208" t="s">
        <v>1475</v>
      </c>
    </row>
    <row r="237" spans="1:18" s="205" customFormat="1" x14ac:dyDescent="0.2">
      <c r="A237" s="205" t="s">
        <v>219</v>
      </c>
      <c r="B237" s="205" t="s">
        <v>751</v>
      </c>
      <c r="C237" s="200">
        <v>45393</v>
      </c>
      <c r="D237" s="201" t="s">
        <v>152</v>
      </c>
      <c r="E237" s="206">
        <v>12484</v>
      </c>
      <c r="F237" s="206">
        <v>1248</v>
      </c>
      <c r="G237" s="206">
        <v>62</v>
      </c>
      <c r="H237" s="202">
        <f t="shared" si="3"/>
        <v>11298</v>
      </c>
      <c r="I237" s="205" t="s">
        <v>33</v>
      </c>
      <c r="J237" s="205" t="s">
        <v>23</v>
      </c>
      <c r="K237" s="201" t="s">
        <v>1141</v>
      </c>
      <c r="L237" s="205" t="s">
        <v>1503</v>
      </c>
      <c r="M237" s="201" t="s">
        <v>1030</v>
      </c>
      <c r="N237" s="205" t="s">
        <v>652</v>
      </c>
      <c r="O237" s="205" t="s">
        <v>652</v>
      </c>
      <c r="P237" s="207" t="s">
        <v>660</v>
      </c>
      <c r="Q237" s="208" t="s">
        <v>735</v>
      </c>
      <c r="R237" s="208" t="s">
        <v>1475</v>
      </c>
    </row>
    <row r="238" spans="1:18" s="205" customFormat="1" x14ac:dyDescent="0.2">
      <c r="A238" s="205" t="s">
        <v>218</v>
      </c>
      <c r="B238" s="205" t="s">
        <v>1263</v>
      </c>
      <c r="C238" s="200">
        <v>45393</v>
      </c>
      <c r="D238" s="201" t="s">
        <v>152</v>
      </c>
      <c r="E238" s="206">
        <v>3000</v>
      </c>
      <c r="F238" s="206">
        <v>300</v>
      </c>
      <c r="G238" s="206">
        <v>15</v>
      </c>
      <c r="H238" s="202">
        <f t="shared" si="3"/>
        <v>2715</v>
      </c>
      <c r="I238" s="205" t="s">
        <v>54</v>
      </c>
      <c r="J238" s="205" t="s">
        <v>23</v>
      </c>
      <c r="K238" s="201" t="s">
        <v>1042</v>
      </c>
      <c r="L238" s="205" t="s">
        <v>1504</v>
      </c>
      <c r="M238" s="201" t="s">
        <v>1030</v>
      </c>
      <c r="N238" s="205" t="s">
        <v>652</v>
      </c>
      <c r="O238" s="205" t="s">
        <v>652</v>
      </c>
      <c r="P238" s="207" t="s">
        <v>1265</v>
      </c>
      <c r="Q238" s="208" t="s">
        <v>1266</v>
      </c>
      <c r="R238" s="208" t="s">
        <v>1475</v>
      </c>
    </row>
    <row r="239" spans="1:18" s="205" customFormat="1" x14ac:dyDescent="0.2">
      <c r="A239" s="205" t="s">
        <v>106</v>
      </c>
      <c r="B239" s="205" t="s">
        <v>411</v>
      </c>
      <c r="C239" s="200">
        <v>45393</v>
      </c>
      <c r="D239" s="201" t="s">
        <v>152</v>
      </c>
      <c r="E239" s="206">
        <v>14976</v>
      </c>
      <c r="F239" s="206">
        <v>1498</v>
      </c>
      <c r="G239" s="206">
        <v>75</v>
      </c>
      <c r="H239" s="202">
        <f t="shared" si="3"/>
        <v>13553</v>
      </c>
      <c r="I239" s="205" t="s">
        <v>38</v>
      </c>
      <c r="J239" s="205" t="s">
        <v>23</v>
      </c>
      <c r="K239" s="201" t="s">
        <v>1042</v>
      </c>
      <c r="L239" s="205" t="s">
        <v>1505</v>
      </c>
      <c r="M239" s="201" t="s">
        <v>1030</v>
      </c>
      <c r="N239" s="205" t="s">
        <v>652</v>
      </c>
      <c r="O239" s="205" t="s">
        <v>652</v>
      </c>
      <c r="P239" s="207" t="s">
        <v>692</v>
      </c>
      <c r="Q239" s="208" t="s">
        <v>693</v>
      </c>
      <c r="R239" s="208" t="s">
        <v>1475</v>
      </c>
    </row>
    <row r="240" spans="1:18" s="205" customFormat="1" x14ac:dyDescent="0.2">
      <c r="A240" s="205" t="s">
        <v>79</v>
      </c>
      <c r="B240" s="205" t="s">
        <v>535</v>
      </c>
      <c r="C240" s="200">
        <v>45393</v>
      </c>
      <c r="D240" s="201" t="s">
        <v>152</v>
      </c>
      <c r="E240" s="206">
        <v>56008</v>
      </c>
      <c r="F240" s="206">
        <v>5601</v>
      </c>
      <c r="G240" s="206">
        <v>280</v>
      </c>
      <c r="H240" s="202">
        <f t="shared" si="3"/>
        <v>50687</v>
      </c>
      <c r="I240" s="205" t="s">
        <v>22</v>
      </c>
      <c r="J240" s="205" t="s">
        <v>23</v>
      </c>
      <c r="K240" s="201" t="s">
        <v>1042</v>
      </c>
      <c r="L240" s="205" t="s">
        <v>1506</v>
      </c>
      <c r="M240" s="201" t="s">
        <v>1030</v>
      </c>
      <c r="N240" s="205" t="s">
        <v>652</v>
      </c>
      <c r="O240" s="205" t="s">
        <v>652</v>
      </c>
      <c r="P240" s="215" t="s">
        <v>674</v>
      </c>
      <c r="Q240" s="216" t="s">
        <v>675</v>
      </c>
      <c r="R240" s="208" t="s">
        <v>1475</v>
      </c>
    </row>
    <row r="241" spans="1:18" s="205" customFormat="1" x14ac:dyDescent="0.2">
      <c r="A241" s="205" t="s">
        <v>63</v>
      </c>
      <c r="B241" s="205" t="s">
        <v>555</v>
      </c>
      <c r="C241" s="200">
        <v>45393</v>
      </c>
      <c r="D241" s="201" t="s">
        <v>152</v>
      </c>
      <c r="E241" s="206">
        <v>1810366</v>
      </c>
      <c r="F241" s="206">
        <v>181037</v>
      </c>
      <c r="G241" s="206">
        <v>9052</v>
      </c>
      <c r="H241" s="202">
        <f t="shared" si="3"/>
        <v>1638381</v>
      </c>
      <c r="I241" s="205" t="s">
        <v>22</v>
      </c>
      <c r="J241" s="205" t="s">
        <v>23</v>
      </c>
      <c r="K241" s="201" t="s">
        <v>1042</v>
      </c>
      <c r="L241" s="205" t="s">
        <v>1507</v>
      </c>
      <c r="M241" s="201" t="s">
        <v>1030</v>
      </c>
      <c r="N241" s="205" t="s">
        <v>652</v>
      </c>
      <c r="O241" s="205" t="s">
        <v>652</v>
      </c>
      <c r="P241" s="207" t="s">
        <v>858</v>
      </c>
      <c r="Q241" s="208" t="s">
        <v>859</v>
      </c>
      <c r="R241" s="208" t="s">
        <v>1475</v>
      </c>
    </row>
    <row r="242" spans="1:18" s="205" customFormat="1" x14ac:dyDescent="0.2">
      <c r="A242" s="205" t="s">
        <v>835</v>
      </c>
      <c r="B242" s="205" t="s">
        <v>836</v>
      </c>
      <c r="C242" s="200">
        <v>45393</v>
      </c>
      <c r="D242" s="199" t="s">
        <v>166</v>
      </c>
      <c r="E242" s="206">
        <v>-55034</v>
      </c>
      <c r="F242" s="206">
        <v>-5503</v>
      </c>
      <c r="G242" s="206">
        <v>-275</v>
      </c>
      <c r="H242" s="202">
        <f t="shared" si="3"/>
        <v>-49806</v>
      </c>
      <c r="I242" s="205" t="s">
        <v>22</v>
      </c>
      <c r="J242" s="205" t="s">
        <v>23</v>
      </c>
      <c r="K242" s="201" t="s">
        <v>1068</v>
      </c>
      <c r="L242" s="205" t="s">
        <v>1508</v>
      </c>
      <c r="M242" s="201" t="s">
        <v>1030</v>
      </c>
      <c r="N242" s="205" t="s">
        <v>652</v>
      </c>
      <c r="O242" s="205" t="s">
        <v>652</v>
      </c>
      <c r="P242" s="207" t="s">
        <v>651</v>
      </c>
      <c r="Q242" s="208" t="s">
        <v>673</v>
      </c>
      <c r="R242" s="208" t="s">
        <v>1475</v>
      </c>
    </row>
    <row r="243" spans="1:18" s="205" customFormat="1" x14ac:dyDescent="0.2">
      <c r="A243" s="205" t="s">
        <v>194</v>
      </c>
      <c r="B243" s="205" t="s">
        <v>548</v>
      </c>
      <c r="C243" s="200">
        <v>45393</v>
      </c>
      <c r="D243" s="199" t="s">
        <v>166</v>
      </c>
      <c r="E243" s="206">
        <v>-74937</v>
      </c>
      <c r="F243" s="206">
        <v>-7494</v>
      </c>
      <c r="G243" s="206">
        <v>-375</v>
      </c>
      <c r="H243" s="202">
        <f t="shared" si="3"/>
        <v>-67818</v>
      </c>
      <c r="I243" s="205" t="s">
        <v>52</v>
      </c>
      <c r="J243" s="205" t="s">
        <v>23</v>
      </c>
      <c r="K243" s="201" t="s">
        <v>1068</v>
      </c>
      <c r="L243" s="205" t="s">
        <v>1509</v>
      </c>
      <c r="M243" s="201" t="s">
        <v>1030</v>
      </c>
      <c r="N243" s="205" t="s">
        <v>652</v>
      </c>
      <c r="O243" s="205" t="s">
        <v>652</v>
      </c>
      <c r="P243" s="207" t="s">
        <v>837</v>
      </c>
      <c r="Q243" s="208" t="s">
        <v>838</v>
      </c>
      <c r="R243" s="208" t="s">
        <v>1475</v>
      </c>
    </row>
    <row r="244" spans="1:18" s="205" customFormat="1" x14ac:dyDescent="0.2">
      <c r="A244" s="205" t="s">
        <v>221</v>
      </c>
      <c r="B244" s="205" t="s">
        <v>1062</v>
      </c>
      <c r="C244" s="200">
        <v>45393</v>
      </c>
      <c r="D244" s="199" t="s">
        <v>166</v>
      </c>
      <c r="E244" s="206">
        <v>-75537</v>
      </c>
      <c r="F244" s="206">
        <v>-7554</v>
      </c>
      <c r="G244" s="206">
        <v>-378</v>
      </c>
      <c r="H244" s="202">
        <f t="shared" si="3"/>
        <v>-68361</v>
      </c>
      <c r="I244" s="205" t="s">
        <v>224</v>
      </c>
      <c r="J244" s="205" t="s">
        <v>23</v>
      </c>
      <c r="K244" s="201" t="s">
        <v>1151</v>
      </c>
      <c r="L244" s="205" t="s">
        <v>1510</v>
      </c>
      <c r="M244" s="201" t="s">
        <v>1030</v>
      </c>
      <c r="N244" s="205" t="s">
        <v>652</v>
      </c>
      <c r="O244" s="205" t="s">
        <v>652</v>
      </c>
      <c r="P244" s="207" t="s">
        <v>987</v>
      </c>
      <c r="Q244" s="208" t="s">
        <v>988</v>
      </c>
      <c r="R244" s="208" t="s">
        <v>1475</v>
      </c>
    </row>
    <row r="245" spans="1:18" s="205" customFormat="1" x14ac:dyDescent="0.2">
      <c r="A245" s="205" t="s">
        <v>995</v>
      </c>
      <c r="B245" s="205" t="s">
        <v>1122</v>
      </c>
      <c r="C245" s="200">
        <v>45393</v>
      </c>
      <c r="D245" s="199" t="s">
        <v>166</v>
      </c>
      <c r="E245" s="206">
        <v>-189410</v>
      </c>
      <c r="F245" s="206">
        <v>-18941</v>
      </c>
      <c r="G245" s="206">
        <v>-947</v>
      </c>
      <c r="H245" s="202">
        <f t="shared" si="3"/>
        <v>-171416</v>
      </c>
      <c r="I245" s="205" t="s">
        <v>54</v>
      </c>
      <c r="J245" s="205" t="s">
        <v>23</v>
      </c>
      <c r="K245" s="201" t="s">
        <v>1068</v>
      </c>
      <c r="L245" s="205" t="s">
        <v>1511</v>
      </c>
      <c r="M245" s="201" t="s">
        <v>1030</v>
      </c>
      <c r="N245" s="205" t="s">
        <v>652</v>
      </c>
      <c r="O245" s="205" t="s">
        <v>652</v>
      </c>
      <c r="P245" s="207" t="s">
        <v>987</v>
      </c>
      <c r="Q245" s="208" t="s">
        <v>988</v>
      </c>
      <c r="R245" s="208" t="s">
        <v>1475</v>
      </c>
    </row>
    <row r="246" spans="1:18" s="205" customFormat="1" x14ac:dyDescent="0.2">
      <c r="A246" s="205" t="s">
        <v>164</v>
      </c>
      <c r="B246" s="205" t="s">
        <v>301</v>
      </c>
      <c r="C246" s="200">
        <v>45393</v>
      </c>
      <c r="D246" s="201" t="s">
        <v>152</v>
      </c>
      <c r="E246" s="206">
        <v>20556</v>
      </c>
      <c r="F246" s="206">
        <v>0</v>
      </c>
      <c r="G246" s="206">
        <v>0</v>
      </c>
      <c r="H246" s="202">
        <f t="shared" si="3"/>
        <v>20556</v>
      </c>
      <c r="I246" s="205" t="s">
        <v>25</v>
      </c>
      <c r="J246" s="205" t="s">
        <v>214</v>
      </c>
      <c r="K246" s="201" t="s">
        <v>1042</v>
      </c>
      <c r="L246" s="205" t="s">
        <v>1512</v>
      </c>
      <c r="M246" s="201" t="s">
        <v>1030</v>
      </c>
      <c r="N246" s="205" t="s">
        <v>652</v>
      </c>
      <c r="O246" s="205" t="s">
        <v>652</v>
      </c>
      <c r="P246" s="207" t="s">
        <v>491</v>
      </c>
      <c r="Q246" s="208" t="s">
        <v>884</v>
      </c>
      <c r="R246" s="208" t="s">
        <v>1475</v>
      </c>
    </row>
    <row r="247" spans="1:18" s="205" customFormat="1" x14ac:dyDescent="0.2">
      <c r="A247" s="205" t="s">
        <v>155</v>
      </c>
      <c r="B247" s="205" t="s">
        <v>547</v>
      </c>
      <c r="C247" s="200">
        <v>45393</v>
      </c>
      <c r="D247" s="201" t="s">
        <v>152</v>
      </c>
      <c r="E247" s="206">
        <v>90552</v>
      </c>
      <c r="F247" s="206">
        <v>0</v>
      </c>
      <c r="G247" s="206">
        <v>0</v>
      </c>
      <c r="H247" s="202">
        <f t="shared" si="3"/>
        <v>90552</v>
      </c>
      <c r="I247" s="205" t="s">
        <v>25</v>
      </c>
      <c r="J247" s="205" t="s">
        <v>214</v>
      </c>
      <c r="K247" s="201" t="s">
        <v>1042</v>
      </c>
      <c r="L247" s="205" t="s">
        <v>1513</v>
      </c>
      <c r="M247" s="201" t="s">
        <v>1030</v>
      </c>
      <c r="N247" s="205" t="s">
        <v>652</v>
      </c>
      <c r="O247" s="205" t="s">
        <v>652</v>
      </c>
      <c r="P247" s="207" t="s">
        <v>801</v>
      </c>
      <c r="Q247" s="208" t="s">
        <v>802</v>
      </c>
      <c r="R247" s="208" t="s">
        <v>1475</v>
      </c>
    </row>
    <row r="248" spans="1:18" s="205" customFormat="1" x14ac:dyDescent="0.2">
      <c r="A248" s="205" t="s">
        <v>35</v>
      </c>
      <c r="B248" s="205" t="s">
        <v>351</v>
      </c>
      <c r="C248" s="200">
        <v>45393</v>
      </c>
      <c r="D248" s="201" t="s">
        <v>152</v>
      </c>
      <c r="E248" s="206">
        <v>14800</v>
      </c>
      <c r="F248" s="206">
        <v>0</v>
      </c>
      <c r="G248" s="206">
        <v>0</v>
      </c>
      <c r="H248" s="202">
        <f t="shared" si="3"/>
        <v>14800</v>
      </c>
      <c r="I248" s="205" t="s">
        <v>25</v>
      </c>
      <c r="J248" s="205" t="s">
        <v>214</v>
      </c>
      <c r="K248" s="201" t="s">
        <v>1042</v>
      </c>
      <c r="L248" s="205" t="s">
        <v>1514</v>
      </c>
      <c r="M248" s="201" t="s">
        <v>1030</v>
      </c>
      <c r="N248" s="205" t="s">
        <v>652</v>
      </c>
      <c r="O248" s="205" t="s">
        <v>652</v>
      </c>
      <c r="P248" s="207" t="s">
        <v>771</v>
      </c>
      <c r="Q248" s="208" t="s">
        <v>772</v>
      </c>
      <c r="R248" s="208" t="s">
        <v>1475</v>
      </c>
    </row>
    <row r="249" spans="1:18" s="205" customFormat="1" x14ac:dyDescent="0.2">
      <c r="A249" s="205" t="s">
        <v>60</v>
      </c>
      <c r="B249" s="205" t="s">
        <v>541</v>
      </c>
      <c r="C249" s="200">
        <v>45393</v>
      </c>
      <c r="D249" s="201" t="s">
        <v>152</v>
      </c>
      <c r="E249" s="206">
        <v>31504</v>
      </c>
      <c r="F249" s="206">
        <v>0</v>
      </c>
      <c r="G249" s="206">
        <v>0</v>
      </c>
      <c r="H249" s="202">
        <f t="shared" si="3"/>
        <v>31504</v>
      </c>
      <c r="I249" s="205" t="s">
        <v>25</v>
      </c>
      <c r="J249" s="205" t="s">
        <v>214</v>
      </c>
      <c r="K249" s="201" t="s">
        <v>1042</v>
      </c>
      <c r="L249" s="205" t="s">
        <v>1515</v>
      </c>
      <c r="M249" s="201" t="s">
        <v>1030</v>
      </c>
      <c r="N249" s="205" t="s">
        <v>652</v>
      </c>
      <c r="O249" s="205" t="s">
        <v>652</v>
      </c>
      <c r="P249" s="207" t="s">
        <v>688</v>
      </c>
      <c r="Q249" s="208" t="s">
        <v>689</v>
      </c>
      <c r="R249" s="208" t="s">
        <v>1475</v>
      </c>
    </row>
    <row r="250" spans="1:18" s="205" customFormat="1" x14ac:dyDescent="0.2">
      <c r="A250" s="205" t="s">
        <v>1516</v>
      </c>
      <c r="B250" s="205" t="s">
        <v>1517</v>
      </c>
      <c r="C250" s="200">
        <v>45393</v>
      </c>
      <c r="D250" s="201" t="s">
        <v>152</v>
      </c>
      <c r="E250" s="206">
        <v>68648</v>
      </c>
      <c r="F250" s="206">
        <v>0</v>
      </c>
      <c r="G250" s="206">
        <v>0</v>
      </c>
      <c r="H250" s="202">
        <f t="shared" si="3"/>
        <v>68648</v>
      </c>
      <c r="I250" s="205" t="s">
        <v>25</v>
      </c>
      <c r="J250" s="205" t="s">
        <v>214</v>
      </c>
      <c r="K250" s="201" t="s">
        <v>1058</v>
      </c>
      <c r="L250" s="205" t="s">
        <v>1518</v>
      </c>
      <c r="M250" s="201" t="s">
        <v>1030</v>
      </c>
      <c r="N250" s="205" t="s">
        <v>652</v>
      </c>
      <c r="O250" s="205" t="s">
        <v>652</v>
      </c>
      <c r="P250" s="207" t="s">
        <v>1037</v>
      </c>
      <c r="Q250" s="208" t="s">
        <v>1400</v>
      </c>
      <c r="R250" s="208" t="s">
        <v>1475</v>
      </c>
    </row>
    <row r="251" spans="1:18" s="205" customFormat="1" x14ac:dyDescent="0.2">
      <c r="A251" s="205" t="s">
        <v>1519</v>
      </c>
      <c r="B251" s="205" t="s">
        <v>1520</v>
      </c>
      <c r="C251" s="200">
        <v>45393</v>
      </c>
      <c r="D251" s="201" t="s">
        <v>152</v>
      </c>
      <c r="E251" s="206">
        <v>31943</v>
      </c>
      <c r="F251" s="206">
        <v>0</v>
      </c>
      <c r="G251" s="206">
        <v>0</v>
      </c>
      <c r="H251" s="202">
        <f t="shared" si="3"/>
        <v>31943</v>
      </c>
      <c r="I251" s="205" t="s">
        <v>25</v>
      </c>
      <c r="J251" s="205" t="s">
        <v>214</v>
      </c>
      <c r="K251" s="201" t="s">
        <v>1058</v>
      </c>
      <c r="L251" s="205" t="s">
        <v>1521</v>
      </c>
      <c r="M251" s="201" t="s">
        <v>1030</v>
      </c>
      <c r="N251" s="205" t="s">
        <v>652</v>
      </c>
      <c r="O251" s="205" t="s">
        <v>652</v>
      </c>
      <c r="P251" s="207" t="s">
        <v>1037</v>
      </c>
      <c r="Q251" s="208" t="s">
        <v>1400</v>
      </c>
      <c r="R251" s="208" t="s">
        <v>1475</v>
      </c>
    </row>
    <row r="252" spans="1:18" s="205" customFormat="1" x14ac:dyDescent="0.2">
      <c r="A252" s="205" t="s">
        <v>1522</v>
      </c>
      <c r="B252" s="205" t="s">
        <v>1523</v>
      </c>
      <c r="C252" s="200">
        <v>45394</v>
      </c>
      <c r="D252" s="201" t="s">
        <v>152</v>
      </c>
      <c r="E252" s="206">
        <v>198598</v>
      </c>
      <c r="F252" s="206">
        <v>19860</v>
      </c>
      <c r="G252" s="206">
        <v>1986</v>
      </c>
      <c r="H252" s="202">
        <f t="shared" si="3"/>
        <v>180724</v>
      </c>
      <c r="I252" s="205" t="s">
        <v>32</v>
      </c>
      <c r="J252" s="205" t="s">
        <v>29</v>
      </c>
      <c r="K252" s="201" t="s">
        <v>1028</v>
      </c>
      <c r="L252" s="205" t="s">
        <v>1524</v>
      </c>
      <c r="M252" s="201" t="s">
        <v>1030</v>
      </c>
      <c r="N252" s="205" t="s">
        <v>652</v>
      </c>
      <c r="O252" s="205" t="s">
        <v>652</v>
      </c>
      <c r="P252" s="207" t="s">
        <v>987</v>
      </c>
      <c r="Q252" s="208" t="s">
        <v>988</v>
      </c>
      <c r="R252" s="208" t="s">
        <v>832</v>
      </c>
    </row>
    <row r="253" spans="1:18" s="205" customFormat="1" x14ac:dyDescent="0.2">
      <c r="A253" s="205" t="s">
        <v>117</v>
      </c>
      <c r="B253" s="205" t="s">
        <v>1525</v>
      </c>
      <c r="C253" s="200">
        <v>45394</v>
      </c>
      <c r="D253" s="201" t="s">
        <v>152</v>
      </c>
      <c r="E253" s="206">
        <v>8269357</v>
      </c>
      <c r="F253" s="206">
        <v>826935</v>
      </c>
      <c r="G253" s="206">
        <v>82694</v>
      </c>
      <c r="H253" s="202">
        <f t="shared" si="3"/>
        <v>7525116</v>
      </c>
      <c r="I253" s="205" t="s">
        <v>90</v>
      </c>
      <c r="J253" s="205" t="s">
        <v>29</v>
      </c>
      <c r="K253" s="201" t="s">
        <v>1028</v>
      </c>
      <c r="L253" s="205" t="s">
        <v>1526</v>
      </c>
      <c r="M253" s="201" t="s">
        <v>1030</v>
      </c>
      <c r="N253" s="205" t="s">
        <v>652</v>
      </c>
      <c r="O253" s="205" t="s">
        <v>652</v>
      </c>
      <c r="P253" s="207" t="s">
        <v>990</v>
      </c>
      <c r="Q253" s="208" t="s">
        <v>991</v>
      </c>
      <c r="R253" s="208" t="s">
        <v>832</v>
      </c>
    </row>
    <row r="254" spans="1:18" s="205" customFormat="1" x14ac:dyDescent="0.2">
      <c r="A254" s="205" t="s">
        <v>1527</v>
      </c>
      <c r="B254" s="205" t="s">
        <v>553</v>
      </c>
      <c r="C254" s="200">
        <v>45394</v>
      </c>
      <c r="D254" s="201" t="s">
        <v>152</v>
      </c>
      <c r="E254" s="206">
        <v>75444</v>
      </c>
      <c r="F254" s="206">
        <v>7544</v>
      </c>
      <c r="G254" s="206">
        <v>754</v>
      </c>
      <c r="H254" s="202">
        <f t="shared" si="3"/>
        <v>68654</v>
      </c>
      <c r="I254" s="205" t="s">
        <v>95</v>
      </c>
      <c r="J254" s="205" t="s">
        <v>29</v>
      </c>
      <c r="K254" s="201" t="s">
        <v>1058</v>
      </c>
      <c r="L254" s="205" t="s">
        <v>1528</v>
      </c>
      <c r="M254" s="201" t="s">
        <v>1030</v>
      </c>
      <c r="N254" s="205" t="s">
        <v>652</v>
      </c>
      <c r="O254" s="205" t="s">
        <v>652</v>
      </c>
      <c r="P254" s="207" t="s">
        <v>987</v>
      </c>
      <c r="Q254" s="208" t="s">
        <v>988</v>
      </c>
      <c r="R254" s="208" t="s">
        <v>832</v>
      </c>
    </row>
    <row r="255" spans="1:18" s="205" customFormat="1" x14ac:dyDescent="0.2">
      <c r="A255" s="205" t="s">
        <v>45</v>
      </c>
      <c r="B255" s="205" t="s">
        <v>527</v>
      </c>
      <c r="C255" s="200">
        <v>45394</v>
      </c>
      <c r="D255" s="201" t="s">
        <v>152</v>
      </c>
      <c r="E255" s="206">
        <v>21377</v>
      </c>
      <c r="F255" s="206">
        <v>2138</v>
      </c>
      <c r="G255" s="206">
        <v>214</v>
      </c>
      <c r="H255" s="202">
        <f t="shared" si="3"/>
        <v>19453</v>
      </c>
      <c r="I255" s="205" t="s">
        <v>28</v>
      </c>
      <c r="J255" s="205" t="s">
        <v>29</v>
      </c>
      <c r="K255" s="201" t="s">
        <v>1042</v>
      </c>
      <c r="L255" s="205" t="s">
        <v>1529</v>
      </c>
      <c r="M255" s="201" t="s">
        <v>1030</v>
      </c>
      <c r="N255" s="205" t="s">
        <v>652</v>
      </c>
      <c r="O255" s="205" t="s">
        <v>652</v>
      </c>
      <c r="P255" s="207" t="s">
        <v>718</v>
      </c>
      <c r="Q255" s="208" t="s">
        <v>719</v>
      </c>
      <c r="R255" s="208" t="s">
        <v>832</v>
      </c>
    </row>
    <row r="256" spans="1:18" s="205" customFormat="1" x14ac:dyDescent="0.2">
      <c r="A256" s="205" t="s">
        <v>102</v>
      </c>
      <c r="B256" s="205" t="s">
        <v>297</v>
      </c>
      <c r="C256" s="200">
        <v>45394</v>
      </c>
      <c r="D256" s="201" t="s">
        <v>152</v>
      </c>
      <c r="E256" s="206">
        <v>3809</v>
      </c>
      <c r="F256" s="206">
        <v>381</v>
      </c>
      <c r="G256" s="206">
        <v>38</v>
      </c>
      <c r="H256" s="202">
        <f t="shared" si="3"/>
        <v>3466</v>
      </c>
      <c r="I256" s="205" t="s">
        <v>31</v>
      </c>
      <c r="J256" s="205" t="s">
        <v>29</v>
      </c>
      <c r="K256" s="201" t="s">
        <v>1042</v>
      </c>
      <c r="L256" s="205" t="s">
        <v>1530</v>
      </c>
      <c r="M256" s="201" t="s">
        <v>1030</v>
      </c>
      <c r="N256" s="205" t="s">
        <v>652</v>
      </c>
      <c r="O256" s="205" t="s">
        <v>652</v>
      </c>
      <c r="P256" s="207" t="s">
        <v>724</v>
      </c>
      <c r="Q256" s="208" t="s">
        <v>725</v>
      </c>
      <c r="R256" s="208" t="s">
        <v>832</v>
      </c>
    </row>
    <row r="257" spans="1:18" s="205" customFormat="1" x14ac:dyDescent="0.2">
      <c r="A257" s="205" t="s">
        <v>30</v>
      </c>
      <c r="B257" s="205" t="s">
        <v>1531</v>
      </c>
      <c r="C257" s="200">
        <v>45394</v>
      </c>
      <c r="D257" s="201" t="s">
        <v>152</v>
      </c>
      <c r="E257" s="206">
        <v>39347</v>
      </c>
      <c r="F257" s="206">
        <v>3935</v>
      </c>
      <c r="G257" s="206">
        <v>393</v>
      </c>
      <c r="H257" s="202">
        <f t="shared" si="3"/>
        <v>35805</v>
      </c>
      <c r="I257" s="205" t="s">
        <v>30</v>
      </c>
      <c r="J257" s="205" t="s">
        <v>29</v>
      </c>
      <c r="K257" s="201" t="s">
        <v>1042</v>
      </c>
      <c r="L257" s="205" t="s">
        <v>1532</v>
      </c>
      <c r="M257" s="201" t="s">
        <v>1030</v>
      </c>
      <c r="N257" s="205" t="s">
        <v>652</v>
      </c>
      <c r="O257" s="205" t="s">
        <v>652</v>
      </c>
      <c r="P257" s="207" t="s">
        <v>1533</v>
      </c>
      <c r="Q257" s="208" t="s">
        <v>1534</v>
      </c>
      <c r="R257" s="208" t="s">
        <v>832</v>
      </c>
    </row>
    <row r="258" spans="1:18" s="205" customFormat="1" x14ac:dyDescent="0.2">
      <c r="A258" s="205" t="s">
        <v>558</v>
      </c>
      <c r="B258" s="205" t="s">
        <v>559</v>
      </c>
      <c r="C258" s="200">
        <v>45394</v>
      </c>
      <c r="D258" s="201" t="s">
        <v>152</v>
      </c>
      <c r="E258" s="206">
        <v>11329</v>
      </c>
      <c r="F258" s="206">
        <v>1133</v>
      </c>
      <c r="G258" s="206">
        <v>113</v>
      </c>
      <c r="H258" s="202">
        <f t="shared" ref="H258:H321" si="4">E258+G258-F258</f>
        <v>10309</v>
      </c>
      <c r="I258" s="205" t="s">
        <v>31</v>
      </c>
      <c r="J258" s="205" t="s">
        <v>29</v>
      </c>
      <c r="K258" s="201" t="s">
        <v>1042</v>
      </c>
      <c r="L258" s="205" t="s">
        <v>1535</v>
      </c>
      <c r="M258" s="201" t="s">
        <v>1030</v>
      </c>
      <c r="N258" s="205" t="s">
        <v>1046</v>
      </c>
      <c r="O258" s="205" t="s">
        <v>1047</v>
      </c>
      <c r="P258" s="207" t="s">
        <v>653</v>
      </c>
      <c r="Q258" s="208" t="s">
        <v>654</v>
      </c>
      <c r="R258" s="208" t="s">
        <v>832</v>
      </c>
    </row>
    <row r="259" spans="1:18" s="205" customFormat="1" x14ac:dyDescent="0.2">
      <c r="A259" s="205" t="s">
        <v>64</v>
      </c>
      <c r="B259" s="205" t="s">
        <v>514</v>
      </c>
      <c r="C259" s="200">
        <v>45394</v>
      </c>
      <c r="D259" s="201" t="s">
        <v>152</v>
      </c>
      <c r="E259" s="206">
        <v>402279</v>
      </c>
      <c r="F259" s="206">
        <v>40228</v>
      </c>
      <c r="G259" s="206">
        <v>4023</v>
      </c>
      <c r="H259" s="202">
        <f t="shared" si="4"/>
        <v>366074</v>
      </c>
      <c r="I259" s="205" t="s">
        <v>31</v>
      </c>
      <c r="J259" s="205" t="s">
        <v>29</v>
      </c>
      <c r="K259" s="201" t="s">
        <v>1042</v>
      </c>
      <c r="L259" s="205" t="s">
        <v>1536</v>
      </c>
      <c r="M259" s="201" t="s">
        <v>1030</v>
      </c>
      <c r="N259" s="205" t="s">
        <v>652</v>
      </c>
      <c r="O259" s="205" t="s">
        <v>652</v>
      </c>
      <c r="P259" s="207" t="s">
        <v>653</v>
      </c>
      <c r="Q259" s="208" t="s">
        <v>654</v>
      </c>
      <c r="R259" s="208" t="s">
        <v>832</v>
      </c>
    </row>
    <row r="260" spans="1:18" s="205" customFormat="1" x14ac:dyDescent="0.2">
      <c r="A260" s="205" t="s">
        <v>429</v>
      </c>
      <c r="B260" s="205" t="s">
        <v>577</v>
      </c>
      <c r="C260" s="200">
        <v>45394</v>
      </c>
      <c r="D260" s="201" t="s">
        <v>152</v>
      </c>
      <c r="E260" s="206">
        <v>12708</v>
      </c>
      <c r="F260" s="206">
        <v>1271</v>
      </c>
      <c r="G260" s="206">
        <v>127</v>
      </c>
      <c r="H260" s="202">
        <f t="shared" si="4"/>
        <v>11564</v>
      </c>
      <c r="I260" s="205" t="s">
        <v>31</v>
      </c>
      <c r="J260" s="205" t="s">
        <v>29</v>
      </c>
      <c r="K260" s="201" t="s">
        <v>1042</v>
      </c>
      <c r="L260" s="205" t="s">
        <v>1537</v>
      </c>
      <c r="M260" s="201" t="s">
        <v>1030</v>
      </c>
      <c r="N260" s="205" t="s">
        <v>652</v>
      </c>
      <c r="O260" s="205" t="s">
        <v>652</v>
      </c>
      <c r="P260" s="207" t="s">
        <v>653</v>
      </c>
      <c r="Q260" s="208" t="s">
        <v>654</v>
      </c>
      <c r="R260" s="208" t="s">
        <v>832</v>
      </c>
    </row>
    <row r="261" spans="1:18" s="205" customFormat="1" x14ac:dyDescent="0.2">
      <c r="A261" s="205" t="s">
        <v>1538</v>
      </c>
      <c r="B261" s="205" t="s">
        <v>1539</v>
      </c>
      <c r="C261" s="200">
        <v>45394</v>
      </c>
      <c r="D261" s="201" t="s">
        <v>152</v>
      </c>
      <c r="E261" s="206">
        <v>4217</v>
      </c>
      <c r="F261" s="206">
        <v>422</v>
      </c>
      <c r="G261" s="206">
        <v>42</v>
      </c>
      <c r="H261" s="202">
        <f t="shared" si="4"/>
        <v>3837</v>
      </c>
      <c r="I261" s="205" t="s">
        <v>31</v>
      </c>
      <c r="J261" s="205" t="s">
        <v>29</v>
      </c>
      <c r="K261" s="201" t="s">
        <v>1042</v>
      </c>
      <c r="L261" s="205" t="s">
        <v>1540</v>
      </c>
      <c r="M261" s="201" t="s">
        <v>1030</v>
      </c>
      <c r="N261" s="205" t="s">
        <v>652</v>
      </c>
      <c r="O261" s="205" t="s">
        <v>652</v>
      </c>
      <c r="P261" s="207" t="s">
        <v>1541</v>
      </c>
      <c r="Q261" s="208" t="s">
        <v>1542</v>
      </c>
      <c r="R261" s="208" t="s">
        <v>832</v>
      </c>
    </row>
    <row r="262" spans="1:18" s="205" customFormat="1" x14ac:dyDescent="0.2">
      <c r="A262" s="205" t="s">
        <v>70</v>
      </c>
      <c r="B262" s="205" t="s">
        <v>606</v>
      </c>
      <c r="C262" s="200">
        <v>45394</v>
      </c>
      <c r="D262" s="199" t="s">
        <v>166</v>
      </c>
      <c r="E262" s="206">
        <v>-97457</v>
      </c>
      <c r="F262" s="206">
        <v>-9746</v>
      </c>
      <c r="G262" s="206">
        <v>-975</v>
      </c>
      <c r="H262" s="202">
        <f t="shared" si="4"/>
        <v>-88686</v>
      </c>
      <c r="I262" s="205" t="s">
        <v>71</v>
      </c>
      <c r="J262" s="205" t="s">
        <v>29</v>
      </c>
      <c r="K262" s="201" t="s">
        <v>1068</v>
      </c>
      <c r="L262" s="205" t="s">
        <v>1543</v>
      </c>
      <c r="M262" s="201" t="s">
        <v>1030</v>
      </c>
      <c r="N262" s="205" t="s">
        <v>652</v>
      </c>
      <c r="O262" s="205" t="s">
        <v>652</v>
      </c>
      <c r="P262" s="207" t="s">
        <v>653</v>
      </c>
      <c r="Q262" s="208" t="s">
        <v>654</v>
      </c>
      <c r="R262" s="208" t="s">
        <v>832</v>
      </c>
    </row>
    <row r="263" spans="1:18" s="205" customFormat="1" x14ac:dyDescent="0.2">
      <c r="A263" s="205" t="s">
        <v>1544</v>
      </c>
      <c r="B263" s="205" t="s">
        <v>1545</v>
      </c>
      <c r="C263" s="200">
        <v>45394</v>
      </c>
      <c r="D263" s="201" t="s">
        <v>152</v>
      </c>
      <c r="E263" s="206">
        <v>124183</v>
      </c>
      <c r="F263" s="206">
        <v>12418</v>
      </c>
      <c r="G263" s="206">
        <v>621</v>
      </c>
      <c r="H263" s="202">
        <f t="shared" si="4"/>
        <v>112386</v>
      </c>
      <c r="I263" s="205" t="s">
        <v>74</v>
      </c>
      <c r="J263" s="205" t="s">
        <v>23</v>
      </c>
      <c r="K263" s="201" t="s">
        <v>1028</v>
      </c>
      <c r="L263" s="205" t="s">
        <v>1546</v>
      </c>
      <c r="M263" s="201" t="s">
        <v>1547</v>
      </c>
      <c r="N263" s="205" t="s">
        <v>652</v>
      </c>
      <c r="O263" s="205" t="s">
        <v>652</v>
      </c>
      <c r="P263" s="207" t="s">
        <v>653</v>
      </c>
      <c r="Q263" s="208" t="s">
        <v>654</v>
      </c>
      <c r="R263" s="208" t="s">
        <v>832</v>
      </c>
    </row>
    <row r="264" spans="1:18" s="205" customFormat="1" x14ac:dyDescent="0.2">
      <c r="A264" s="205" t="s">
        <v>1548</v>
      </c>
      <c r="B264" s="205" t="s">
        <v>229</v>
      </c>
      <c r="C264" s="200">
        <v>45394</v>
      </c>
      <c r="D264" s="201" t="s">
        <v>152</v>
      </c>
      <c r="E264" s="206">
        <v>38365</v>
      </c>
      <c r="F264" s="206">
        <v>3837</v>
      </c>
      <c r="G264" s="206">
        <v>192</v>
      </c>
      <c r="H264" s="202">
        <f t="shared" si="4"/>
        <v>34720</v>
      </c>
      <c r="I264" s="205" t="s">
        <v>38</v>
      </c>
      <c r="J264" s="205" t="s">
        <v>23</v>
      </c>
      <c r="K264" s="201" t="s">
        <v>1028</v>
      </c>
      <c r="L264" s="205" t="s">
        <v>1549</v>
      </c>
      <c r="M264" s="201" t="s">
        <v>1030</v>
      </c>
      <c r="N264" s="205" t="s">
        <v>652</v>
      </c>
      <c r="O264" s="205" t="s">
        <v>652</v>
      </c>
      <c r="P264" s="207" t="s">
        <v>987</v>
      </c>
      <c r="Q264" s="208" t="s">
        <v>988</v>
      </c>
      <c r="R264" s="208" t="s">
        <v>832</v>
      </c>
    </row>
    <row r="265" spans="1:18" s="205" customFormat="1" x14ac:dyDescent="0.2">
      <c r="A265" s="205" t="s">
        <v>1550</v>
      </c>
      <c r="B265" s="205" t="s">
        <v>229</v>
      </c>
      <c r="C265" s="200">
        <v>45394</v>
      </c>
      <c r="D265" s="201" t="s">
        <v>152</v>
      </c>
      <c r="E265" s="206">
        <v>51322</v>
      </c>
      <c r="F265" s="206">
        <v>5132</v>
      </c>
      <c r="G265" s="206">
        <v>257</v>
      </c>
      <c r="H265" s="202">
        <f t="shared" si="4"/>
        <v>46447</v>
      </c>
      <c r="I265" s="205" t="s">
        <v>38</v>
      </c>
      <c r="J265" s="205" t="s">
        <v>23</v>
      </c>
      <c r="K265" s="201" t="s">
        <v>1042</v>
      </c>
      <c r="L265" s="205" t="s">
        <v>1551</v>
      </c>
      <c r="M265" s="201" t="s">
        <v>1030</v>
      </c>
      <c r="N265" s="205" t="s">
        <v>652</v>
      </c>
      <c r="O265" s="205" t="s">
        <v>652</v>
      </c>
      <c r="P265" s="207" t="s">
        <v>718</v>
      </c>
      <c r="Q265" s="208" t="s">
        <v>719</v>
      </c>
      <c r="R265" s="208" t="s">
        <v>832</v>
      </c>
    </row>
    <row r="266" spans="1:18" s="205" customFormat="1" x14ac:dyDescent="0.2">
      <c r="A266" s="205" t="s">
        <v>1552</v>
      </c>
      <c r="B266" s="205" t="s">
        <v>229</v>
      </c>
      <c r="C266" s="200">
        <v>45394</v>
      </c>
      <c r="D266" s="201" t="s">
        <v>152</v>
      </c>
      <c r="E266" s="206">
        <v>129349</v>
      </c>
      <c r="F266" s="206">
        <v>12935</v>
      </c>
      <c r="G266" s="206">
        <v>647</v>
      </c>
      <c r="H266" s="202">
        <f t="shared" si="4"/>
        <v>117061</v>
      </c>
      <c r="I266" s="205" t="s">
        <v>38</v>
      </c>
      <c r="J266" s="205" t="s">
        <v>23</v>
      </c>
      <c r="K266" s="201" t="s">
        <v>1028</v>
      </c>
      <c r="L266" s="205" t="s">
        <v>1553</v>
      </c>
      <c r="M266" s="201" t="s">
        <v>1030</v>
      </c>
      <c r="N266" s="205" t="s">
        <v>652</v>
      </c>
      <c r="O266" s="205" t="s">
        <v>652</v>
      </c>
      <c r="P266" s="207" t="s">
        <v>651</v>
      </c>
      <c r="Q266" s="208" t="s">
        <v>673</v>
      </c>
      <c r="R266" s="208" t="s">
        <v>832</v>
      </c>
    </row>
    <row r="267" spans="1:18" s="205" customFormat="1" x14ac:dyDescent="0.2">
      <c r="A267" s="205" t="s">
        <v>1554</v>
      </c>
      <c r="B267" s="205" t="s">
        <v>229</v>
      </c>
      <c r="C267" s="200">
        <v>45394</v>
      </c>
      <c r="D267" s="201" t="s">
        <v>152</v>
      </c>
      <c r="E267" s="206">
        <v>95814</v>
      </c>
      <c r="F267" s="206">
        <v>9581</v>
      </c>
      <c r="G267" s="206">
        <v>479</v>
      </c>
      <c r="H267" s="202">
        <f t="shared" si="4"/>
        <v>86712</v>
      </c>
      <c r="I267" s="205" t="s">
        <v>38</v>
      </c>
      <c r="J267" s="205" t="s">
        <v>23</v>
      </c>
      <c r="K267" s="201" t="s">
        <v>1042</v>
      </c>
      <c r="L267" s="205" t="s">
        <v>1555</v>
      </c>
      <c r="M267" s="209" t="s">
        <v>1030</v>
      </c>
      <c r="N267" s="205" t="s">
        <v>652</v>
      </c>
      <c r="O267" s="205" t="s">
        <v>652</v>
      </c>
      <c r="P267" s="207" t="s">
        <v>653</v>
      </c>
      <c r="Q267" s="208" t="s">
        <v>654</v>
      </c>
      <c r="R267" s="208" t="s">
        <v>832</v>
      </c>
    </row>
    <row r="268" spans="1:18" s="205" customFormat="1" x14ac:dyDescent="0.2">
      <c r="A268" s="205" t="s">
        <v>1556</v>
      </c>
      <c r="B268" s="205" t="s">
        <v>229</v>
      </c>
      <c r="C268" s="200">
        <v>45394</v>
      </c>
      <c r="D268" s="201" t="s">
        <v>152</v>
      </c>
      <c r="E268" s="206">
        <v>52535</v>
      </c>
      <c r="F268" s="206">
        <v>5254</v>
      </c>
      <c r="G268" s="206">
        <v>263</v>
      </c>
      <c r="H268" s="202">
        <f t="shared" si="4"/>
        <v>47544</v>
      </c>
      <c r="I268" s="205" t="s">
        <v>38</v>
      </c>
      <c r="J268" s="205" t="s">
        <v>23</v>
      </c>
      <c r="K268" s="201" t="s">
        <v>1028</v>
      </c>
      <c r="L268" s="205" t="s">
        <v>1557</v>
      </c>
      <c r="M268" s="201" t="s">
        <v>1030</v>
      </c>
      <c r="N268" s="205" t="s">
        <v>652</v>
      </c>
      <c r="O268" s="205" t="s">
        <v>652</v>
      </c>
      <c r="P268" s="207" t="s">
        <v>663</v>
      </c>
      <c r="Q268" s="208" t="s">
        <v>723</v>
      </c>
      <c r="R268" s="208" t="s">
        <v>832</v>
      </c>
    </row>
    <row r="269" spans="1:18" s="205" customFormat="1" x14ac:dyDescent="0.2">
      <c r="A269" s="205" t="s">
        <v>1558</v>
      </c>
      <c r="B269" s="205" t="s">
        <v>229</v>
      </c>
      <c r="C269" s="200">
        <v>45394</v>
      </c>
      <c r="D269" s="201" t="s">
        <v>152</v>
      </c>
      <c r="E269" s="206">
        <v>84164</v>
      </c>
      <c r="F269" s="206">
        <v>8416</v>
      </c>
      <c r="G269" s="206">
        <v>421</v>
      </c>
      <c r="H269" s="202">
        <f t="shared" si="4"/>
        <v>76169</v>
      </c>
      <c r="I269" s="205" t="s">
        <v>38</v>
      </c>
      <c r="J269" s="205" t="s">
        <v>23</v>
      </c>
      <c r="K269" s="201" t="s">
        <v>1028</v>
      </c>
      <c r="L269" s="205" t="s">
        <v>1559</v>
      </c>
      <c r="M269" s="201" t="s">
        <v>1030</v>
      </c>
      <c r="N269" s="205" t="s">
        <v>652</v>
      </c>
      <c r="O269" s="205" t="s">
        <v>652</v>
      </c>
      <c r="P269" s="207" t="s">
        <v>663</v>
      </c>
      <c r="Q269" s="208" t="s">
        <v>723</v>
      </c>
      <c r="R269" s="208" t="s">
        <v>832</v>
      </c>
    </row>
    <row r="270" spans="1:18" s="205" customFormat="1" x14ac:dyDescent="0.2">
      <c r="A270" s="205" t="s">
        <v>1560</v>
      </c>
      <c r="B270" s="205" t="s">
        <v>229</v>
      </c>
      <c r="C270" s="200">
        <v>45394</v>
      </c>
      <c r="D270" s="201" t="s">
        <v>152</v>
      </c>
      <c r="E270" s="206">
        <v>56973</v>
      </c>
      <c r="F270" s="206">
        <v>5697</v>
      </c>
      <c r="G270" s="206">
        <v>285</v>
      </c>
      <c r="H270" s="202">
        <f t="shared" si="4"/>
        <v>51561</v>
      </c>
      <c r="I270" s="205" t="s">
        <v>38</v>
      </c>
      <c r="J270" s="205" t="s">
        <v>23</v>
      </c>
      <c r="K270" s="201" t="s">
        <v>1028</v>
      </c>
      <c r="L270" s="205" t="s">
        <v>1561</v>
      </c>
      <c r="M270" s="201" t="s">
        <v>1030</v>
      </c>
      <c r="N270" s="205" t="s">
        <v>652</v>
      </c>
      <c r="O270" s="205" t="s">
        <v>652</v>
      </c>
      <c r="P270" s="207" t="s">
        <v>663</v>
      </c>
      <c r="Q270" s="208" t="s">
        <v>723</v>
      </c>
      <c r="R270" s="208" t="s">
        <v>832</v>
      </c>
    </row>
    <row r="271" spans="1:18" s="205" customFormat="1" x14ac:dyDescent="0.2">
      <c r="A271" s="205" t="s">
        <v>1562</v>
      </c>
      <c r="B271" s="205" t="s">
        <v>1563</v>
      </c>
      <c r="C271" s="200">
        <v>45394</v>
      </c>
      <c r="D271" s="201" t="s">
        <v>152</v>
      </c>
      <c r="E271" s="206">
        <v>7651733</v>
      </c>
      <c r="F271" s="206">
        <v>765173</v>
      </c>
      <c r="G271" s="206">
        <v>38259</v>
      </c>
      <c r="H271" s="202">
        <f t="shared" si="4"/>
        <v>6924819</v>
      </c>
      <c r="I271" s="205" t="s">
        <v>81</v>
      </c>
      <c r="J271" s="205" t="s">
        <v>23</v>
      </c>
      <c r="K271" s="201" t="s">
        <v>1058</v>
      </c>
      <c r="L271" s="205" t="s">
        <v>1564</v>
      </c>
      <c r="M271" s="201" t="s">
        <v>1565</v>
      </c>
      <c r="N271" s="205" t="s">
        <v>1295</v>
      </c>
      <c r="O271" s="205" t="s">
        <v>1061</v>
      </c>
      <c r="P271" s="215" t="s">
        <v>1106</v>
      </c>
      <c r="Q271" s="216" t="s">
        <v>1107</v>
      </c>
      <c r="R271" s="216" t="s">
        <v>832</v>
      </c>
    </row>
    <row r="272" spans="1:18" s="205" customFormat="1" x14ac:dyDescent="0.2">
      <c r="A272" s="205" t="s">
        <v>1566</v>
      </c>
      <c r="B272" s="205" t="s">
        <v>229</v>
      </c>
      <c r="C272" s="200">
        <v>45394</v>
      </c>
      <c r="D272" s="201" t="s">
        <v>152</v>
      </c>
      <c r="E272" s="206">
        <v>95814</v>
      </c>
      <c r="F272" s="206">
        <v>9581</v>
      </c>
      <c r="G272" s="206">
        <v>479</v>
      </c>
      <c r="H272" s="202">
        <f t="shared" si="4"/>
        <v>86712</v>
      </c>
      <c r="I272" s="205" t="s">
        <v>38</v>
      </c>
      <c r="J272" s="205" t="s">
        <v>23</v>
      </c>
      <c r="K272" s="201" t="s">
        <v>1028</v>
      </c>
      <c r="L272" s="205" t="s">
        <v>1567</v>
      </c>
      <c r="M272" s="201" t="s">
        <v>1030</v>
      </c>
      <c r="N272" s="205" t="s">
        <v>652</v>
      </c>
      <c r="O272" s="205" t="s">
        <v>652</v>
      </c>
      <c r="P272" s="207" t="s">
        <v>987</v>
      </c>
      <c r="Q272" s="208" t="s">
        <v>988</v>
      </c>
      <c r="R272" s="208" t="s">
        <v>832</v>
      </c>
    </row>
    <row r="273" spans="1:18" s="205" customFormat="1" x14ac:dyDescent="0.2">
      <c r="A273" s="205" t="s">
        <v>1568</v>
      </c>
      <c r="B273" s="205" t="s">
        <v>229</v>
      </c>
      <c r="C273" s="200">
        <v>45394</v>
      </c>
      <c r="D273" s="201" t="s">
        <v>152</v>
      </c>
      <c r="E273" s="206">
        <v>84164</v>
      </c>
      <c r="F273" s="206">
        <v>8416</v>
      </c>
      <c r="G273" s="206">
        <v>421</v>
      </c>
      <c r="H273" s="202">
        <f t="shared" si="4"/>
        <v>76169</v>
      </c>
      <c r="I273" s="205" t="s">
        <v>38</v>
      </c>
      <c r="J273" s="205" t="s">
        <v>23</v>
      </c>
      <c r="K273" s="201" t="s">
        <v>1028</v>
      </c>
      <c r="L273" s="205" t="s">
        <v>1569</v>
      </c>
      <c r="M273" s="201" t="s">
        <v>1030</v>
      </c>
      <c r="N273" s="205" t="s">
        <v>652</v>
      </c>
      <c r="O273" s="205" t="s">
        <v>652</v>
      </c>
      <c r="P273" s="207" t="s">
        <v>987</v>
      </c>
      <c r="Q273" s="208" t="s">
        <v>988</v>
      </c>
      <c r="R273" s="208" t="s">
        <v>832</v>
      </c>
    </row>
    <row r="274" spans="1:18" s="205" customFormat="1" x14ac:dyDescent="0.2">
      <c r="A274" s="205" t="s">
        <v>1570</v>
      </c>
      <c r="B274" s="205" t="s">
        <v>229</v>
      </c>
      <c r="C274" s="200">
        <v>45394</v>
      </c>
      <c r="D274" s="201" t="s">
        <v>152</v>
      </c>
      <c r="E274" s="206">
        <v>112587</v>
      </c>
      <c r="F274" s="206">
        <v>11259</v>
      </c>
      <c r="G274" s="206">
        <v>563</v>
      </c>
      <c r="H274" s="202">
        <f t="shared" si="4"/>
        <v>101891</v>
      </c>
      <c r="I274" s="205" t="s">
        <v>38</v>
      </c>
      <c r="J274" s="205" t="s">
        <v>23</v>
      </c>
      <c r="K274" s="201" t="s">
        <v>1028</v>
      </c>
      <c r="L274" s="205" t="s">
        <v>1571</v>
      </c>
      <c r="M274" s="201" t="s">
        <v>1030</v>
      </c>
      <c r="N274" s="205" t="s">
        <v>652</v>
      </c>
      <c r="O274" s="205" t="s">
        <v>652</v>
      </c>
      <c r="P274" s="207" t="s">
        <v>653</v>
      </c>
      <c r="Q274" s="208" t="s">
        <v>654</v>
      </c>
      <c r="R274" s="208" t="s">
        <v>832</v>
      </c>
    </row>
    <row r="275" spans="1:18" s="205" customFormat="1" x14ac:dyDescent="0.2">
      <c r="A275" s="205" t="s">
        <v>1572</v>
      </c>
      <c r="B275" s="205" t="s">
        <v>229</v>
      </c>
      <c r="C275" s="200">
        <v>45394</v>
      </c>
      <c r="D275" s="201" t="s">
        <v>152</v>
      </c>
      <c r="E275" s="206">
        <v>200937</v>
      </c>
      <c r="F275" s="206">
        <v>20094</v>
      </c>
      <c r="G275" s="206">
        <v>1005</v>
      </c>
      <c r="H275" s="202">
        <f t="shared" si="4"/>
        <v>181848</v>
      </c>
      <c r="I275" s="205" t="s">
        <v>38</v>
      </c>
      <c r="J275" s="205" t="s">
        <v>23</v>
      </c>
      <c r="K275" s="201" t="e">
        <v>#N/A</v>
      </c>
      <c r="L275" s="205" t="s">
        <v>1573</v>
      </c>
      <c r="M275" s="201"/>
      <c r="P275" s="215" t="s">
        <v>1574</v>
      </c>
      <c r="Q275" s="216" t="s">
        <v>1575</v>
      </c>
      <c r="R275" s="218" t="s">
        <v>832</v>
      </c>
    </row>
    <row r="276" spans="1:18" s="205" customFormat="1" x14ac:dyDescent="0.2">
      <c r="A276" s="205" t="s">
        <v>106</v>
      </c>
      <c r="B276" s="205" t="s">
        <v>411</v>
      </c>
      <c r="C276" s="200">
        <v>45394</v>
      </c>
      <c r="D276" s="201" t="s">
        <v>152</v>
      </c>
      <c r="E276" s="206">
        <v>7488</v>
      </c>
      <c r="F276" s="206">
        <v>749</v>
      </c>
      <c r="G276" s="206">
        <v>37</v>
      </c>
      <c r="H276" s="202">
        <f t="shared" si="4"/>
        <v>6776</v>
      </c>
      <c r="I276" s="205" t="s">
        <v>38</v>
      </c>
      <c r="J276" s="205" t="s">
        <v>23</v>
      </c>
      <c r="K276" s="201" t="s">
        <v>1141</v>
      </c>
      <c r="L276" s="205" t="s">
        <v>1576</v>
      </c>
      <c r="M276" s="201" t="s">
        <v>1030</v>
      </c>
      <c r="N276" s="205" t="s">
        <v>652</v>
      </c>
      <c r="O276" s="205" t="s">
        <v>652</v>
      </c>
      <c r="P276" s="207" t="s">
        <v>692</v>
      </c>
      <c r="Q276" s="208" t="s">
        <v>693</v>
      </c>
      <c r="R276" s="208" t="s">
        <v>832</v>
      </c>
    </row>
    <row r="277" spans="1:18" s="205" customFormat="1" x14ac:dyDescent="0.2">
      <c r="A277" s="205" t="s">
        <v>151</v>
      </c>
      <c r="B277" s="205" t="s">
        <v>582</v>
      </c>
      <c r="C277" s="200">
        <v>45394</v>
      </c>
      <c r="D277" s="201" t="s">
        <v>152</v>
      </c>
      <c r="E277" s="206">
        <v>24599</v>
      </c>
      <c r="F277" s="206">
        <v>2460</v>
      </c>
      <c r="G277" s="206">
        <v>123</v>
      </c>
      <c r="H277" s="202">
        <f t="shared" si="4"/>
        <v>22262</v>
      </c>
      <c r="I277" s="205" t="s">
        <v>54</v>
      </c>
      <c r="J277" s="205" t="s">
        <v>23</v>
      </c>
      <c r="K277" s="201" t="s">
        <v>1042</v>
      </c>
      <c r="L277" s="205" t="s">
        <v>1577</v>
      </c>
      <c r="M277" s="201" t="s">
        <v>1030</v>
      </c>
      <c r="N277" s="205" t="s">
        <v>652</v>
      </c>
      <c r="O277" s="205" t="s">
        <v>652</v>
      </c>
      <c r="P277" s="207" t="s">
        <v>653</v>
      </c>
      <c r="Q277" s="208" t="s">
        <v>654</v>
      </c>
      <c r="R277" s="208" t="s">
        <v>832</v>
      </c>
    </row>
    <row r="278" spans="1:18" s="205" customFormat="1" x14ac:dyDescent="0.2">
      <c r="A278" s="205" t="s">
        <v>105</v>
      </c>
      <c r="B278" s="205" t="s">
        <v>618</v>
      </c>
      <c r="C278" s="200">
        <v>45394</v>
      </c>
      <c r="D278" s="201" t="s">
        <v>152</v>
      </c>
      <c r="E278" s="206">
        <v>16084</v>
      </c>
      <c r="F278" s="206">
        <v>1608</v>
      </c>
      <c r="G278" s="206">
        <v>80</v>
      </c>
      <c r="H278" s="202">
        <f t="shared" si="4"/>
        <v>14556</v>
      </c>
      <c r="I278" s="205" t="s">
        <v>44</v>
      </c>
      <c r="J278" s="205" t="s">
        <v>23</v>
      </c>
      <c r="K278" s="201" t="s">
        <v>1042</v>
      </c>
      <c r="L278" s="205" t="s">
        <v>1578</v>
      </c>
      <c r="M278" s="201" t="s">
        <v>1030</v>
      </c>
      <c r="N278" s="205" t="s">
        <v>652</v>
      </c>
      <c r="O278" s="205" t="s">
        <v>652</v>
      </c>
      <c r="P278" s="207" t="s">
        <v>653</v>
      </c>
      <c r="Q278" s="208" t="s">
        <v>654</v>
      </c>
      <c r="R278" s="208" t="s">
        <v>832</v>
      </c>
    </row>
    <row r="279" spans="1:18" s="205" customFormat="1" x14ac:dyDescent="0.2">
      <c r="A279" s="205" t="s">
        <v>213</v>
      </c>
      <c r="B279" s="205" t="s">
        <v>972</v>
      </c>
      <c r="C279" s="200">
        <v>45394</v>
      </c>
      <c r="D279" s="201" t="s">
        <v>152</v>
      </c>
      <c r="E279" s="206">
        <v>11773</v>
      </c>
      <c r="F279" s="206">
        <v>1177</v>
      </c>
      <c r="G279" s="206">
        <v>59</v>
      </c>
      <c r="H279" s="202">
        <f t="shared" si="4"/>
        <v>10655</v>
      </c>
      <c r="I279" s="205" t="s">
        <v>22</v>
      </c>
      <c r="J279" s="205" t="s">
        <v>23</v>
      </c>
      <c r="K279" s="201" t="s">
        <v>1042</v>
      </c>
      <c r="L279" s="205" t="s">
        <v>1579</v>
      </c>
      <c r="M279" s="201" t="s">
        <v>1030</v>
      </c>
      <c r="N279" s="205" t="s">
        <v>652</v>
      </c>
      <c r="O279" s="205" t="s">
        <v>652</v>
      </c>
      <c r="P279" s="207" t="s">
        <v>879</v>
      </c>
      <c r="Q279" s="208" t="s">
        <v>971</v>
      </c>
      <c r="R279" s="208" t="s">
        <v>832</v>
      </c>
    </row>
    <row r="280" spans="1:18" s="205" customFormat="1" x14ac:dyDescent="0.2">
      <c r="A280" s="205" t="s">
        <v>1201</v>
      </c>
      <c r="B280" s="205" t="s">
        <v>1202</v>
      </c>
      <c r="C280" s="200">
        <v>45394</v>
      </c>
      <c r="D280" s="201" t="s">
        <v>152</v>
      </c>
      <c r="E280" s="206">
        <v>1444786</v>
      </c>
      <c r="F280" s="206">
        <v>144479</v>
      </c>
      <c r="G280" s="206">
        <v>7224</v>
      </c>
      <c r="H280" s="202">
        <f t="shared" si="4"/>
        <v>1307531</v>
      </c>
      <c r="I280" s="205" t="s">
        <v>81</v>
      </c>
      <c r="J280" s="205" t="s">
        <v>23</v>
      </c>
      <c r="K280" s="201" t="s">
        <v>1042</v>
      </c>
      <c r="L280" s="205" t="s">
        <v>1580</v>
      </c>
      <c r="M280" s="201" t="s">
        <v>1030</v>
      </c>
      <c r="N280" s="205" t="s">
        <v>1204</v>
      </c>
      <c r="O280" s="205" t="s">
        <v>1115</v>
      </c>
      <c r="P280" s="207" t="s">
        <v>987</v>
      </c>
      <c r="Q280" s="208" t="s">
        <v>988</v>
      </c>
      <c r="R280" s="208" t="s">
        <v>832</v>
      </c>
    </row>
    <row r="281" spans="1:18" s="205" customFormat="1" x14ac:dyDescent="0.2">
      <c r="A281" s="205" t="s">
        <v>537</v>
      </c>
      <c r="B281" s="205" t="s">
        <v>538</v>
      </c>
      <c r="C281" s="200">
        <v>45394</v>
      </c>
      <c r="D281" s="201" t="s">
        <v>152</v>
      </c>
      <c r="E281" s="206">
        <v>7771</v>
      </c>
      <c r="F281" s="206">
        <v>777</v>
      </c>
      <c r="G281" s="206">
        <v>39</v>
      </c>
      <c r="H281" s="202">
        <f t="shared" si="4"/>
        <v>7033</v>
      </c>
      <c r="I281" s="205" t="s">
        <v>344</v>
      </c>
      <c r="J281" s="205" t="s">
        <v>23</v>
      </c>
      <c r="K281" s="201" t="s">
        <v>1042</v>
      </c>
      <c r="L281" s="205" t="s">
        <v>1581</v>
      </c>
      <c r="M281" s="201" t="s">
        <v>1030</v>
      </c>
      <c r="N281" s="205" t="s">
        <v>1065</v>
      </c>
      <c r="O281" s="205" t="s">
        <v>1066</v>
      </c>
      <c r="P281" s="207" t="s">
        <v>688</v>
      </c>
      <c r="Q281" s="208" t="s">
        <v>689</v>
      </c>
      <c r="R281" s="208" t="s">
        <v>832</v>
      </c>
    </row>
    <row r="282" spans="1:18" s="205" customFormat="1" x14ac:dyDescent="0.2">
      <c r="A282" s="205" t="s">
        <v>221</v>
      </c>
      <c r="B282" s="205" t="s">
        <v>1062</v>
      </c>
      <c r="C282" s="200">
        <v>45394</v>
      </c>
      <c r="D282" s="201" t="s">
        <v>152</v>
      </c>
      <c r="E282" s="206">
        <v>26858</v>
      </c>
      <c r="F282" s="206">
        <v>2686</v>
      </c>
      <c r="G282" s="206">
        <v>134</v>
      </c>
      <c r="H282" s="202">
        <f t="shared" si="4"/>
        <v>24306</v>
      </c>
      <c r="I282" s="205" t="s">
        <v>224</v>
      </c>
      <c r="J282" s="205" t="s">
        <v>23</v>
      </c>
      <c r="K282" s="201" t="s">
        <v>1042</v>
      </c>
      <c r="L282" s="205" t="s">
        <v>1582</v>
      </c>
      <c r="M282" s="201" t="s">
        <v>1030</v>
      </c>
      <c r="N282" s="205" t="s">
        <v>652</v>
      </c>
      <c r="O282" s="205" t="s">
        <v>652</v>
      </c>
      <c r="P282" s="207" t="s">
        <v>987</v>
      </c>
      <c r="Q282" s="208" t="s">
        <v>988</v>
      </c>
      <c r="R282" s="208" t="s">
        <v>832</v>
      </c>
    </row>
    <row r="283" spans="1:18" s="205" customFormat="1" x14ac:dyDescent="0.2">
      <c r="A283" s="205" t="s">
        <v>459</v>
      </c>
      <c r="B283" s="205" t="s">
        <v>853</v>
      </c>
      <c r="C283" s="200">
        <v>45394</v>
      </c>
      <c r="D283" s="201" t="s">
        <v>152</v>
      </c>
      <c r="E283" s="206">
        <v>76242</v>
      </c>
      <c r="F283" s="206">
        <v>7624</v>
      </c>
      <c r="G283" s="206">
        <v>381</v>
      </c>
      <c r="H283" s="202">
        <f t="shared" si="4"/>
        <v>68999</v>
      </c>
      <c r="I283" s="205" t="s">
        <v>101</v>
      </c>
      <c r="J283" s="205" t="s">
        <v>23</v>
      </c>
      <c r="K283" s="201" t="s">
        <v>1042</v>
      </c>
      <c r="L283" s="205" t="s">
        <v>1583</v>
      </c>
      <c r="M283" s="201" t="s">
        <v>1030</v>
      </c>
      <c r="N283" s="205" t="s">
        <v>1488</v>
      </c>
      <c r="O283" s="205" t="s">
        <v>1191</v>
      </c>
      <c r="P283" s="207" t="s">
        <v>747</v>
      </c>
      <c r="Q283" s="208" t="s">
        <v>748</v>
      </c>
      <c r="R283" s="208" t="s">
        <v>832</v>
      </c>
    </row>
    <row r="284" spans="1:18" s="205" customFormat="1" x14ac:dyDescent="0.2">
      <c r="A284" s="205" t="s">
        <v>105</v>
      </c>
      <c r="B284" s="205" t="s">
        <v>620</v>
      </c>
      <c r="C284" s="200">
        <v>45394</v>
      </c>
      <c r="D284" s="199" t="s">
        <v>166</v>
      </c>
      <c r="E284" s="206">
        <v>-23920</v>
      </c>
      <c r="F284" s="206">
        <v>-2392</v>
      </c>
      <c r="G284" s="206">
        <v>-120</v>
      </c>
      <c r="H284" s="202">
        <f t="shared" si="4"/>
        <v>-21648</v>
      </c>
      <c r="I284" s="205" t="s">
        <v>44</v>
      </c>
      <c r="J284" s="205" t="s">
        <v>23</v>
      </c>
      <c r="K284" s="201" t="s">
        <v>1068</v>
      </c>
      <c r="L284" s="205" t="s">
        <v>1584</v>
      </c>
      <c r="M284" s="199" t="s">
        <v>1030</v>
      </c>
      <c r="N284" s="205" t="s">
        <v>652</v>
      </c>
      <c r="O284" s="205" t="s">
        <v>652</v>
      </c>
      <c r="P284" s="207" t="s">
        <v>653</v>
      </c>
      <c r="Q284" s="208" t="s">
        <v>654</v>
      </c>
      <c r="R284" s="208" t="s">
        <v>832</v>
      </c>
    </row>
    <row r="285" spans="1:18" s="205" customFormat="1" x14ac:dyDescent="0.2">
      <c r="A285" s="205" t="s">
        <v>67</v>
      </c>
      <c r="B285" s="205" t="s">
        <v>572</v>
      </c>
      <c r="C285" s="200">
        <v>45394</v>
      </c>
      <c r="D285" s="199" t="s">
        <v>166</v>
      </c>
      <c r="E285" s="206">
        <v>-37196</v>
      </c>
      <c r="F285" s="206">
        <v>-3720</v>
      </c>
      <c r="G285" s="206">
        <v>-186</v>
      </c>
      <c r="H285" s="202">
        <f t="shared" si="4"/>
        <v>-33662</v>
      </c>
      <c r="I285" s="205" t="s">
        <v>44</v>
      </c>
      <c r="J285" s="205" t="s">
        <v>23</v>
      </c>
      <c r="K285" s="201" t="s">
        <v>1068</v>
      </c>
      <c r="L285" s="205" t="s">
        <v>1585</v>
      </c>
      <c r="M285" s="201" t="s">
        <v>1030</v>
      </c>
      <c r="N285" s="205" t="s">
        <v>652</v>
      </c>
      <c r="O285" s="205" t="s">
        <v>652</v>
      </c>
      <c r="P285" s="207" t="s">
        <v>653</v>
      </c>
      <c r="Q285" s="208" t="s">
        <v>654</v>
      </c>
      <c r="R285" s="208" t="s">
        <v>832</v>
      </c>
    </row>
    <row r="286" spans="1:18" s="205" customFormat="1" x14ac:dyDescent="0.2">
      <c r="A286" s="205" t="s">
        <v>135</v>
      </c>
      <c r="B286" s="205" t="s">
        <v>372</v>
      </c>
      <c r="C286" s="200">
        <v>45394</v>
      </c>
      <c r="D286" s="199" t="s">
        <v>166</v>
      </c>
      <c r="E286" s="206">
        <v>-105587</v>
      </c>
      <c r="F286" s="206">
        <v>-10559</v>
      </c>
      <c r="G286" s="206">
        <v>-528</v>
      </c>
      <c r="H286" s="202">
        <f t="shared" si="4"/>
        <v>-95556</v>
      </c>
      <c r="I286" s="205" t="s">
        <v>44</v>
      </c>
      <c r="J286" s="205" t="s">
        <v>23</v>
      </c>
      <c r="K286" s="201" t="s">
        <v>1068</v>
      </c>
      <c r="L286" s="205" t="s">
        <v>1586</v>
      </c>
      <c r="M286" s="201" t="s">
        <v>1030</v>
      </c>
      <c r="N286" s="205" t="s">
        <v>652</v>
      </c>
      <c r="O286" s="205" t="s">
        <v>652</v>
      </c>
      <c r="P286" s="207" t="s">
        <v>1587</v>
      </c>
      <c r="Q286" s="208" t="s">
        <v>1588</v>
      </c>
      <c r="R286" s="208" t="s">
        <v>832</v>
      </c>
    </row>
    <row r="287" spans="1:18" s="205" customFormat="1" x14ac:dyDescent="0.2">
      <c r="A287" s="205" t="s">
        <v>105</v>
      </c>
      <c r="B287" s="205" t="s">
        <v>619</v>
      </c>
      <c r="C287" s="200">
        <v>45394</v>
      </c>
      <c r="D287" s="199" t="s">
        <v>166</v>
      </c>
      <c r="E287" s="206">
        <v>-111929</v>
      </c>
      <c r="F287" s="206">
        <v>-11193</v>
      </c>
      <c r="G287" s="206">
        <v>-560</v>
      </c>
      <c r="H287" s="202">
        <f t="shared" si="4"/>
        <v>-101296</v>
      </c>
      <c r="I287" s="205" t="s">
        <v>44</v>
      </c>
      <c r="J287" s="205" t="s">
        <v>23</v>
      </c>
      <c r="K287" s="201" t="s">
        <v>1068</v>
      </c>
      <c r="L287" s="205" t="s">
        <v>1589</v>
      </c>
      <c r="M287" s="201" t="s">
        <v>1030</v>
      </c>
      <c r="N287" s="205" t="s">
        <v>652</v>
      </c>
      <c r="O287" s="205" t="s">
        <v>652</v>
      </c>
      <c r="P287" s="207" t="s">
        <v>653</v>
      </c>
      <c r="Q287" s="208" t="s">
        <v>654</v>
      </c>
      <c r="R287" s="208" t="s">
        <v>832</v>
      </c>
    </row>
    <row r="288" spans="1:18" s="205" customFormat="1" x14ac:dyDescent="0.2">
      <c r="A288" s="205" t="s">
        <v>158</v>
      </c>
      <c r="B288" s="205" t="s">
        <v>734</v>
      </c>
      <c r="C288" s="200">
        <v>45394</v>
      </c>
      <c r="D288" s="201" t="s">
        <v>152</v>
      </c>
      <c r="E288" s="206">
        <v>24346</v>
      </c>
      <c r="F288" s="206">
        <v>0</v>
      </c>
      <c r="G288" s="206">
        <v>0</v>
      </c>
      <c r="H288" s="202">
        <f t="shared" si="4"/>
        <v>24346</v>
      </c>
      <c r="I288" s="205" t="s">
        <v>25</v>
      </c>
      <c r="J288" s="205" t="s">
        <v>214</v>
      </c>
      <c r="K288" s="201" t="s">
        <v>1042</v>
      </c>
      <c r="L288" s="205" t="s">
        <v>1590</v>
      </c>
      <c r="M288" s="201" t="s">
        <v>1468</v>
      </c>
      <c r="N288" s="205" t="s">
        <v>1190</v>
      </c>
      <c r="O288" s="205" t="s">
        <v>1191</v>
      </c>
      <c r="P288" s="207" t="s">
        <v>660</v>
      </c>
      <c r="Q288" s="208" t="s">
        <v>735</v>
      </c>
      <c r="R288" s="208" t="s">
        <v>832</v>
      </c>
    </row>
    <row r="289" spans="1:18" s="205" customFormat="1" x14ac:dyDescent="0.2">
      <c r="A289" s="205" t="s">
        <v>366</v>
      </c>
      <c r="B289" s="205" t="s">
        <v>365</v>
      </c>
      <c r="C289" s="200">
        <v>45394</v>
      </c>
      <c r="D289" s="201" t="s">
        <v>152</v>
      </c>
      <c r="E289" s="206">
        <v>12312</v>
      </c>
      <c r="F289" s="206">
        <v>0</v>
      </c>
      <c r="G289" s="206">
        <v>0</v>
      </c>
      <c r="H289" s="202">
        <f t="shared" si="4"/>
        <v>12312</v>
      </c>
      <c r="I289" s="205" t="s">
        <v>25</v>
      </c>
      <c r="J289" s="205" t="s">
        <v>214</v>
      </c>
      <c r="K289" s="201" t="s">
        <v>1042</v>
      </c>
      <c r="L289" s="205" t="s">
        <v>1591</v>
      </c>
      <c r="M289" s="201" t="s">
        <v>1030</v>
      </c>
      <c r="N289" s="205" t="s">
        <v>1190</v>
      </c>
      <c r="O289" s="205" t="s">
        <v>1191</v>
      </c>
      <c r="P289" s="207" t="s">
        <v>494</v>
      </c>
      <c r="Q289" s="208" t="s">
        <v>780</v>
      </c>
      <c r="R289" s="208" t="s">
        <v>832</v>
      </c>
    </row>
    <row r="290" spans="1:18" s="205" customFormat="1" x14ac:dyDescent="0.2">
      <c r="A290" s="205" t="s">
        <v>1001</v>
      </c>
      <c r="B290" s="205" t="s">
        <v>1592</v>
      </c>
      <c r="C290" s="200">
        <v>45395</v>
      </c>
      <c r="D290" s="201" t="s">
        <v>152</v>
      </c>
      <c r="E290" s="206">
        <v>106041</v>
      </c>
      <c r="F290" s="206">
        <v>10604</v>
      </c>
      <c r="G290" s="206">
        <v>530</v>
      </c>
      <c r="H290" s="202">
        <f t="shared" si="4"/>
        <v>95967</v>
      </c>
      <c r="I290" s="205" t="s">
        <v>344</v>
      </c>
      <c r="J290" s="205" t="s">
        <v>23</v>
      </c>
      <c r="K290" s="201" t="s">
        <v>1028</v>
      </c>
      <c r="L290" s="205" t="s">
        <v>1593</v>
      </c>
      <c r="M290" s="201" t="s">
        <v>1030</v>
      </c>
      <c r="N290" s="205" t="s">
        <v>652</v>
      </c>
      <c r="O290" s="205" t="s">
        <v>652</v>
      </c>
      <c r="P290" s="207" t="s">
        <v>866</v>
      </c>
      <c r="Q290" s="208" t="s">
        <v>986</v>
      </c>
      <c r="R290" s="208" t="s">
        <v>750</v>
      </c>
    </row>
    <row r="291" spans="1:18" s="205" customFormat="1" x14ac:dyDescent="0.2">
      <c r="A291" s="205" t="s">
        <v>1594</v>
      </c>
      <c r="B291" s="205" t="s">
        <v>1595</v>
      </c>
      <c r="C291" s="200">
        <v>45395</v>
      </c>
      <c r="D291" s="201" t="s">
        <v>152</v>
      </c>
      <c r="E291" s="206">
        <v>46399</v>
      </c>
      <c r="F291" s="206">
        <v>4640</v>
      </c>
      <c r="G291" s="206">
        <v>232</v>
      </c>
      <c r="H291" s="202">
        <f t="shared" si="4"/>
        <v>41991</v>
      </c>
      <c r="I291" s="205" t="s">
        <v>103</v>
      </c>
      <c r="J291" s="205" t="s">
        <v>23</v>
      </c>
      <c r="K291" s="201" t="s">
        <v>1028</v>
      </c>
      <c r="L291" s="205" t="s">
        <v>1596</v>
      </c>
      <c r="M291" s="201" t="s">
        <v>1030</v>
      </c>
      <c r="N291" s="205" t="s">
        <v>652</v>
      </c>
      <c r="O291" s="205" t="s">
        <v>652</v>
      </c>
      <c r="P291" s="207" t="s">
        <v>691</v>
      </c>
      <c r="Q291" s="208" t="s">
        <v>960</v>
      </c>
      <c r="R291" s="208" t="s">
        <v>1597</v>
      </c>
    </row>
    <row r="292" spans="1:18" s="205" customFormat="1" x14ac:dyDescent="0.2">
      <c r="A292" s="205" t="s">
        <v>1598</v>
      </c>
      <c r="B292" s="205" t="s">
        <v>1599</v>
      </c>
      <c r="C292" s="200">
        <v>45395</v>
      </c>
      <c r="D292" s="201" t="s">
        <v>152</v>
      </c>
      <c r="E292" s="206">
        <v>111002</v>
      </c>
      <c r="F292" s="206">
        <v>11100</v>
      </c>
      <c r="G292" s="206">
        <v>555</v>
      </c>
      <c r="H292" s="202">
        <f t="shared" si="4"/>
        <v>100457</v>
      </c>
      <c r="I292" s="205" t="s">
        <v>103</v>
      </c>
      <c r="J292" s="205" t="s">
        <v>23</v>
      </c>
      <c r="K292" s="201" t="s">
        <v>1028</v>
      </c>
      <c r="L292" s="205" t="s">
        <v>1600</v>
      </c>
      <c r="M292" s="201" t="s">
        <v>1030</v>
      </c>
      <c r="N292" s="205" t="s">
        <v>652</v>
      </c>
      <c r="O292" s="205" t="s">
        <v>652</v>
      </c>
      <c r="P292" s="207" t="s">
        <v>931</v>
      </c>
      <c r="Q292" s="208" t="s">
        <v>932</v>
      </c>
      <c r="R292" s="208" t="s">
        <v>1597</v>
      </c>
    </row>
    <row r="293" spans="1:18" s="205" customFormat="1" x14ac:dyDescent="0.2">
      <c r="A293" s="205" t="s">
        <v>1601</v>
      </c>
      <c r="B293" s="205" t="s">
        <v>1602</v>
      </c>
      <c r="C293" s="200">
        <v>45395</v>
      </c>
      <c r="D293" s="201" t="s">
        <v>152</v>
      </c>
      <c r="E293" s="206">
        <v>125681</v>
      </c>
      <c r="F293" s="206">
        <v>12568</v>
      </c>
      <c r="G293" s="206">
        <v>628</v>
      </c>
      <c r="H293" s="202">
        <f t="shared" si="4"/>
        <v>113741</v>
      </c>
      <c r="I293" s="205" t="s">
        <v>103</v>
      </c>
      <c r="J293" s="205" t="s">
        <v>23</v>
      </c>
      <c r="K293" s="201" t="s">
        <v>1028</v>
      </c>
      <c r="L293" s="205" t="s">
        <v>1603</v>
      </c>
      <c r="M293" s="201" t="s">
        <v>1030</v>
      </c>
      <c r="N293" s="205" t="s">
        <v>652</v>
      </c>
      <c r="O293" s="205" t="s">
        <v>652</v>
      </c>
      <c r="P293" s="207" t="s">
        <v>931</v>
      </c>
      <c r="Q293" s="208" t="s">
        <v>932</v>
      </c>
      <c r="R293" s="208" t="s">
        <v>1597</v>
      </c>
    </row>
    <row r="294" spans="1:18" s="205" customFormat="1" x14ac:dyDescent="0.2">
      <c r="A294" s="205" t="s">
        <v>1604</v>
      </c>
      <c r="B294" s="205" t="s">
        <v>1605</v>
      </c>
      <c r="C294" s="200">
        <v>45397</v>
      </c>
      <c r="D294" s="201" t="s">
        <v>152</v>
      </c>
      <c r="E294" s="206">
        <v>302725</v>
      </c>
      <c r="F294" s="206">
        <v>30273</v>
      </c>
      <c r="G294" s="206">
        <v>1514</v>
      </c>
      <c r="H294" s="202">
        <f t="shared" si="4"/>
        <v>273966</v>
      </c>
      <c r="I294" s="205" t="s">
        <v>50</v>
      </c>
      <c r="J294" s="205" t="s">
        <v>23</v>
      </c>
      <c r="K294" s="201" t="s">
        <v>1028</v>
      </c>
      <c r="L294" s="205" t="s">
        <v>1606</v>
      </c>
      <c r="M294" s="201" t="s">
        <v>1030</v>
      </c>
      <c r="N294" s="205" t="s">
        <v>1607</v>
      </c>
      <c r="O294" s="205" t="s">
        <v>1115</v>
      </c>
      <c r="P294" s="207" t="s">
        <v>864</v>
      </c>
      <c r="Q294" s="208" t="s">
        <v>982</v>
      </c>
      <c r="R294" s="208" t="s">
        <v>1035</v>
      </c>
    </row>
    <row r="295" spans="1:18" s="205" customFormat="1" x14ac:dyDescent="0.2">
      <c r="A295" s="205" t="s">
        <v>1608</v>
      </c>
      <c r="B295" s="205" t="s">
        <v>229</v>
      </c>
      <c r="C295" s="200">
        <v>45397</v>
      </c>
      <c r="D295" s="201" t="s">
        <v>152</v>
      </c>
      <c r="E295" s="206">
        <v>95814</v>
      </c>
      <c r="F295" s="206">
        <v>9581</v>
      </c>
      <c r="G295" s="206">
        <v>479</v>
      </c>
      <c r="H295" s="202">
        <f t="shared" si="4"/>
        <v>86712</v>
      </c>
      <c r="I295" s="205" t="s">
        <v>38</v>
      </c>
      <c r="J295" s="205" t="s">
        <v>23</v>
      </c>
      <c r="K295" s="201" t="s">
        <v>1028</v>
      </c>
      <c r="L295" s="205" t="s">
        <v>1609</v>
      </c>
      <c r="M295" s="201" t="s">
        <v>1030</v>
      </c>
      <c r="N295" s="205" t="s">
        <v>652</v>
      </c>
      <c r="O295" s="205" t="s">
        <v>652</v>
      </c>
      <c r="P295" s="207" t="s">
        <v>987</v>
      </c>
      <c r="Q295" s="208" t="s">
        <v>988</v>
      </c>
      <c r="R295" s="208" t="s">
        <v>1035</v>
      </c>
    </row>
    <row r="296" spans="1:18" s="205" customFormat="1" x14ac:dyDescent="0.2">
      <c r="A296" s="205" t="s">
        <v>216</v>
      </c>
      <c r="B296" s="205" t="s">
        <v>1275</v>
      </c>
      <c r="C296" s="200">
        <v>45397</v>
      </c>
      <c r="D296" s="201" t="s">
        <v>152</v>
      </c>
      <c r="E296" s="206">
        <v>160570</v>
      </c>
      <c r="F296" s="206">
        <v>16057</v>
      </c>
      <c r="G296" s="206">
        <v>803</v>
      </c>
      <c r="H296" s="202">
        <f t="shared" si="4"/>
        <v>145316</v>
      </c>
      <c r="I296" s="205" t="s">
        <v>22</v>
      </c>
      <c r="J296" s="205" t="s">
        <v>23</v>
      </c>
      <c r="K296" s="201" t="s">
        <v>1151</v>
      </c>
      <c r="L296" s="205" t="s">
        <v>1610</v>
      </c>
      <c r="M296" s="201" t="s">
        <v>1030</v>
      </c>
      <c r="N296" s="205" t="s">
        <v>652</v>
      </c>
      <c r="O296" s="205" t="s">
        <v>652</v>
      </c>
      <c r="P296" s="207" t="s">
        <v>987</v>
      </c>
      <c r="Q296" s="208" t="s">
        <v>988</v>
      </c>
      <c r="R296" s="208" t="s">
        <v>1035</v>
      </c>
    </row>
    <row r="297" spans="1:18" s="205" customFormat="1" x14ac:dyDescent="0.2">
      <c r="A297" s="205" t="s">
        <v>1611</v>
      </c>
      <c r="B297" s="205" t="s">
        <v>1612</v>
      </c>
      <c r="C297" s="200">
        <v>45397</v>
      </c>
      <c r="D297" s="201" t="s">
        <v>152</v>
      </c>
      <c r="E297" s="206">
        <v>513161</v>
      </c>
      <c r="F297" s="206">
        <v>0</v>
      </c>
      <c r="G297" s="206">
        <v>0</v>
      </c>
      <c r="H297" s="202">
        <f t="shared" si="4"/>
        <v>513161</v>
      </c>
      <c r="I297" s="205" t="s">
        <v>25</v>
      </c>
      <c r="J297" s="205" t="s">
        <v>214</v>
      </c>
      <c r="K297" s="201" t="s">
        <v>1028</v>
      </c>
      <c r="L297" s="205" t="s">
        <v>1613</v>
      </c>
      <c r="M297" s="201" t="s">
        <v>652</v>
      </c>
      <c r="N297" s="205" t="s">
        <v>1614</v>
      </c>
      <c r="O297" s="205" t="s">
        <v>1191</v>
      </c>
      <c r="P297" s="207" t="s">
        <v>685</v>
      </c>
      <c r="Q297" s="208" t="s">
        <v>1615</v>
      </c>
      <c r="R297" s="208" t="s">
        <v>1035</v>
      </c>
    </row>
    <row r="298" spans="1:18" s="205" customFormat="1" x14ac:dyDescent="0.2">
      <c r="A298" s="205" t="s">
        <v>1616</v>
      </c>
      <c r="B298" s="205" t="s">
        <v>1617</v>
      </c>
      <c r="C298" s="200">
        <v>45398</v>
      </c>
      <c r="D298" s="201" t="s">
        <v>152</v>
      </c>
      <c r="E298" s="206">
        <v>124463</v>
      </c>
      <c r="F298" s="206">
        <v>12446</v>
      </c>
      <c r="G298" s="206">
        <v>1245</v>
      </c>
      <c r="H298" s="202">
        <f t="shared" si="4"/>
        <v>113262</v>
      </c>
      <c r="I298" s="205" t="s">
        <v>49</v>
      </c>
      <c r="J298" s="205" t="s">
        <v>29</v>
      </c>
      <c r="K298" s="201" t="e">
        <v>#N/A</v>
      </c>
      <c r="L298" s="205" t="s">
        <v>1618</v>
      </c>
      <c r="M298" s="201"/>
      <c r="P298" s="215" t="s">
        <v>987</v>
      </c>
      <c r="Q298" s="216" t="s">
        <v>988</v>
      </c>
      <c r="R298" s="216" t="s">
        <v>1035</v>
      </c>
    </row>
    <row r="299" spans="1:18" s="205" customFormat="1" x14ac:dyDescent="0.2">
      <c r="A299" s="205" t="s">
        <v>1619</v>
      </c>
      <c r="B299" s="205" t="s">
        <v>1620</v>
      </c>
      <c r="C299" s="200">
        <v>45398</v>
      </c>
      <c r="D299" s="201" t="s">
        <v>152</v>
      </c>
      <c r="E299" s="206">
        <v>60450</v>
      </c>
      <c r="F299" s="206">
        <v>6045</v>
      </c>
      <c r="G299" s="206">
        <v>605</v>
      </c>
      <c r="H299" s="202">
        <f t="shared" si="4"/>
        <v>55010</v>
      </c>
      <c r="I299" s="205" t="s">
        <v>715</v>
      </c>
      <c r="J299" s="205" t="s">
        <v>29</v>
      </c>
      <c r="K299" s="201" t="e">
        <v>#N/A</v>
      </c>
      <c r="L299" s="205" t="s">
        <v>1621</v>
      </c>
      <c r="M299" s="201"/>
      <c r="P299" s="215" t="s">
        <v>1542</v>
      </c>
      <c r="Q299" s="216" t="s">
        <v>1622</v>
      </c>
      <c r="R299" s="216" t="s">
        <v>1416</v>
      </c>
    </row>
    <row r="300" spans="1:18" s="205" customFormat="1" x14ac:dyDescent="0.2">
      <c r="A300" s="205" t="s">
        <v>64</v>
      </c>
      <c r="B300" s="205" t="s">
        <v>514</v>
      </c>
      <c r="C300" s="200">
        <v>45398</v>
      </c>
      <c r="D300" s="201" t="s">
        <v>152</v>
      </c>
      <c r="E300" s="206">
        <v>597556</v>
      </c>
      <c r="F300" s="206">
        <v>59756</v>
      </c>
      <c r="G300" s="206">
        <v>5976</v>
      </c>
      <c r="H300" s="202">
        <f t="shared" si="4"/>
        <v>543776</v>
      </c>
      <c r="I300" s="205" t="s">
        <v>31</v>
      </c>
      <c r="J300" s="205" t="s">
        <v>29</v>
      </c>
      <c r="K300" s="201" t="s">
        <v>1042</v>
      </c>
      <c r="L300" s="205" t="s">
        <v>1623</v>
      </c>
      <c r="M300" s="201" t="s">
        <v>1030</v>
      </c>
      <c r="N300" s="205" t="s">
        <v>652</v>
      </c>
      <c r="O300" s="205" t="s">
        <v>652</v>
      </c>
      <c r="P300" s="207" t="s">
        <v>653</v>
      </c>
      <c r="Q300" s="208" t="s">
        <v>654</v>
      </c>
      <c r="R300" s="208" t="s">
        <v>1416</v>
      </c>
    </row>
    <row r="301" spans="1:18" s="205" customFormat="1" x14ac:dyDescent="0.2">
      <c r="A301" s="205" t="s">
        <v>167</v>
      </c>
      <c r="B301" s="205" t="s">
        <v>918</v>
      </c>
      <c r="C301" s="200">
        <v>45398</v>
      </c>
      <c r="D301" s="201" t="s">
        <v>152</v>
      </c>
      <c r="E301" s="206">
        <v>22004</v>
      </c>
      <c r="F301" s="206">
        <v>2200</v>
      </c>
      <c r="G301" s="206">
        <v>220</v>
      </c>
      <c r="H301" s="202">
        <f t="shared" si="4"/>
        <v>20024</v>
      </c>
      <c r="I301" s="205" t="s">
        <v>168</v>
      </c>
      <c r="J301" s="205" t="s">
        <v>29</v>
      </c>
      <c r="K301" s="201" t="s">
        <v>1042</v>
      </c>
      <c r="L301" s="205" t="s">
        <v>1624</v>
      </c>
      <c r="M301" s="201" t="s">
        <v>1030</v>
      </c>
      <c r="N301" s="205" t="s">
        <v>652</v>
      </c>
      <c r="O301" s="205" t="s">
        <v>652</v>
      </c>
      <c r="P301" s="207" t="s">
        <v>663</v>
      </c>
      <c r="Q301" s="208" t="s">
        <v>723</v>
      </c>
      <c r="R301" s="208" t="s">
        <v>1416</v>
      </c>
    </row>
    <row r="302" spans="1:18" s="205" customFormat="1" x14ac:dyDescent="0.2">
      <c r="A302" s="205" t="s">
        <v>558</v>
      </c>
      <c r="B302" s="205" t="s">
        <v>559</v>
      </c>
      <c r="C302" s="200">
        <v>45398</v>
      </c>
      <c r="D302" s="201" t="s">
        <v>152</v>
      </c>
      <c r="E302" s="206">
        <v>223443</v>
      </c>
      <c r="F302" s="206">
        <v>22344</v>
      </c>
      <c r="G302" s="206">
        <v>2234</v>
      </c>
      <c r="H302" s="202">
        <f t="shared" si="4"/>
        <v>203333</v>
      </c>
      <c r="I302" s="205" t="s">
        <v>31</v>
      </c>
      <c r="J302" s="205" t="s">
        <v>29</v>
      </c>
      <c r="K302" s="201" t="s">
        <v>1042</v>
      </c>
      <c r="L302" s="205" t="s">
        <v>1625</v>
      </c>
      <c r="M302" s="201" t="s">
        <v>1030</v>
      </c>
      <c r="N302" s="205" t="s">
        <v>1046</v>
      </c>
      <c r="O302" s="205" t="s">
        <v>1047</v>
      </c>
      <c r="P302" s="207" t="s">
        <v>653</v>
      </c>
      <c r="Q302" s="208" t="s">
        <v>654</v>
      </c>
      <c r="R302" s="208" t="s">
        <v>1416</v>
      </c>
    </row>
    <row r="303" spans="1:18" s="205" customFormat="1" x14ac:dyDescent="0.2">
      <c r="A303" s="205" t="s">
        <v>516</v>
      </c>
      <c r="B303" s="205" t="s">
        <v>768</v>
      </c>
      <c r="C303" s="200">
        <v>45398</v>
      </c>
      <c r="D303" s="201" t="s">
        <v>152</v>
      </c>
      <c r="E303" s="206">
        <v>47875</v>
      </c>
      <c r="F303" s="206">
        <v>4788</v>
      </c>
      <c r="G303" s="206">
        <v>479</v>
      </c>
      <c r="H303" s="202">
        <f t="shared" si="4"/>
        <v>43566</v>
      </c>
      <c r="I303" s="205" t="s">
        <v>31</v>
      </c>
      <c r="J303" s="205" t="s">
        <v>29</v>
      </c>
      <c r="K303" s="201" t="s">
        <v>1042</v>
      </c>
      <c r="L303" s="205" t="s">
        <v>1626</v>
      </c>
      <c r="M303" s="201" t="s">
        <v>1030</v>
      </c>
      <c r="N303" s="205" t="s">
        <v>652</v>
      </c>
      <c r="O303" s="205" t="s">
        <v>652</v>
      </c>
      <c r="P303" s="207" t="s">
        <v>651</v>
      </c>
      <c r="Q303" s="208" t="s">
        <v>673</v>
      </c>
      <c r="R303" s="208" t="s">
        <v>1416</v>
      </c>
    </row>
    <row r="304" spans="1:18" s="205" customFormat="1" x14ac:dyDescent="0.2">
      <c r="A304" s="205" t="s">
        <v>1627</v>
      </c>
      <c r="B304" s="205" t="s">
        <v>229</v>
      </c>
      <c r="C304" s="200">
        <v>45398</v>
      </c>
      <c r="D304" s="201" t="s">
        <v>152</v>
      </c>
      <c r="E304" s="206">
        <v>43742</v>
      </c>
      <c r="F304" s="206">
        <v>4374</v>
      </c>
      <c r="G304" s="206">
        <v>219</v>
      </c>
      <c r="H304" s="202">
        <f t="shared" si="4"/>
        <v>39587</v>
      </c>
      <c r="I304" s="205" t="s">
        <v>38</v>
      </c>
      <c r="J304" s="205" t="s">
        <v>23</v>
      </c>
      <c r="K304" s="201" t="s">
        <v>1042</v>
      </c>
      <c r="L304" s="205" t="s">
        <v>1628</v>
      </c>
      <c r="M304" s="201" t="s">
        <v>1030</v>
      </c>
      <c r="N304" s="205" t="s">
        <v>652</v>
      </c>
      <c r="O304" s="205" t="s">
        <v>652</v>
      </c>
      <c r="P304" s="207" t="s">
        <v>653</v>
      </c>
      <c r="Q304" s="208" t="s">
        <v>654</v>
      </c>
      <c r="R304" s="208" t="s">
        <v>1416</v>
      </c>
    </row>
    <row r="305" spans="1:18" s="205" customFormat="1" x14ac:dyDescent="0.2">
      <c r="A305" s="205" t="s">
        <v>1629</v>
      </c>
      <c r="B305" s="205" t="s">
        <v>229</v>
      </c>
      <c r="C305" s="200">
        <v>45398</v>
      </c>
      <c r="D305" s="201" t="s">
        <v>152</v>
      </c>
      <c r="E305" s="206">
        <v>27213</v>
      </c>
      <c r="F305" s="206">
        <v>2721</v>
      </c>
      <c r="G305" s="206">
        <v>136</v>
      </c>
      <c r="H305" s="202">
        <f t="shared" si="4"/>
        <v>24628</v>
      </c>
      <c r="I305" s="205" t="s">
        <v>38</v>
      </c>
      <c r="J305" s="205" t="s">
        <v>23</v>
      </c>
      <c r="K305" s="201" t="s">
        <v>1042</v>
      </c>
      <c r="L305" s="205" t="s">
        <v>1630</v>
      </c>
      <c r="M305" s="201" t="s">
        <v>1030</v>
      </c>
      <c r="N305" s="205" t="s">
        <v>652</v>
      </c>
      <c r="O305" s="205" t="s">
        <v>652</v>
      </c>
      <c r="P305" s="207" t="s">
        <v>653</v>
      </c>
      <c r="Q305" s="208" t="s">
        <v>654</v>
      </c>
      <c r="R305" s="208" t="s">
        <v>1416</v>
      </c>
    </row>
    <row r="306" spans="1:18" s="205" customFormat="1" x14ac:dyDescent="0.2">
      <c r="A306" s="205" t="s">
        <v>1631</v>
      </c>
      <c r="B306" s="205" t="s">
        <v>229</v>
      </c>
      <c r="C306" s="200">
        <v>45398</v>
      </c>
      <c r="D306" s="201" t="s">
        <v>152</v>
      </c>
      <c r="E306" s="206">
        <v>87104</v>
      </c>
      <c r="F306" s="206">
        <v>8710</v>
      </c>
      <c r="G306" s="206">
        <v>436</v>
      </c>
      <c r="H306" s="202">
        <f t="shared" si="4"/>
        <v>78830</v>
      </c>
      <c r="I306" s="205" t="s">
        <v>38</v>
      </c>
      <c r="J306" s="205" t="s">
        <v>23</v>
      </c>
      <c r="K306" s="201" t="s">
        <v>1042</v>
      </c>
      <c r="L306" s="205" t="s">
        <v>1632</v>
      </c>
      <c r="M306" s="201" t="s">
        <v>1030</v>
      </c>
      <c r="N306" s="205" t="s">
        <v>652</v>
      </c>
      <c r="O306" s="205" t="s">
        <v>652</v>
      </c>
      <c r="P306" s="207" t="s">
        <v>653</v>
      </c>
      <c r="Q306" s="208" t="s">
        <v>654</v>
      </c>
      <c r="R306" s="208" t="s">
        <v>1416</v>
      </c>
    </row>
    <row r="307" spans="1:18" s="205" customFormat="1" x14ac:dyDescent="0.2">
      <c r="A307" s="205" t="s">
        <v>77</v>
      </c>
      <c r="B307" s="205" t="s">
        <v>369</v>
      </c>
      <c r="C307" s="200">
        <v>45398</v>
      </c>
      <c r="D307" s="201" t="s">
        <v>152</v>
      </c>
      <c r="E307" s="206">
        <v>79484</v>
      </c>
      <c r="F307" s="206">
        <v>7948</v>
      </c>
      <c r="G307" s="206">
        <v>397</v>
      </c>
      <c r="H307" s="202">
        <f t="shared" si="4"/>
        <v>71933</v>
      </c>
      <c r="I307" s="205" t="s">
        <v>33</v>
      </c>
      <c r="J307" s="205" t="s">
        <v>23</v>
      </c>
      <c r="K307" s="201" t="s">
        <v>1042</v>
      </c>
      <c r="L307" s="205" t="s">
        <v>1633</v>
      </c>
      <c r="M307" s="201" t="s">
        <v>652</v>
      </c>
      <c r="N307" s="205" t="s">
        <v>652</v>
      </c>
      <c r="O307" s="205" t="s">
        <v>652</v>
      </c>
      <c r="P307" s="207" t="s">
        <v>503</v>
      </c>
      <c r="Q307" s="208" t="s">
        <v>766</v>
      </c>
      <c r="R307" s="208" t="s">
        <v>1416</v>
      </c>
    </row>
    <row r="308" spans="1:18" s="205" customFormat="1" x14ac:dyDescent="0.2">
      <c r="A308" s="205" t="s">
        <v>272</v>
      </c>
      <c r="B308" s="205" t="s">
        <v>340</v>
      </c>
      <c r="C308" s="200">
        <v>45398</v>
      </c>
      <c r="D308" s="201" t="s">
        <v>152</v>
      </c>
      <c r="E308" s="206">
        <v>30882</v>
      </c>
      <c r="F308" s="206">
        <v>3088</v>
      </c>
      <c r="G308" s="206">
        <v>154</v>
      </c>
      <c r="H308" s="202">
        <f t="shared" si="4"/>
        <v>27948</v>
      </c>
      <c r="I308" s="205" t="s">
        <v>52</v>
      </c>
      <c r="J308" s="205" t="s">
        <v>23</v>
      </c>
      <c r="K308" s="201" t="s">
        <v>1042</v>
      </c>
      <c r="L308" s="205" t="s">
        <v>1634</v>
      </c>
      <c r="M308" s="201" t="s">
        <v>1030</v>
      </c>
      <c r="N308" s="205" t="s">
        <v>652</v>
      </c>
      <c r="O308" s="205" t="s">
        <v>652</v>
      </c>
      <c r="P308" s="207" t="s">
        <v>759</v>
      </c>
      <c r="Q308" s="208" t="s">
        <v>760</v>
      </c>
      <c r="R308" s="208" t="s">
        <v>1416</v>
      </c>
    </row>
    <row r="309" spans="1:18" s="205" customFormat="1" x14ac:dyDescent="0.2">
      <c r="A309" s="205" t="s">
        <v>69</v>
      </c>
      <c r="B309" s="205" t="s">
        <v>607</v>
      </c>
      <c r="C309" s="200">
        <v>45398</v>
      </c>
      <c r="D309" s="201" t="s">
        <v>152</v>
      </c>
      <c r="E309" s="206">
        <v>619189</v>
      </c>
      <c r="F309" s="206">
        <v>61919</v>
      </c>
      <c r="G309" s="206">
        <v>3096</v>
      </c>
      <c r="H309" s="202">
        <f t="shared" si="4"/>
        <v>560366</v>
      </c>
      <c r="I309" s="205" t="s">
        <v>38</v>
      </c>
      <c r="J309" s="205" t="s">
        <v>23</v>
      </c>
      <c r="K309" s="201" t="s">
        <v>1042</v>
      </c>
      <c r="L309" s="205" t="s">
        <v>1635</v>
      </c>
      <c r="M309" s="201" t="s">
        <v>1030</v>
      </c>
      <c r="N309" s="205" t="s">
        <v>652</v>
      </c>
      <c r="O309" s="205" t="s">
        <v>652</v>
      </c>
      <c r="P309" s="207" t="s">
        <v>653</v>
      </c>
      <c r="Q309" s="208" t="s">
        <v>654</v>
      </c>
      <c r="R309" s="208" t="s">
        <v>1416</v>
      </c>
    </row>
    <row r="310" spans="1:18" s="205" customFormat="1" x14ac:dyDescent="0.2">
      <c r="A310" s="205" t="s">
        <v>131</v>
      </c>
      <c r="B310" s="205" t="s">
        <v>603</v>
      </c>
      <c r="C310" s="200">
        <v>45398</v>
      </c>
      <c r="D310" s="201" t="s">
        <v>152</v>
      </c>
      <c r="E310" s="206">
        <v>118194</v>
      </c>
      <c r="F310" s="206">
        <v>11819</v>
      </c>
      <c r="G310" s="206">
        <v>591</v>
      </c>
      <c r="H310" s="202">
        <f t="shared" si="4"/>
        <v>106966</v>
      </c>
      <c r="I310" s="205" t="s">
        <v>44</v>
      </c>
      <c r="J310" s="205" t="s">
        <v>23</v>
      </c>
      <c r="K310" s="201" t="s">
        <v>1042</v>
      </c>
      <c r="L310" s="205" t="s">
        <v>1636</v>
      </c>
      <c r="M310" s="201" t="s">
        <v>1030</v>
      </c>
      <c r="N310" s="205" t="s">
        <v>652</v>
      </c>
      <c r="O310" s="205" t="s">
        <v>652</v>
      </c>
      <c r="P310" s="207" t="s">
        <v>653</v>
      </c>
      <c r="Q310" s="208" t="s">
        <v>654</v>
      </c>
      <c r="R310" s="208" t="s">
        <v>1416</v>
      </c>
    </row>
    <row r="311" spans="1:18" s="205" customFormat="1" x14ac:dyDescent="0.2">
      <c r="A311" s="205" t="s">
        <v>105</v>
      </c>
      <c r="B311" s="205" t="s">
        <v>618</v>
      </c>
      <c r="C311" s="200">
        <v>45398</v>
      </c>
      <c r="D311" s="201" t="s">
        <v>152</v>
      </c>
      <c r="E311" s="206">
        <v>72342</v>
      </c>
      <c r="F311" s="206">
        <v>7234</v>
      </c>
      <c r="G311" s="206">
        <v>362</v>
      </c>
      <c r="H311" s="202">
        <f t="shared" si="4"/>
        <v>65470</v>
      </c>
      <c r="I311" s="205" t="s">
        <v>44</v>
      </c>
      <c r="J311" s="205" t="s">
        <v>23</v>
      </c>
      <c r="K311" s="201" t="s">
        <v>1042</v>
      </c>
      <c r="L311" s="205" t="s">
        <v>1637</v>
      </c>
      <c r="M311" s="201" t="s">
        <v>1030</v>
      </c>
      <c r="N311" s="205" t="s">
        <v>652</v>
      </c>
      <c r="O311" s="205" t="s">
        <v>652</v>
      </c>
      <c r="P311" s="207" t="s">
        <v>653</v>
      </c>
      <c r="Q311" s="208" t="s">
        <v>654</v>
      </c>
      <c r="R311" s="208" t="s">
        <v>1416</v>
      </c>
    </row>
    <row r="312" spans="1:18" s="205" customFormat="1" x14ac:dyDescent="0.2">
      <c r="A312" s="205" t="s">
        <v>1201</v>
      </c>
      <c r="B312" s="205" t="s">
        <v>1202</v>
      </c>
      <c r="C312" s="200">
        <v>45398</v>
      </c>
      <c r="D312" s="201" t="s">
        <v>152</v>
      </c>
      <c r="E312" s="206">
        <v>123110</v>
      </c>
      <c r="F312" s="206">
        <v>12311</v>
      </c>
      <c r="G312" s="206">
        <v>616</v>
      </c>
      <c r="H312" s="202">
        <f t="shared" si="4"/>
        <v>111415</v>
      </c>
      <c r="I312" s="205" t="s">
        <v>81</v>
      </c>
      <c r="J312" s="205" t="s">
        <v>23</v>
      </c>
      <c r="K312" s="201" t="s">
        <v>1042</v>
      </c>
      <c r="L312" s="205" t="s">
        <v>1638</v>
      </c>
      <c r="M312" s="201" t="s">
        <v>1030</v>
      </c>
      <c r="N312" s="205" t="s">
        <v>1204</v>
      </c>
      <c r="O312" s="205" t="s">
        <v>1115</v>
      </c>
      <c r="P312" s="207" t="s">
        <v>987</v>
      </c>
      <c r="Q312" s="208" t="s">
        <v>988</v>
      </c>
      <c r="R312" s="208" t="s">
        <v>1416</v>
      </c>
    </row>
    <row r="313" spans="1:18" s="205" customFormat="1" x14ac:dyDescent="0.2">
      <c r="A313" s="205" t="s">
        <v>79</v>
      </c>
      <c r="B313" s="205" t="s">
        <v>535</v>
      </c>
      <c r="C313" s="200">
        <v>45398</v>
      </c>
      <c r="D313" s="201" t="s">
        <v>152</v>
      </c>
      <c r="E313" s="206">
        <v>12439</v>
      </c>
      <c r="F313" s="206">
        <v>1244</v>
      </c>
      <c r="G313" s="206">
        <v>62</v>
      </c>
      <c r="H313" s="202">
        <f t="shared" si="4"/>
        <v>11257</v>
      </c>
      <c r="I313" s="205" t="s">
        <v>22</v>
      </c>
      <c r="J313" s="205" t="s">
        <v>23</v>
      </c>
      <c r="K313" s="201" t="s">
        <v>1042</v>
      </c>
      <c r="L313" s="205" t="s">
        <v>1639</v>
      </c>
      <c r="M313" s="201" t="s">
        <v>1030</v>
      </c>
      <c r="N313" s="205" t="s">
        <v>652</v>
      </c>
      <c r="O313" s="205" t="s">
        <v>652</v>
      </c>
      <c r="P313" s="207" t="s">
        <v>674</v>
      </c>
      <c r="Q313" s="208" t="s">
        <v>675</v>
      </c>
      <c r="R313" s="208" t="s">
        <v>1416</v>
      </c>
    </row>
    <row r="314" spans="1:18" s="205" customFormat="1" x14ac:dyDescent="0.2">
      <c r="A314" s="205" t="s">
        <v>221</v>
      </c>
      <c r="B314" s="205" t="s">
        <v>1062</v>
      </c>
      <c r="C314" s="200">
        <v>45398</v>
      </c>
      <c r="D314" s="199" t="s">
        <v>166</v>
      </c>
      <c r="E314" s="206">
        <v>-26858</v>
      </c>
      <c r="F314" s="206">
        <v>-2686</v>
      </c>
      <c r="G314" s="206">
        <v>-134</v>
      </c>
      <c r="H314" s="202">
        <f t="shared" si="4"/>
        <v>-24306</v>
      </c>
      <c r="I314" s="205" t="s">
        <v>224</v>
      </c>
      <c r="J314" s="205" t="s">
        <v>23</v>
      </c>
      <c r="K314" s="201" t="s">
        <v>1068</v>
      </c>
      <c r="L314" s="205" t="s">
        <v>1640</v>
      </c>
      <c r="M314" s="199" t="s">
        <v>1030</v>
      </c>
      <c r="N314" s="205" t="s">
        <v>652</v>
      </c>
      <c r="O314" s="205" t="s">
        <v>652</v>
      </c>
      <c r="P314" s="207" t="s">
        <v>987</v>
      </c>
      <c r="Q314" s="208" t="s">
        <v>988</v>
      </c>
      <c r="R314" s="208" t="s">
        <v>1416</v>
      </c>
    </row>
    <row r="315" spans="1:18" s="205" customFormat="1" x14ac:dyDescent="0.2">
      <c r="A315" s="205" t="s">
        <v>122</v>
      </c>
      <c r="B315" s="205" t="s">
        <v>966</v>
      </c>
      <c r="C315" s="200">
        <v>45398</v>
      </c>
      <c r="D315" s="199" t="s">
        <v>166</v>
      </c>
      <c r="E315" s="206">
        <v>-4252171</v>
      </c>
      <c r="F315" s="206">
        <v>-425217</v>
      </c>
      <c r="G315" s="206">
        <v>-21261</v>
      </c>
      <c r="H315" s="202">
        <f t="shared" si="4"/>
        <v>-3848215</v>
      </c>
      <c r="I315" s="205" t="s">
        <v>22</v>
      </c>
      <c r="J315" s="205" t="s">
        <v>23</v>
      </c>
      <c r="K315" s="201" t="s">
        <v>1068</v>
      </c>
      <c r="L315" s="205" t="s">
        <v>1641</v>
      </c>
      <c r="M315" s="199" t="s">
        <v>1030</v>
      </c>
      <c r="N315" s="205" t="s">
        <v>652</v>
      </c>
      <c r="O315" s="205" t="s">
        <v>652</v>
      </c>
      <c r="P315" s="207" t="s">
        <v>786</v>
      </c>
      <c r="Q315" s="208" t="s">
        <v>962</v>
      </c>
      <c r="R315" s="208" t="s">
        <v>1416</v>
      </c>
    </row>
    <row r="316" spans="1:18" s="205" customFormat="1" x14ac:dyDescent="0.2">
      <c r="A316" s="205" t="s">
        <v>156</v>
      </c>
      <c r="B316" s="205" t="s">
        <v>648</v>
      </c>
      <c r="C316" s="200">
        <v>45398</v>
      </c>
      <c r="D316" s="201" t="s">
        <v>152</v>
      </c>
      <c r="E316" s="206">
        <v>530846</v>
      </c>
      <c r="F316" s="206">
        <v>0</v>
      </c>
      <c r="G316" s="206">
        <v>0</v>
      </c>
      <c r="H316" s="202">
        <f t="shared" si="4"/>
        <v>530846</v>
      </c>
      <c r="I316" s="205" t="s">
        <v>25</v>
      </c>
      <c r="J316" s="205" t="s">
        <v>214</v>
      </c>
      <c r="K316" s="201" t="s">
        <v>1042</v>
      </c>
      <c r="L316" s="205" t="s">
        <v>1642</v>
      </c>
      <c r="M316" s="201" t="s">
        <v>1030</v>
      </c>
      <c r="N316" s="205" t="s">
        <v>1190</v>
      </c>
      <c r="O316" s="205" t="s">
        <v>1191</v>
      </c>
      <c r="P316" s="207" t="s">
        <v>778</v>
      </c>
      <c r="Q316" s="208" t="s">
        <v>779</v>
      </c>
      <c r="R316" s="208" t="s">
        <v>1416</v>
      </c>
    </row>
    <row r="317" spans="1:18" s="205" customFormat="1" x14ac:dyDescent="0.2">
      <c r="A317" s="205" t="s">
        <v>956</v>
      </c>
      <c r="B317" s="205" t="s">
        <v>1643</v>
      </c>
      <c r="C317" s="200">
        <v>45399</v>
      </c>
      <c r="D317" s="201" t="s">
        <v>152</v>
      </c>
      <c r="E317" s="206">
        <v>36066</v>
      </c>
      <c r="F317" s="206">
        <v>3607</v>
      </c>
      <c r="G317" s="206">
        <v>361</v>
      </c>
      <c r="H317" s="202">
        <f t="shared" si="4"/>
        <v>32820</v>
      </c>
      <c r="I317" s="205" t="s">
        <v>40</v>
      </c>
      <c r="J317" s="205" t="s">
        <v>29</v>
      </c>
      <c r="K317" s="201" t="s">
        <v>1058</v>
      </c>
      <c r="L317" s="205" t="s">
        <v>1644</v>
      </c>
      <c r="M317" s="199" t="s">
        <v>1030</v>
      </c>
      <c r="N317" s="205" t="s">
        <v>652</v>
      </c>
      <c r="O317" s="205" t="s">
        <v>652</v>
      </c>
      <c r="P317" s="207" t="s">
        <v>868</v>
      </c>
      <c r="Q317" s="208" t="s">
        <v>953</v>
      </c>
      <c r="R317" s="208" t="s">
        <v>1266</v>
      </c>
    </row>
    <row r="318" spans="1:18" s="205" customFormat="1" x14ac:dyDescent="0.2">
      <c r="A318" s="205" t="s">
        <v>1645</v>
      </c>
      <c r="B318" s="205" t="s">
        <v>1646</v>
      </c>
      <c r="C318" s="200">
        <v>45399</v>
      </c>
      <c r="D318" s="201" t="s">
        <v>152</v>
      </c>
      <c r="E318" s="206">
        <v>144964</v>
      </c>
      <c r="F318" s="206">
        <v>14496</v>
      </c>
      <c r="G318" s="206">
        <v>1450</v>
      </c>
      <c r="H318" s="202">
        <f t="shared" si="4"/>
        <v>131918</v>
      </c>
      <c r="I318" s="205" t="s">
        <v>107</v>
      </c>
      <c r="J318" s="205" t="s">
        <v>29</v>
      </c>
      <c r="K318" s="201" t="s">
        <v>1028</v>
      </c>
      <c r="L318" s="205" t="s">
        <v>1647</v>
      </c>
      <c r="M318" s="201" t="s">
        <v>1030</v>
      </c>
      <c r="N318" s="205" t="s">
        <v>652</v>
      </c>
      <c r="O318" s="205" t="s">
        <v>652</v>
      </c>
      <c r="P318" s="207" t="s">
        <v>1086</v>
      </c>
      <c r="Q318" s="208" t="s">
        <v>1360</v>
      </c>
      <c r="R318" s="208" t="s">
        <v>1266</v>
      </c>
    </row>
    <row r="319" spans="1:18" s="205" customFormat="1" x14ac:dyDescent="0.2">
      <c r="A319" s="205" t="s">
        <v>1648</v>
      </c>
      <c r="B319" s="205" t="s">
        <v>241</v>
      </c>
      <c r="C319" s="200">
        <v>45399</v>
      </c>
      <c r="D319" s="201" t="s">
        <v>152</v>
      </c>
      <c r="E319" s="206">
        <v>70819</v>
      </c>
      <c r="F319" s="206">
        <v>7082</v>
      </c>
      <c r="G319" s="206">
        <v>708</v>
      </c>
      <c r="H319" s="202">
        <f t="shared" si="4"/>
        <v>64445</v>
      </c>
      <c r="I319" s="205" t="s">
        <v>242</v>
      </c>
      <c r="J319" s="205" t="s">
        <v>29</v>
      </c>
      <c r="K319" s="201" t="s">
        <v>1042</v>
      </c>
      <c r="L319" s="205" t="s">
        <v>1649</v>
      </c>
      <c r="M319" s="201" t="s">
        <v>1030</v>
      </c>
      <c r="N319" s="205" t="s">
        <v>652</v>
      </c>
      <c r="O319" s="205" t="s">
        <v>652</v>
      </c>
      <c r="P319" s="207" t="s">
        <v>688</v>
      </c>
      <c r="Q319" s="208" t="s">
        <v>689</v>
      </c>
      <c r="R319" s="208" t="s">
        <v>1266</v>
      </c>
    </row>
    <row r="320" spans="1:18" s="205" customFormat="1" x14ac:dyDescent="0.2">
      <c r="A320" s="205" t="s">
        <v>427</v>
      </c>
      <c r="B320" s="205" t="s">
        <v>736</v>
      </c>
      <c r="C320" s="200">
        <v>45399</v>
      </c>
      <c r="D320" s="199" t="s">
        <v>166</v>
      </c>
      <c r="E320" s="206">
        <v>-78873</v>
      </c>
      <c r="F320" s="206">
        <v>-7887</v>
      </c>
      <c r="G320" s="206">
        <v>-789</v>
      </c>
      <c r="H320" s="202">
        <f t="shared" si="4"/>
        <v>-71775</v>
      </c>
      <c r="I320" s="205" t="s">
        <v>737</v>
      </c>
      <c r="J320" s="205" t="s">
        <v>29</v>
      </c>
      <c r="K320" s="201" t="s">
        <v>1068</v>
      </c>
      <c r="L320" s="205" t="s">
        <v>1650</v>
      </c>
      <c r="M320" s="201" t="s">
        <v>1072</v>
      </c>
      <c r="N320" s="205" t="s">
        <v>1651</v>
      </c>
      <c r="O320" s="205" t="s">
        <v>1652</v>
      </c>
      <c r="P320" s="207" t="s">
        <v>651</v>
      </c>
      <c r="Q320" s="208" t="s">
        <v>673</v>
      </c>
      <c r="R320" s="208" t="s">
        <v>1266</v>
      </c>
    </row>
    <row r="321" spans="1:18" s="205" customFormat="1" x14ac:dyDescent="0.2">
      <c r="A321" s="205" t="s">
        <v>1009</v>
      </c>
      <c r="B321" s="205" t="s">
        <v>1653</v>
      </c>
      <c r="C321" s="200">
        <v>45399</v>
      </c>
      <c r="D321" s="201" t="s">
        <v>152</v>
      </c>
      <c r="E321" s="206">
        <v>153188</v>
      </c>
      <c r="F321" s="206">
        <v>15319</v>
      </c>
      <c r="G321" s="206">
        <v>766</v>
      </c>
      <c r="H321" s="202">
        <f t="shared" si="4"/>
        <v>138635</v>
      </c>
      <c r="I321" s="205" t="s">
        <v>138</v>
      </c>
      <c r="J321" s="205" t="s">
        <v>23</v>
      </c>
      <c r="K321" s="201" t="s">
        <v>1028</v>
      </c>
      <c r="L321" s="205" t="s">
        <v>1654</v>
      </c>
      <c r="M321" s="201" t="s">
        <v>1072</v>
      </c>
      <c r="N321" s="205" t="s">
        <v>652</v>
      </c>
      <c r="O321" s="205" t="s">
        <v>652</v>
      </c>
      <c r="P321" s="207" t="s">
        <v>987</v>
      </c>
      <c r="Q321" s="208" t="s">
        <v>988</v>
      </c>
      <c r="R321" s="208" t="s">
        <v>1597</v>
      </c>
    </row>
    <row r="322" spans="1:18" s="205" customFormat="1" x14ac:dyDescent="0.2">
      <c r="A322" s="205" t="s">
        <v>841</v>
      </c>
      <c r="B322" s="205" t="s">
        <v>842</v>
      </c>
      <c r="C322" s="200">
        <v>45399</v>
      </c>
      <c r="D322" s="201" t="s">
        <v>152</v>
      </c>
      <c r="E322" s="206">
        <v>27048</v>
      </c>
      <c r="F322" s="206">
        <v>2705</v>
      </c>
      <c r="G322" s="206">
        <v>135</v>
      </c>
      <c r="H322" s="202">
        <f t="shared" ref="H322:H385" si="5">E322+G322-F322</f>
        <v>24478</v>
      </c>
      <c r="I322" s="205" t="s">
        <v>360</v>
      </c>
      <c r="J322" s="205" t="s">
        <v>23</v>
      </c>
      <c r="K322" s="201" t="s">
        <v>1042</v>
      </c>
      <c r="L322" s="205" t="s">
        <v>1655</v>
      </c>
      <c r="M322" s="201" t="s">
        <v>1072</v>
      </c>
      <c r="N322" s="205" t="s">
        <v>1065</v>
      </c>
      <c r="O322" s="205" t="s">
        <v>1066</v>
      </c>
      <c r="P322" s="207" t="s">
        <v>747</v>
      </c>
      <c r="Q322" s="208" t="s">
        <v>748</v>
      </c>
      <c r="R322" s="208" t="s">
        <v>1266</v>
      </c>
    </row>
    <row r="323" spans="1:18" s="205" customFormat="1" x14ac:dyDescent="0.2">
      <c r="A323" s="205" t="s">
        <v>1656</v>
      </c>
      <c r="B323" s="205" t="s">
        <v>1657</v>
      </c>
      <c r="C323" s="200">
        <v>45399</v>
      </c>
      <c r="D323" s="201" t="s">
        <v>152</v>
      </c>
      <c r="E323" s="206">
        <v>284568</v>
      </c>
      <c r="F323" s="206">
        <v>28457</v>
      </c>
      <c r="G323" s="206">
        <v>1423</v>
      </c>
      <c r="H323" s="202">
        <f t="shared" si="5"/>
        <v>257534</v>
      </c>
      <c r="I323" s="205" t="s">
        <v>138</v>
      </c>
      <c r="J323" s="205" t="s">
        <v>23</v>
      </c>
      <c r="K323" s="201" t="s">
        <v>1028</v>
      </c>
      <c r="L323" s="205" t="s">
        <v>1658</v>
      </c>
      <c r="M323" s="201" t="s">
        <v>1030</v>
      </c>
      <c r="N323" s="205" t="s">
        <v>652</v>
      </c>
      <c r="O323" s="205" t="s">
        <v>652</v>
      </c>
      <c r="P323" s="207" t="s">
        <v>987</v>
      </c>
      <c r="Q323" s="208" t="s">
        <v>988</v>
      </c>
      <c r="R323" s="208" t="s">
        <v>1266</v>
      </c>
    </row>
    <row r="324" spans="1:18" s="205" customFormat="1" x14ac:dyDescent="0.2">
      <c r="A324" s="205" t="s">
        <v>1659</v>
      </c>
      <c r="B324" s="205" t="s">
        <v>1660</v>
      </c>
      <c r="C324" s="200">
        <v>45399</v>
      </c>
      <c r="D324" s="201" t="s">
        <v>152</v>
      </c>
      <c r="E324" s="206">
        <v>90769</v>
      </c>
      <c r="F324" s="206">
        <v>9077</v>
      </c>
      <c r="G324" s="206">
        <v>454</v>
      </c>
      <c r="H324" s="202">
        <f t="shared" si="5"/>
        <v>82146</v>
      </c>
      <c r="I324" s="205" t="s">
        <v>138</v>
      </c>
      <c r="J324" s="205" t="s">
        <v>23</v>
      </c>
      <c r="K324" s="201" t="s">
        <v>1028</v>
      </c>
      <c r="L324" s="205" t="s">
        <v>1661</v>
      </c>
      <c r="M324" s="201" t="s">
        <v>1030</v>
      </c>
      <c r="N324" s="205" t="s">
        <v>652</v>
      </c>
      <c r="O324" s="205" t="s">
        <v>652</v>
      </c>
      <c r="P324" s="207" t="s">
        <v>987</v>
      </c>
      <c r="Q324" s="208" t="s">
        <v>988</v>
      </c>
      <c r="R324" s="208" t="s">
        <v>1266</v>
      </c>
    </row>
    <row r="325" spans="1:18" s="205" customFormat="1" x14ac:dyDescent="0.2">
      <c r="A325" s="205" t="s">
        <v>1662</v>
      </c>
      <c r="B325" s="205" t="s">
        <v>1663</v>
      </c>
      <c r="C325" s="200">
        <v>45399</v>
      </c>
      <c r="D325" s="201" t="s">
        <v>152</v>
      </c>
      <c r="E325" s="206">
        <v>125062</v>
      </c>
      <c r="F325" s="206">
        <v>12506</v>
      </c>
      <c r="G325" s="206">
        <v>625</v>
      </c>
      <c r="H325" s="202">
        <f t="shared" si="5"/>
        <v>113181</v>
      </c>
      <c r="I325" s="205" t="s">
        <v>138</v>
      </c>
      <c r="J325" s="205" t="s">
        <v>23</v>
      </c>
      <c r="K325" s="201" t="s">
        <v>1028</v>
      </c>
      <c r="L325" s="205" t="s">
        <v>1664</v>
      </c>
      <c r="M325" s="201" t="s">
        <v>1072</v>
      </c>
      <c r="N325" s="205" t="s">
        <v>652</v>
      </c>
      <c r="O325" s="205" t="s">
        <v>652</v>
      </c>
      <c r="P325" s="207" t="s">
        <v>987</v>
      </c>
      <c r="Q325" s="208" t="s">
        <v>988</v>
      </c>
      <c r="R325" s="208" t="s">
        <v>1266</v>
      </c>
    </row>
    <row r="326" spans="1:18" s="205" customFormat="1" x14ac:dyDescent="0.2">
      <c r="A326" s="205" t="s">
        <v>1665</v>
      </c>
      <c r="B326" s="205" t="s">
        <v>229</v>
      </c>
      <c r="C326" s="200">
        <v>45399</v>
      </c>
      <c r="D326" s="201" t="s">
        <v>152</v>
      </c>
      <c r="E326" s="206">
        <v>69284</v>
      </c>
      <c r="F326" s="206">
        <v>6928</v>
      </c>
      <c r="G326" s="206">
        <v>346</v>
      </c>
      <c r="H326" s="202">
        <f t="shared" si="5"/>
        <v>62702</v>
      </c>
      <c r="I326" s="205" t="s">
        <v>38</v>
      </c>
      <c r="J326" s="205" t="s">
        <v>23</v>
      </c>
      <c r="K326" s="201" t="s">
        <v>1042</v>
      </c>
      <c r="L326" s="205" t="s">
        <v>1666</v>
      </c>
      <c r="M326" s="201" t="s">
        <v>1030</v>
      </c>
      <c r="N326" s="205" t="s">
        <v>652</v>
      </c>
      <c r="O326" s="205" t="s">
        <v>652</v>
      </c>
      <c r="P326" s="207" t="s">
        <v>653</v>
      </c>
      <c r="Q326" s="208" t="s">
        <v>654</v>
      </c>
      <c r="R326" s="208" t="s">
        <v>1266</v>
      </c>
    </row>
    <row r="327" spans="1:18" s="205" customFormat="1" x14ac:dyDescent="0.2">
      <c r="A327" s="205" t="s">
        <v>1281</v>
      </c>
      <c r="B327" s="205" t="s">
        <v>1282</v>
      </c>
      <c r="C327" s="200">
        <v>45399</v>
      </c>
      <c r="D327" s="201" t="s">
        <v>152</v>
      </c>
      <c r="E327" s="206">
        <v>29897</v>
      </c>
      <c r="F327" s="206">
        <v>2990</v>
      </c>
      <c r="G327" s="206">
        <v>149</v>
      </c>
      <c r="H327" s="202">
        <f t="shared" si="5"/>
        <v>27056</v>
      </c>
      <c r="I327" s="205" t="s">
        <v>22</v>
      </c>
      <c r="J327" s="205" t="s">
        <v>23</v>
      </c>
      <c r="K327" s="201" t="s">
        <v>1141</v>
      </c>
      <c r="L327" s="205" t="s">
        <v>1667</v>
      </c>
      <c r="M327" s="201" t="s">
        <v>1284</v>
      </c>
      <c r="N327" s="205" t="s">
        <v>1285</v>
      </c>
      <c r="O327" s="205" t="s">
        <v>1286</v>
      </c>
      <c r="P327" s="207" t="s">
        <v>786</v>
      </c>
      <c r="Q327" s="208" t="s">
        <v>962</v>
      </c>
      <c r="R327" s="208" t="s">
        <v>1266</v>
      </c>
    </row>
    <row r="328" spans="1:18" s="205" customFormat="1" x14ac:dyDescent="0.2">
      <c r="A328" s="205" t="s">
        <v>1668</v>
      </c>
      <c r="B328" s="205" t="s">
        <v>246</v>
      </c>
      <c r="C328" s="200">
        <v>45399</v>
      </c>
      <c r="D328" s="201" t="s">
        <v>152</v>
      </c>
      <c r="E328" s="206">
        <v>22716</v>
      </c>
      <c r="F328" s="206">
        <v>2272</v>
      </c>
      <c r="G328" s="206">
        <v>114</v>
      </c>
      <c r="H328" s="202">
        <f t="shared" si="5"/>
        <v>20558</v>
      </c>
      <c r="I328" s="205" t="s">
        <v>193</v>
      </c>
      <c r="J328" s="205" t="s">
        <v>23</v>
      </c>
      <c r="K328" s="201" t="s">
        <v>1042</v>
      </c>
      <c r="L328" s="205" t="s">
        <v>1669</v>
      </c>
      <c r="M328" s="201" t="s">
        <v>1030</v>
      </c>
      <c r="N328" s="205" t="s">
        <v>652</v>
      </c>
      <c r="O328" s="205" t="s">
        <v>652</v>
      </c>
      <c r="P328" s="207" t="s">
        <v>663</v>
      </c>
      <c r="Q328" s="208" t="s">
        <v>723</v>
      </c>
      <c r="R328" s="208" t="s">
        <v>1266</v>
      </c>
    </row>
    <row r="329" spans="1:18" s="205" customFormat="1" x14ac:dyDescent="0.2">
      <c r="A329" s="205" t="s">
        <v>1670</v>
      </c>
      <c r="B329" s="205" t="s">
        <v>123</v>
      </c>
      <c r="C329" s="200">
        <v>45399</v>
      </c>
      <c r="D329" s="201" t="s">
        <v>152</v>
      </c>
      <c r="E329" s="206">
        <v>34265</v>
      </c>
      <c r="F329" s="206">
        <v>3427</v>
      </c>
      <c r="G329" s="206">
        <v>171</v>
      </c>
      <c r="H329" s="202">
        <f t="shared" si="5"/>
        <v>31009</v>
      </c>
      <c r="I329" s="205" t="s">
        <v>193</v>
      </c>
      <c r="J329" s="205" t="s">
        <v>23</v>
      </c>
      <c r="K329" s="201" t="s">
        <v>1058</v>
      </c>
      <c r="L329" s="205" t="s">
        <v>1671</v>
      </c>
      <c r="M329" s="201" t="s">
        <v>1030</v>
      </c>
      <c r="N329" s="205" t="s">
        <v>652</v>
      </c>
      <c r="O329" s="205" t="s">
        <v>652</v>
      </c>
      <c r="P329" s="207" t="s">
        <v>664</v>
      </c>
      <c r="Q329" s="208" t="s">
        <v>665</v>
      </c>
      <c r="R329" s="208" t="s">
        <v>1266</v>
      </c>
    </row>
    <row r="330" spans="1:18" s="205" customFormat="1" x14ac:dyDescent="0.2">
      <c r="A330" s="205" t="s">
        <v>1281</v>
      </c>
      <c r="B330" s="205" t="s">
        <v>1282</v>
      </c>
      <c r="C330" s="200">
        <v>45399</v>
      </c>
      <c r="D330" s="199" t="s">
        <v>166</v>
      </c>
      <c r="E330" s="206">
        <v>-30144</v>
      </c>
      <c r="F330" s="206">
        <v>-3014</v>
      </c>
      <c r="G330" s="206">
        <v>-151</v>
      </c>
      <c r="H330" s="202">
        <f t="shared" si="5"/>
        <v>-27281</v>
      </c>
      <c r="I330" s="205" t="s">
        <v>22</v>
      </c>
      <c r="J330" s="205" t="s">
        <v>23</v>
      </c>
      <c r="K330" s="201" t="s">
        <v>1068</v>
      </c>
      <c r="L330" s="205" t="s">
        <v>1672</v>
      </c>
      <c r="M330" s="201" t="s">
        <v>1284</v>
      </c>
      <c r="N330" s="205" t="s">
        <v>1285</v>
      </c>
      <c r="O330" s="205" t="s">
        <v>1286</v>
      </c>
      <c r="P330" s="207" t="s">
        <v>786</v>
      </c>
      <c r="Q330" s="208" t="s">
        <v>962</v>
      </c>
      <c r="R330" s="208" t="s">
        <v>1266</v>
      </c>
    </row>
    <row r="331" spans="1:18" s="205" customFormat="1" x14ac:dyDescent="0.2">
      <c r="A331" s="205" t="s">
        <v>257</v>
      </c>
      <c r="B331" s="205" t="s">
        <v>1673</v>
      </c>
      <c r="C331" s="200">
        <v>45399</v>
      </c>
      <c r="D331" s="201" t="s">
        <v>152</v>
      </c>
      <c r="E331" s="206">
        <v>531080</v>
      </c>
      <c r="F331" s="206">
        <v>0</v>
      </c>
      <c r="G331" s="206">
        <v>0</v>
      </c>
      <c r="H331" s="202">
        <f t="shared" si="5"/>
        <v>531080</v>
      </c>
      <c r="I331" s="205" t="s">
        <v>25</v>
      </c>
      <c r="J331" s="205" t="s">
        <v>214</v>
      </c>
      <c r="K331" s="201" t="s">
        <v>1028</v>
      </c>
      <c r="L331" s="205" t="s">
        <v>1674</v>
      </c>
      <c r="M331" s="201" t="s">
        <v>1030</v>
      </c>
      <c r="N331" s="205" t="s">
        <v>652</v>
      </c>
      <c r="O331" s="205" t="s">
        <v>652</v>
      </c>
      <c r="P331" s="207" t="s">
        <v>663</v>
      </c>
      <c r="Q331" s="208" t="s">
        <v>723</v>
      </c>
      <c r="R331" s="208" t="s">
        <v>1416</v>
      </c>
    </row>
    <row r="332" spans="1:18" s="205" customFormat="1" x14ac:dyDescent="0.2">
      <c r="A332" s="205" t="s">
        <v>366</v>
      </c>
      <c r="B332" s="205" t="s">
        <v>365</v>
      </c>
      <c r="C332" s="200">
        <v>45399</v>
      </c>
      <c r="D332" s="201" t="s">
        <v>152</v>
      </c>
      <c r="E332" s="206">
        <v>18393</v>
      </c>
      <c r="F332" s="206">
        <v>0</v>
      </c>
      <c r="G332" s="206">
        <v>0</v>
      </c>
      <c r="H332" s="202">
        <f t="shared" si="5"/>
        <v>18393</v>
      </c>
      <c r="I332" s="205" t="s">
        <v>25</v>
      </c>
      <c r="J332" s="205" t="s">
        <v>214</v>
      </c>
      <c r="K332" s="201" t="s">
        <v>1042</v>
      </c>
      <c r="L332" s="205" t="s">
        <v>1675</v>
      </c>
      <c r="M332" s="201" t="s">
        <v>1030</v>
      </c>
      <c r="N332" s="205" t="s">
        <v>1190</v>
      </c>
      <c r="O332" s="205" t="s">
        <v>1191</v>
      </c>
      <c r="P332" s="207" t="s">
        <v>494</v>
      </c>
      <c r="Q332" s="208" t="s">
        <v>780</v>
      </c>
      <c r="R332" s="208" t="s">
        <v>1266</v>
      </c>
    </row>
    <row r="333" spans="1:18" s="205" customFormat="1" x14ac:dyDescent="0.2">
      <c r="A333" s="205" t="s">
        <v>1676</v>
      </c>
      <c r="B333" s="205" t="s">
        <v>1677</v>
      </c>
      <c r="C333" s="200">
        <v>45400</v>
      </c>
      <c r="D333" s="201" t="s">
        <v>152</v>
      </c>
      <c r="E333" s="206">
        <v>35192</v>
      </c>
      <c r="F333" s="206">
        <v>3519</v>
      </c>
      <c r="G333" s="206">
        <v>352</v>
      </c>
      <c r="H333" s="202">
        <f t="shared" si="5"/>
        <v>32025</v>
      </c>
      <c r="I333" s="205" t="s">
        <v>217</v>
      </c>
      <c r="J333" s="205" t="s">
        <v>29</v>
      </c>
      <c r="K333" s="201" t="s">
        <v>1058</v>
      </c>
      <c r="L333" s="205" t="s">
        <v>1678</v>
      </c>
      <c r="M333" s="201" t="s">
        <v>1030</v>
      </c>
      <c r="N333" s="205" t="s">
        <v>652</v>
      </c>
      <c r="O333" s="205" t="s">
        <v>652</v>
      </c>
      <c r="P333" s="207" t="s">
        <v>992</v>
      </c>
      <c r="Q333" s="208" t="s">
        <v>993</v>
      </c>
      <c r="R333" s="208" t="s">
        <v>1416</v>
      </c>
    </row>
    <row r="334" spans="1:18" s="205" customFormat="1" x14ac:dyDescent="0.2">
      <c r="A334" s="205" t="s">
        <v>1679</v>
      </c>
      <c r="B334" s="205" t="s">
        <v>126</v>
      </c>
      <c r="C334" s="200">
        <v>45400</v>
      </c>
      <c r="D334" s="201" t="s">
        <v>152</v>
      </c>
      <c r="E334" s="206">
        <v>76839</v>
      </c>
      <c r="F334" s="206">
        <v>7684</v>
      </c>
      <c r="G334" s="206">
        <v>768</v>
      </c>
      <c r="H334" s="202">
        <f t="shared" si="5"/>
        <v>69923</v>
      </c>
      <c r="I334" s="205" t="s">
        <v>31</v>
      </c>
      <c r="J334" s="205" t="s">
        <v>29</v>
      </c>
      <c r="K334" s="201" t="s">
        <v>1028</v>
      </c>
      <c r="L334" s="205" t="s">
        <v>1680</v>
      </c>
      <c r="M334" s="201" t="s">
        <v>1030</v>
      </c>
      <c r="N334" s="205" t="s">
        <v>652</v>
      </c>
      <c r="O334" s="205" t="s">
        <v>652</v>
      </c>
      <c r="P334" s="207" t="s">
        <v>987</v>
      </c>
      <c r="Q334" s="208" t="s">
        <v>988</v>
      </c>
      <c r="R334" s="208" t="s">
        <v>1407</v>
      </c>
    </row>
    <row r="335" spans="1:18" s="205" customFormat="1" x14ac:dyDescent="0.2">
      <c r="A335" s="205" t="s">
        <v>1681</v>
      </c>
      <c r="B335" s="205" t="s">
        <v>1682</v>
      </c>
      <c r="C335" s="200">
        <v>45400</v>
      </c>
      <c r="D335" s="201" t="s">
        <v>152</v>
      </c>
      <c r="E335" s="206">
        <v>43137</v>
      </c>
      <c r="F335" s="206">
        <v>4314</v>
      </c>
      <c r="G335" s="206">
        <v>431</v>
      </c>
      <c r="H335" s="202">
        <f t="shared" si="5"/>
        <v>39254</v>
      </c>
      <c r="I335" s="205" t="s">
        <v>41</v>
      </c>
      <c r="J335" s="205" t="s">
        <v>29</v>
      </c>
      <c r="K335" s="201" t="s">
        <v>1028</v>
      </c>
      <c r="L335" s="205" t="s">
        <v>1683</v>
      </c>
      <c r="M335" s="201" t="s">
        <v>1030</v>
      </c>
      <c r="N335" s="205" t="s">
        <v>652</v>
      </c>
      <c r="O335" s="205" t="s">
        <v>652</v>
      </c>
      <c r="P335" s="207" t="s">
        <v>661</v>
      </c>
      <c r="Q335" s="208" t="s">
        <v>793</v>
      </c>
      <c r="R335" s="208" t="s">
        <v>1407</v>
      </c>
    </row>
    <row r="336" spans="1:18" s="205" customFormat="1" x14ac:dyDescent="0.2">
      <c r="A336" s="205" t="s">
        <v>1684</v>
      </c>
      <c r="B336" s="205" t="s">
        <v>1685</v>
      </c>
      <c r="C336" s="200">
        <v>45400</v>
      </c>
      <c r="D336" s="201" t="s">
        <v>152</v>
      </c>
      <c r="E336" s="206">
        <v>52204</v>
      </c>
      <c r="F336" s="206">
        <v>5220</v>
      </c>
      <c r="G336" s="206">
        <v>522</v>
      </c>
      <c r="H336" s="202">
        <f t="shared" si="5"/>
        <v>47506</v>
      </c>
      <c r="I336" s="205" t="s">
        <v>41</v>
      </c>
      <c r="J336" s="205" t="s">
        <v>29</v>
      </c>
      <c r="K336" s="201" t="s">
        <v>1028</v>
      </c>
      <c r="L336" s="205" t="s">
        <v>1686</v>
      </c>
      <c r="M336" s="199" t="s">
        <v>1030</v>
      </c>
      <c r="N336" s="205" t="s">
        <v>652</v>
      </c>
      <c r="O336" s="205" t="s">
        <v>652</v>
      </c>
      <c r="P336" s="207" t="s">
        <v>711</v>
      </c>
      <c r="Q336" s="208" t="s">
        <v>712</v>
      </c>
      <c r="R336" s="208" t="s">
        <v>1407</v>
      </c>
    </row>
    <row r="337" spans="1:18" s="205" customFormat="1" x14ac:dyDescent="0.2">
      <c r="A337" s="205" t="s">
        <v>1687</v>
      </c>
      <c r="B337" s="205" t="s">
        <v>126</v>
      </c>
      <c r="C337" s="200">
        <v>45400</v>
      </c>
      <c r="D337" s="201" t="s">
        <v>152</v>
      </c>
      <c r="E337" s="206">
        <v>90809</v>
      </c>
      <c r="F337" s="206">
        <v>9081</v>
      </c>
      <c r="G337" s="206">
        <v>908</v>
      </c>
      <c r="H337" s="202">
        <f t="shared" si="5"/>
        <v>82636</v>
      </c>
      <c r="I337" s="205" t="s">
        <v>31</v>
      </c>
      <c r="J337" s="205" t="s">
        <v>29</v>
      </c>
      <c r="K337" s="201" t="s">
        <v>1028</v>
      </c>
      <c r="L337" s="205" t="s">
        <v>1688</v>
      </c>
      <c r="M337" s="201" t="s">
        <v>1030</v>
      </c>
      <c r="N337" s="205" t="s">
        <v>652</v>
      </c>
      <c r="O337" s="205" t="s">
        <v>652</v>
      </c>
      <c r="P337" s="207" t="s">
        <v>987</v>
      </c>
      <c r="Q337" s="208" t="s">
        <v>988</v>
      </c>
      <c r="R337" s="208" t="s">
        <v>1407</v>
      </c>
    </row>
    <row r="338" spans="1:18" s="205" customFormat="1" x14ac:dyDescent="0.2">
      <c r="A338" s="205" t="s">
        <v>563</v>
      </c>
      <c r="B338" s="205" t="s">
        <v>564</v>
      </c>
      <c r="C338" s="200">
        <v>45400</v>
      </c>
      <c r="D338" s="201" t="s">
        <v>152</v>
      </c>
      <c r="E338" s="206">
        <v>155287</v>
      </c>
      <c r="F338" s="206">
        <v>15529</v>
      </c>
      <c r="G338" s="206">
        <v>1553</v>
      </c>
      <c r="H338" s="202">
        <f t="shared" si="5"/>
        <v>141311</v>
      </c>
      <c r="I338" s="205" t="s">
        <v>565</v>
      </c>
      <c r="J338" s="205" t="s">
        <v>29</v>
      </c>
      <c r="K338" s="201" t="s">
        <v>1042</v>
      </c>
      <c r="L338" s="205" t="s">
        <v>1689</v>
      </c>
      <c r="M338" s="201" t="s">
        <v>1030</v>
      </c>
      <c r="N338" s="205" t="s">
        <v>1190</v>
      </c>
      <c r="O338" s="205" t="s">
        <v>1191</v>
      </c>
      <c r="P338" s="207" t="s">
        <v>653</v>
      </c>
      <c r="Q338" s="208" t="s">
        <v>654</v>
      </c>
      <c r="R338" s="208" t="s">
        <v>1407</v>
      </c>
    </row>
    <row r="339" spans="1:18" s="205" customFormat="1" x14ac:dyDescent="0.2">
      <c r="A339" s="205" t="s">
        <v>455</v>
      </c>
      <c r="B339" s="205" t="s">
        <v>958</v>
      </c>
      <c r="C339" s="200">
        <v>45400</v>
      </c>
      <c r="D339" s="201" t="s">
        <v>152</v>
      </c>
      <c r="E339" s="206">
        <v>19764</v>
      </c>
      <c r="F339" s="206">
        <v>1976</v>
      </c>
      <c r="G339" s="206">
        <v>198</v>
      </c>
      <c r="H339" s="202">
        <f t="shared" si="5"/>
        <v>17986</v>
      </c>
      <c r="I339" s="205" t="s">
        <v>28</v>
      </c>
      <c r="J339" s="205" t="s">
        <v>29</v>
      </c>
      <c r="K339" s="201" t="s">
        <v>1042</v>
      </c>
      <c r="L339" s="205" t="s">
        <v>1690</v>
      </c>
      <c r="M339" s="201" t="s">
        <v>1030</v>
      </c>
      <c r="N339" s="205" t="s">
        <v>1488</v>
      </c>
      <c r="O339" s="205" t="s">
        <v>1191</v>
      </c>
      <c r="P339" s="207" t="s">
        <v>877</v>
      </c>
      <c r="Q339" s="208" t="s">
        <v>957</v>
      </c>
      <c r="R339" s="208" t="s">
        <v>1407</v>
      </c>
    </row>
    <row r="340" spans="1:18" s="205" customFormat="1" x14ac:dyDescent="0.2">
      <c r="A340" s="205" t="s">
        <v>1691</v>
      </c>
      <c r="B340" s="205" t="s">
        <v>1692</v>
      </c>
      <c r="C340" s="200">
        <v>45400</v>
      </c>
      <c r="D340" s="201" t="s">
        <v>152</v>
      </c>
      <c r="E340" s="206">
        <v>29327</v>
      </c>
      <c r="F340" s="206">
        <v>2933</v>
      </c>
      <c r="G340" s="206">
        <v>293</v>
      </c>
      <c r="H340" s="202">
        <f t="shared" si="5"/>
        <v>26687</v>
      </c>
      <c r="I340" s="205" t="s">
        <v>41</v>
      </c>
      <c r="J340" s="205" t="s">
        <v>29</v>
      </c>
      <c r="K340" s="201" t="s">
        <v>1028</v>
      </c>
      <c r="L340" s="205" t="s">
        <v>1693</v>
      </c>
      <c r="M340" s="201" t="s">
        <v>1030</v>
      </c>
      <c r="N340" s="205" t="s">
        <v>652</v>
      </c>
      <c r="O340" s="205" t="s">
        <v>652</v>
      </c>
      <c r="P340" s="207" t="s">
        <v>711</v>
      </c>
      <c r="Q340" s="208" t="s">
        <v>712</v>
      </c>
      <c r="R340" s="208" t="s">
        <v>1407</v>
      </c>
    </row>
    <row r="341" spans="1:18" s="205" customFormat="1" x14ac:dyDescent="0.2">
      <c r="A341" s="205" t="s">
        <v>27</v>
      </c>
      <c r="B341" s="205" t="s">
        <v>531</v>
      </c>
      <c r="C341" s="200">
        <v>45400</v>
      </c>
      <c r="D341" s="201" t="s">
        <v>152</v>
      </c>
      <c r="E341" s="206">
        <v>84693</v>
      </c>
      <c r="F341" s="206">
        <v>8469</v>
      </c>
      <c r="G341" s="206">
        <v>847</v>
      </c>
      <c r="H341" s="202">
        <f t="shared" si="5"/>
        <v>77071</v>
      </c>
      <c r="I341" s="205" t="s">
        <v>28</v>
      </c>
      <c r="J341" s="205" t="s">
        <v>29</v>
      </c>
      <c r="K341" s="201" t="s">
        <v>1141</v>
      </c>
      <c r="L341" s="205" t="s">
        <v>1694</v>
      </c>
      <c r="M341" s="201" t="s">
        <v>1030</v>
      </c>
      <c r="N341" s="205" t="s">
        <v>652</v>
      </c>
      <c r="O341" s="205" t="s">
        <v>652</v>
      </c>
      <c r="P341" s="207" t="s">
        <v>764</v>
      </c>
      <c r="Q341" s="208" t="s">
        <v>765</v>
      </c>
      <c r="R341" s="208" t="s">
        <v>1407</v>
      </c>
    </row>
    <row r="342" spans="1:18" s="205" customFormat="1" x14ac:dyDescent="0.2">
      <c r="A342" s="205" t="s">
        <v>424</v>
      </c>
      <c r="B342" s="205" t="s">
        <v>1695</v>
      </c>
      <c r="C342" s="200">
        <v>45400</v>
      </c>
      <c r="D342" s="201" t="s">
        <v>152</v>
      </c>
      <c r="E342" s="206">
        <v>1367982</v>
      </c>
      <c r="F342" s="206">
        <v>136798</v>
      </c>
      <c r="G342" s="206">
        <v>13680</v>
      </c>
      <c r="H342" s="202">
        <f t="shared" si="5"/>
        <v>1244864</v>
      </c>
      <c r="I342" s="205" t="s">
        <v>741</v>
      </c>
      <c r="J342" s="205" t="s">
        <v>29</v>
      </c>
      <c r="K342" s="201" t="s">
        <v>1028</v>
      </c>
      <c r="L342" s="205" t="s">
        <v>1696</v>
      </c>
      <c r="M342" s="201" t="s">
        <v>1030</v>
      </c>
      <c r="N342" s="205" t="s">
        <v>652</v>
      </c>
      <c r="O342" s="205" t="s">
        <v>652</v>
      </c>
      <c r="P342" s="207" t="s">
        <v>1424</v>
      </c>
      <c r="Q342" s="208" t="s">
        <v>1425</v>
      </c>
      <c r="R342" s="208" t="s">
        <v>1407</v>
      </c>
    </row>
    <row r="343" spans="1:18" s="205" customFormat="1" x14ac:dyDescent="0.2">
      <c r="A343" s="205" t="s">
        <v>1697</v>
      </c>
      <c r="B343" s="205" t="s">
        <v>126</v>
      </c>
      <c r="C343" s="200">
        <v>45400</v>
      </c>
      <c r="D343" s="201" t="s">
        <v>152</v>
      </c>
      <c r="E343" s="206">
        <v>113512</v>
      </c>
      <c r="F343" s="206">
        <v>11351</v>
      </c>
      <c r="G343" s="206">
        <v>1135</v>
      </c>
      <c r="H343" s="202">
        <f t="shared" si="5"/>
        <v>103296</v>
      </c>
      <c r="I343" s="205" t="s">
        <v>31</v>
      </c>
      <c r="J343" s="205" t="s">
        <v>29</v>
      </c>
      <c r="K343" s="201" t="s">
        <v>1028</v>
      </c>
      <c r="L343" s="205" t="s">
        <v>1698</v>
      </c>
      <c r="M343" s="201" t="s">
        <v>1030</v>
      </c>
      <c r="N343" s="205" t="s">
        <v>652</v>
      </c>
      <c r="O343" s="205" t="s">
        <v>652</v>
      </c>
      <c r="P343" s="207" t="s">
        <v>987</v>
      </c>
      <c r="Q343" s="208" t="s">
        <v>988</v>
      </c>
      <c r="R343" s="208" t="s">
        <v>1407</v>
      </c>
    </row>
    <row r="344" spans="1:18" s="205" customFormat="1" x14ac:dyDescent="0.2">
      <c r="A344" s="205" t="s">
        <v>1699</v>
      </c>
      <c r="B344" s="205" t="s">
        <v>126</v>
      </c>
      <c r="C344" s="200">
        <v>45400</v>
      </c>
      <c r="D344" s="201" t="s">
        <v>152</v>
      </c>
      <c r="E344" s="206">
        <v>51743</v>
      </c>
      <c r="F344" s="206">
        <v>5174</v>
      </c>
      <c r="G344" s="206">
        <v>517</v>
      </c>
      <c r="H344" s="202">
        <f t="shared" si="5"/>
        <v>47086</v>
      </c>
      <c r="I344" s="205" t="s">
        <v>31</v>
      </c>
      <c r="J344" s="205" t="s">
        <v>29</v>
      </c>
      <c r="K344" s="201" t="s">
        <v>1028</v>
      </c>
      <c r="L344" s="205" t="s">
        <v>1700</v>
      </c>
      <c r="M344" s="201" t="s">
        <v>1030</v>
      </c>
      <c r="N344" s="205" t="s">
        <v>652</v>
      </c>
      <c r="O344" s="205" t="s">
        <v>652</v>
      </c>
      <c r="P344" s="207" t="s">
        <v>987</v>
      </c>
      <c r="Q344" s="208" t="s">
        <v>988</v>
      </c>
      <c r="R344" s="208" t="s">
        <v>1407</v>
      </c>
    </row>
    <row r="345" spans="1:18" s="205" customFormat="1" x14ac:dyDescent="0.2">
      <c r="A345" s="205" t="s">
        <v>1701</v>
      </c>
      <c r="B345" s="205" t="s">
        <v>126</v>
      </c>
      <c r="C345" s="200">
        <v>45400</v>
      </c>
      <c r="D345" s="201" t="s">
        <v>152</v>
      </c>
      <c r="E345" s="206">
        <v>51743</v>
      </c>
      <c r="F345" s="206">
        <v>5174</v>
      </c>
      <c r="G345" s="206">
        <v>517</v>
      </c>
      <c r="H345" s="202">
        <f t="shared" si="5"/>
        <v>47086</v>
      </c>
      <c r="I345" s="205" t="s">
        <v>31</v>
      </c>
      <c r="J345" s="205" t="s">
        <v>29</v>
      </c>
      <c r="K345" s="201" t="s">
        <v>1028</v>
      </c>
      <c r="L345" s="205" t="s">
        <v>1702</v>
      </c>
      <c r="M345" s="201" t="s">
        <v>1030</v>
      </c>
      <c r="N345" s="205" t="s">
        <v>652</v>
      </c>
      <c r="O345" s="205" t="s">
        <v>652</v>
      </c>
      <c r="P345" s="207" t="s">
        <v>987</v>
      </c>
      <c r="Q345" s="208" t="s">
        <v>988</v>
      </c>
      <c r="R345" s="208" t="s">
        <v>1407</v>
      </c>
    </row>
    <row r="346" spans="1:18" s="205" customFormat="1" x14ac:dyDescent="0.2">
      <c r="A346" s="205" t="s">
        <v>1703</v>
      </c>
      <c r="B346" s="205" t="s">
        <v>126</v>
      </c>
      <c r="C346" s="200">
        <v>45400</v>
      </c>
      <c r="D346" s="201" t="s">
        <v>152</v>
      </c>
      <c r="E346" s="206">
        <v>83824</v>
      </c>
      <c r="F346" s="206">
        <v>8382</v>
      </c>
      <c r="G346" s="206">
        <v>838</v>
      </c>
      <c r="H346" s="202">
        <f t="shared" si="5"/>
        <v>76280</v>
      </c>
      <c r="I346" s="205" t="s">
        <v>31</v>
      </c>
      <c r="J346" s="205" t="s">
        <v>29</v>
      </c>
      <c r="K346" s="201" t="s">
        <v>1028</v>
      </c>
      <c r="L346" s="205" t="s">
        <v>1704</v>
      </c>
      <c r="M346" s="201" t="s">
        <v>1030</v>
      </c>
      <c r="N346" s="205" t="s">
        <v>652</v>
      </c>
      <c r="O346" s="205" t="s">
        <v>652</v>
      </c>
      <c r="P346" s="215" t="s">
        <v>987</v>
      </c>
      <c r="Q346" s="216" t="s">
        <v>988</v>
      </c>
      <c r="R346" s="208" t="s">
        <v>1407</v>
      </c>
    </row>
    <row r="347" spans="1:18" s="205" customFormat="1" x14ac:dyDescent="0.2">
      <c r="A347" s="205" t="s">
        <v>1705</v>
      </c>
      <c r="B347" s="205" t="s">
        <v>126</v>
      </c>
      <c r="C347" s="200">
        <v>45400</v>
      </c>
      <c r="D347" s="201" t="s">
        <v>152</v>
      </c>
      <c r="E347" s="206">
        <v>69853</v>
      </c>
      <c r="F347" s="206">
        <v>6985</v>
      </c>
      <c r="G347" s="206">
        <v>699</v>
      </c>
      <c r="H347" s="202">
        <f t="shared" si="5"/>
        <v>63567</v>
      </c>
      <c r="I347" s="205" t="s">
        <v>31</v>
      </c>
      <c r="J347" s="205" t="s">
        <v>29</v>
      </c>
      <c r="K347" s="201" t="s">
        <v>1028</v>
      </c>
      <c r="L347" s="205" t="s">
        <v>1706</v>
      </c>
      <c r="M347" s="201" t="s">
        <v>1030</v>
      </c>
      <c r="N347" s="205" t="s">
        <v>652</v>
      </c>
      <c r="O347" s="205" t="s">
        <v>652</v>
      </c>
      <c r="P347" s="207" t="s">
        <v>987</v>
      </c>
      <c r="Q347" s="208" t="s">
        <v>988</v>
      </c>
      <c r="R347" s="208" t="s">
        <v>1407</v>
      </c>
    </row>
    <row r="348" spans="1:18" s="205" customFormat="1" x14ac:dyDescent="0.2">
      <c r="A348" s="205" t="s">
        <v>1707</v>
      </c>
      <c r="B348" s="205" t="s">
        <v>126</v>
      </c>
      <c r="C348" s="200">
        <v>45400</v>
      </c>
      <c r="D348" s="201" t="s">
        <v>152</v>
      </c>
      <c r="E348" s="206">
        <v>38699</v>
      </c>
      <c r="F348" s="206">
        <v>3870</v>
      </c>
      <c r="G348" s="206">
        <v>387</v>
      </c>
      <c r="H348" s="202">
        <f t="shared" si="5"/>
        <v>35216</v>
      </c>
      <c r="I348" s="205" t="s">
        <v>31</v>
      </c>
      <c r="J348" s="205" t="s">
        <v>29</v>
      </c>
      <c r="K348" s="201" t="s">
        <v>1028</v>
      </c>
      <c r="L348" s="205" t="s">
        <v>1708</v>
      </c>
      <c r="M348" s="201" t="s">
        <v>1030</v>
      </c>
      <c r="N348" s="205" t="s">
        <v>652</v>
      </c>
      <c r="O348" s="205" t="s">
        <v>652</v>
      </c>
      <c r="P348" s="207" t="s">
        <v>987</v>
      </c>
      <c r="Q348" s="208" t="s">
        <v>988</v>
      </c>
      <c r="R348" s="208" t="s">
        <v>1407</v>
      </c>
    </row>
    <row r="349" spans="1:18" s="205" customFormat="1" x14ac:dyDescent="0.2">
      <c r="A349" s="205" t="s">
        <v>1709</v>
      </c>
      <c r="B349" s="205" t="s">
        <v>126</v>
      </c>
      <c r="C349" s="200">
        <v>45400</v>
      </c>
      <c r="D349" s="201" t="s">
        <v>152</v>
      </c>
      <c r="E349" s="206">
        <v>38699</v>
      </c>
      <c r="F349" s="206">
        <v>3870</v>
      </c>
      <c r="G349" s="206">
        <v>387</v>
      </c>
      <c r="H349" s="202">
        <f t="shared" si="5"/>
        <v>35216</v>
      </c>
      <c r="I349" s="205" t="s">
        <v>31</v>
      </c>
      <c r="J349" s="205" t="s">
        <v>29</v>
      </c>
      <c r="K349" s="201" t="s">
        <v>1028</v>
      </c>
      <c r="L349" s="205" t="s">
        <v>1710</v>
      </c>
      <c r="M349" s="199" t="s">
        <v>1030</v>
      </c>
      <c r="N349" s="205" t="s">
        <v>652</v>
      </c>
      <c r="O349" s="205" t="s">
        <v>652</v>
      </c>
      <c r="P349" s="207" t="s">
        <v>987</v>
      </c>
      <c r="Q349" s="208" t="s">
        <v>988</v>
      </c>
      <c r="R349" s="208" t="s">
        <v>1407</v>
      </c>
    </row>
    <row r="350" spans="1:18" s="205" customFormat="1" x14ac:dyDescent="0.2">
      <c r="A350" s="205" t="s">
        <v>1711</v>
      </c>
      <c r="B350" s="205" t="s">
        <v>126</v>
      </c>
      <c r="C350" s="200">
        <v>45400</v>
      </c>
      <c r="D350" s="201" t="s">
        <v>152</v>
      </c>
      <c r="E350" s="206">
        <v>52243</v>
      </c>
      <c r="F350" s="206">
        <v>5224</v>
      </c>
      <c r="G350" s="206">
        <v>522</v>
      </c>
      <c r="H350" s="202">
        <f t="shared" si="5"/>
        <v>47541</v>
      </c>
      <c r="I350" s="205" t="s">
        <v>31</v>
      </c>
      <c r="J350" s="205" t="s">
        <v>29</v>
      </c>
      <c r="K350" s="201" t="s">
        <v>1028</v>
      </c>
      <c r="L350" s="205" t="s">
        <v>1712</v>
      </c>
      <c r="M350" s="201" t="s">
        <v>1030</v>
      </c>
      <c r="N350" s="205" t="s">
        <v>652</v>
      </c>
      <c r="O350" s="205" t="s">
        <v>652</v>
      </c>
      <c r="P350" s="207" t="s">
        <v>987</v>
      </c>
      <c r="Q350" s="208" t="s">
        <v>988</v>
      </c>
      <c r="R350" s="208" t="s">
        <v>1407</v>
      </c>
    </row>
    <row r="351" spans="1:18" s="205" customFormat="1" x14ac:dyDescent="0.2">
      <c r="A351" s="205" t="s">
        <v>1713</v>
      </c>
      <c r="B351" s="205" t="s">
        <v>126</v>
      </c>
      <c r="C351" s="200">
        <v>45400</v>
      </c>
      <c r="D351" s="201" t="s">
        <v>152</v>
      </c>
      <c r="E351" s="206">
        <v>67916</v>
      </c>
      <c r="F351" s="206">
        <v>6792</v>
      </c>
      <c r="G351" s="206">
        <v>679</v>
      </c>
      <c r="H351" s="202">
        <f t="shared" si="5"/>
        <v>61803</v>
      </c>
      <c r="I351" s="205" t="s">
        <v>31</v>
      </c>
      <c r="J351" s="205" t="s">
        <v>29</v>
      </c>
      <c r="K351" s="201" t="s">
        <v>1028</v>
      </c>
      <c r="L351" s="205" t="s">
        <v>1714</v>
      </c>
      <c r="M351" s="201" t="s">
        <v>1030</v>
      </c>
      <c r="N351" s="205" t="s">
        <v>652</v>
      </c>
      <c r="O351" s="205" t="s">
        <v>652</v>
      </c>
      <c r="P351" s="207" t="s">
        <v>987</v>
      </c>
      <c r="Q351" s="208" t="s">
        <v>988</v>
      </c>
      <c r="R351" s="208" t="s">
        <v>1407</v>
      </c>
    </row>
    <row r="352" spans="1:18" s="205" customFormat="1" x14ac:dyDescent="0.2">
      <c r="A352" s="205" t="s">
        <v>1715</v>
      </c>
      <c r="B352" s="205" t="s">
        <v>126</v>
      </c>
      <c r="C352" s="200">
        <v>45400</v>
      </c>
      <c r="D352" s="201" t="s">
        <v>152</v>
      </c>
      <c r="E352" s="206">
        <v>38699</v>
      </c>
      <c r="F352" s="206">
        <v>3870</v>
      </c>
      <c r="G352" s="206">
        <v>387</v>
      </c>
      <c r="H352" s="202">
        <f t="shared" si="5"/>
        <v>35216</v>
      </c>
      <c r="I352" s="205" t="s">
        <v>31</v>
      </c>
      <c r="J352" s="205" t="s">
        <v>29</v>
      </c>
      <c r="K352" s="201" t="s">
        <v>1028</v>
      </c>
      <c r="L352" s="205" t="s">
        <v>1716</v>
      </c>
      <c r="M352" s="201" t="s">
        <v>1030</v>
      </c>
      <c r="N352" s="205" t="s">
        <v>652</v>
      </c>
      <c r="O352" s="205" t="s">
        <v>652</v>
      </c>
      <c r="P352" s="207" t="s">
        <v>987</v>
      </c>
      <c r="Q352" s="208" t="s">
        <v>988</v>
      </c>
      <c r="R352" s="208" t="s">
        <v>1407</v>
      </c>
    </row>
    <row r="353" spans="1:18" s="205" customFormat="1" x14ac:dyDescent="0.2">
      <c r="A353" s="205" t="s">
        <v>1717</v>
      </c>
      <c r="B353" s="205" t="s">
        <v>126</v>
      </c>
      <c r="C353" s="200">
        <v>45400</v>
      </c>
      <c r="D353" s="201" t="s">
        <v>152</v>
      </c>
      <c r="E353" s="206">
        <v>52243</v>
      </c>
      <c r="F353" s="206">
        <v>5224</v>
      </c>
      <c r="G353" s="206">
        <v>522</v>
      </c>
      <c r="H353" s="202">
        <f t="shared" si="5"/>
        <v>47541</v>
      </c>
      <c r="I353" s="205" t="s">
        <v>31</v>
      </c>
      <c r="J353" s="205" t="s">
        <v>29</v>
      </c>
      <c r="K353" s="201" t="s">
        <v>1028</v>
      </c>
      <c r="L353" s="205" t="s">
        <v>1718</v>
      </c>
      <c r="M353" s="201" t="s">
        <v>1030</v>
      </c>
      <c r="N353" s="205" t="s">
        <v>652</v>
      </c>
      <c r="O353" s="205" t="s">
        <v>652</v>
      </c>
      <c r="P353" s="207" t="s">
        <v>987</v>
      </c>
      <c r="Q353" s="208" t="s">
        <v>988</v>
      </c>
      <c r="R353" s="208" t="s">
        <v>1407</v>
      </c>
    </row>
    <row r="354" spans="1:18" s="205" customFormat="1" x14ac:dyDescent="0.2">
      <c r="A354" s="205" t="s">
        <v>1719</v>
      </c>
      <c r="B354" s="205" t="s">
        <v>126</v>
      </c>
      <c r="C354" s="200">
        <v>45400</v>
      </c>
      <c r="D354" s="201" t="s">
        <v>152</v>
      </c>
      <c r="E354" s="206">
        <v>52243</v>
      </c>
      <c r="F354" s="206">
        <v>5224</v>
      </c>
      <c r="G354" s="206">
        <v>522</v>
      </c>
      <c r="H354" s="202">
        <f t="shared" si="5"/>
        <v>47541</v>
      </c>
      <c r="I354" s="205" t="s">
        <v>31</v>
      </c>
      <c r="J354" s="205" t="s">
        <v>29</v>
      </c>
      <c r="K354" s="201" t="s">
        <v>1028</v>
      </c>
      <c r="L354" s="205" t="s">
        <v>1720</v>
      </c>
      <c r="M354" s="199" t="s">
        <v>1030</v>
      </c>
      <c r="N354" s="205" t="s">
        <v>652</v>
      </c>
      <c r="O354" s="205" t="s">
        <v>652</v>
      </c>
      <c r="P354" s="215" t="s">
        <v>987</v>
      </c>
      <c r="Q354" s="216" t="s">
        <v>988</v>
      </c>
      <c r="R354" s="216" t="s">
        <v>1407</v>
      </c>
    </row>
    <row r="355" spans="1:18" s="205" customFormat="1" x14ac:dyDescent="0.2">
      <c r="A355" s="205" t="s">
        <v>1721</v>
      </c>
      <c r="B355" s="205" t="s">
        <v>126</v>
      </c>
      <c r="C355" s="200">
        <v>45400</v>
      </c>
      <c r="D355" s="201" t="s">
        <v>152</v>
      </c>
      <c r="E355" s="206">
        <v>124503</v>
      </c>
      <c r="F355" s="206">
        <v>12450</v>
      </c>
      <c r="G355" s="206">
        <v>1245</v>
      </c>
      <c r="H355" s="202">
        <f t="shared" si="5"/>
        <v>113298</v>
      </c>
      <c r="I355" s="205" t="s">
        <v>31</v>
      </c>
      <c r="J355" s="205" t="s">
        <v>29</v>
      </c>
      <c r="K355" s="201" t="s">
        <v>1028</v>
      </c>
      <c r="L355" s="205" t="s">
        <v>1722</v>
      </c>
      <c r="M355" s="199" t="s">
        <v>1030</v>
      </c>
      <c r="N355" s="205" t="s">
        <v>652</v>
      </c>
      <c r="O355" s="205" t="s">
        <v>652</v>
      </c>
      <c r="P355" s="207" t="s">
        <v>987</v>
      </c>
      <c r="Q355" s="208" t="s">
        <v>988</v>
      </c>
      <c r="R355" s="208" t="s">
        <v>1407</v>
      </c>
    </row>
    <row r="356" spans="1:18" s="205" customFormat="1" x14ac:dyDescent="0.2">
      <c r="A356" s="205" t="s">
        <v>1723</v>
      </c>
      <c r="B356" s="205" t="s">
        <v>126</v>
      </c>
      <c r="C356" s="200">
        <v>45400</v>
      </c>
      <c r="D356" s="201" t="s">
        <v>152</v>
      </c>
      <c r="E356" s="206">
        <v>124503</v>
      </c>
      <c r="F356" s="206">
        <v>12450</v>
      </c>
      <c r="G356" s="206">
        <v>1245</v>
      </c>
      <c r="H356" s="202">
        <f t="shared" si="5"/>
        <v>113298</v>
      </c>
      <c r="I356" s="205" t="s">
        <v>31</v>
      </c>
      <c r="J356" s="205" t="s">
        <v>29</v>
      </c>
      <c r="K356" s="201" t="s">
        <v>1028</v>
      </c>
      <c r="L356" s="205" t="s">
        <v>1724</v>
      </c>
      <c r="M356" s="201" t="s">
        <v>1030</v>
      </c>
      <c r="N356" s="205" t="s">
        <v>652</v>
      </c>
      <c r="O356" s="205" t="s">
        <v>652</v>
      </c>
      <c r="P356" s="207" t="s">
        <v>987</v>
      </c>
      <c r="Q356" s="208" t="s">
        <v>988</v>
      </c>
      <c r="R356" s="208" t="s">
        <v>1407</v>
      </c>
    </row>
    <row r="357" spans="1:18" s="205" customFormat="1" x14ac:dyDescent="0.2">
      <c r="A357" s="205" t="s">
        <v>1725</v>
      </c>
      <c r="B357" s="205" t="s">
        <v>126</v>
      </c>
      <c r="C357" s="200">
        <v>45400</v>
      </c>
      <c r="D357" s="201" t="s">
        <v>152</v>
      </c>
      <c r="E357" s="206">
        <v>168727</v>
      </c>
      <c r="F357" s="206">
        <v>16873</v>
      </c>
      <c r="G357" s="206">
        <v>1687</v>
      </c>
      <c r="H357" s="202">
        <f t="shared" si="5"/>
        <v>153541</v>
      </c>
      <c r="I357" s="205" t="s">
        <v>31</v>
      </c>
      <c r="J357" s="205" t="s">
        <v>29</v>
      </c>
      <c r="K357" s="201" t="s">
        <v>1028</v>
      </c>
      <c r="L357" s="205" t="s">
        <v>1726</v>
      </c>
      <c r="M357" s="201" t="s">
        <v>1030</v>
      </c>
      <c r="N357" s="205" t="s">
        <v>652</v>
      </c>
      <c r="O357" s="205" t="s">
        <v>652</v>
      </c>
      <c r="P357" s="207" t="s">
        <v>987</v>
      </c>
      <c r="Q357" s="208" t="s">
        <v>988</v>
      </c>
      <c r="R357" s="208" t="s">
        <v>1407</v>
      </c>
    </row>
    <row r="358" spans="1:18" s="205" customFormat="1" x14ac:dyDescent="0.2">
      <c r="A358" s="205" t="s">
        <v>1727</v>
      </c>
      <c r="B358" s="205" t="s">
        <v>553</v>
      </c>
      <c r="C358" s="200">
        <v>45400</v>
      </c>
      <c r="D358" s="201" t="s">
        <v>152</v>
      </c>
      <c r="E358" s="206">
        <v>67877</v>
      </c>
      <c r="F358" s="206">
        <v>6788</v>
      </c>
      <c r="G358" s="206">
        <v>679</v>
      </c>
      <c r="H358" s="202">
        <f t="shared" si="5"/>
        <v>61768</v>
      </c>
      <c r="I358" s="205" t="s">
        <v>95</v>
      </c>
      <c r="J358" s="205" t="s">
        <v>29</v>
      </c>
      <c r="K358" s="201" t="s">
        <v>1028</v>
      </c>
      <c r="L358" s="205" t="s">
        <v>1728</v>
      </c>
      <c r="M358" s="201" t="s">
        <v>1030</v>
      </c>
      <c r="N358" s="205" t="s">
        <v>652</v>
      </c>
      <c r="O358" s="205" t="s">
        <v>652</v>
      </c>
      <c r="P358" s="215" t="s">
        <v>873</v>
      </c>
      <c r="Q358" s="216" t="s">
        <v>968</v>
      </c>
      <c r="R358" s="216" t="s">
        <v>1407</v>
      </c>
    </row>
    <row r="359" spans="1:18" s="205" customFormat="1" x14ac:dyDescent="0.2">
      <c r="A359" s="205" t="s">
        <v>64</v>
      </c>
      <c r="B359" s="205" t="s">
        <v>514</v>
      </c>
      <c r="C359" s="200">
        <v>45400</v>
      </c>
      <c r="D359" s="201" t="s">
        <v>152</v>
      </c>
      <c r="E359" s="206">
        <v>301335</v>
      </c>
      <c r="F359" s="206">
        <v>30134</v>
      </c>
      <c r="G359" s="206">
        <v>3013</v>
      </c>
      <c r="H359" s="202">
        <f t="shared" si="5"/>
        <v>274214</v>
      </c>
      <c r="I359" s="205" t="s">
        <v>31</v>
      </c>
      <c r="J359" s="205" t="s">
        <v>29</v>
      </c>
      <c r="K359" s="201" t="s">
        <v>1141</v>
      </c>
      <c r="L359" s="205" t="s">
        <v>1729</v>
      </c>
      <c r="M359" s="201" t="s">
        <v>1030</v>
      </c>
      <c r="N359" s="205" t="s">
        <v>652</v>
      </c>
      <c r="O359" s="205" t="s">
        <v>652</v>
      </c>
      <c r="P359" s="207" t="s">
        <v>653</v>
      </c>
      <c r="Q359" s="208" t="s">
        <v>654</v>
      </c>
      <c r="R359" s="208" t="s">
        <v>1407</v>
      </c>
    </row>
    <row r="360" spans="1:18" s="205" customFormat="1" x14ac:dyDescent="0.2">
      <c r="A360" s="205" t="s">
        <v>1730</v>
      </c>
      <c r="B360" s="205" t="s">
        <v>553</v>
      </c>
      <c r="C360" s="200">
        <v>45400</v>
      </c>
      <c r="D360" s="199" t="s">
        <v>166</v>
      </c>
      <c r="E360" s="206">
        <v>-24853</v>
      </c>
      <c r="F360" s="206">
        <v>-2485</v>
      </c>
      <c r="G360" s="206">
        <v>-249</v>
      </c>
      <c r="H360" s="202">
        <f t="shared" si="5"/>
        <v>-22617</v>
      </c>
      <c r="I360" s="205" t="s">
        <v>95</v>
      </c>
      <c r="J360" s="205" t="s">
        <v>29</v>
      </c>
      <c r="K360" s="201" t="e">
        <v>#N/A</v>
      </c>
      <c r="L360" s="205" t="s">
        <v>1731</v>
      </c>
      <c r="M360" s="199"/>
      <c r="P360" s="215" t="s">
        <v>663</v>
      </c>
      <c r="Q360" s="216" t="s">
        <v>723</v>
      </c>
      <c r="R360" s="216" t="s">
        <v>1079</v>
      </c>
    </row>
    <row r="361" spans="1:18" s="205" customFormat="1" x14ac:dyDescent="0.2">
      <c r="A361" s="205" t="s">
        <v>1732</v>
      </c>
      <c r="B361" s="205" t="s">
        <v>553</v>
      </c>
      <c r="C361" s="200">
        <v>45400</v>
      </c>
      <c r="D361" s="199" t="s">
        <v>166</v>
      </c>
      <c r="E361" s="206">
        <v>-24853</v>
      </c>
      <c r="F361" s="206">
        <v>-2485</v>
      </c>
      <c r="G361" s="206">
        <v>-249</v>
      </c>
      <c r="H361" s="202">
        <f t="shared" si="5"/>
        <v>-22617</v>
      </c>
      <c r="I361" s="205" t="s">
        <v>95</v>
      </c>
      <c r="J361" s="205" t="s">
        <v>29</v>
      </c>
      <c r="K361" s="201" t="e">
        <v>#N/A</v>
      </c>
      <c r="L361" s="205" t="s">
        <v>1733</v>
      </c>
      <c r="M361" s="199"/>
      <c r="P361" s="215" t="s">
        <v>663</v>
      </c>
      <c r="Q361" s="216" t="s">
        <v>723</v>
      </c>
      <c r="R361" s="216" t="s">
        <v>880</v>
      </c>
    </row>
    <row r="362" spans="1:18" s="205" customFormat="1" x14ac:dyDescent="0.2">
      <c r="A362" s="205" t="s">
        <v>1730</v>
      </c>
      <c r="B362" s="205" t="s">
        <v>553</v>
      </c>
      <c r="C362" s="200">
        <v>45400</v>
      </c>
      <c r="D362" s="199" t="s">
        <v>166</v>
      </c>
      <c r="E362" s="206">
        <v>-28840</v>
      </c>
      <c r="F362" s="206">
        <v>-2884</v>
      </c>
      <c r="G362" s="206">
        <v>-288</v>
      </c>
      <c r="H362" s="202">
        <f t="shared" si="5"/>
        <v>-26244</v>
      </c>
      <c r="I362" s="205" t="s">
        <v>95</v>
      </c>
      <c r="J362" s="205" t="s">
        <v>29</v>
      </c>
      <c r="K362" s="201" t="e">
        <v>#N/A</v>
      </c>
      <c r="L362" s="205" t="s">
        <v>1734</v>
      </c>
      <c r="M362" s="201"/>
      <c r="P362" s="215" t="s">
        <v>663</v>
      </c>
      <c r="Q362" s="216" t="s">
        <v>723</v>
      </c>
      <c r="R362" s="216" t="s">
        <v>1079</v>
      </c>
    </row>
    <row r="363" spans="1:18" s="205" customFormat="1" x14ac:dyDescent="0.2">
      <c r="A363" s="205" t="s">
        <v>1735</v>
      </c>
      <c r="B363" s="205" t="s">
        <v>553</v>
      </c>
      <c r="C363" s="200">
        <v>45400</v>
      </c>
      <c r="D363" s="199" t="s">
        <v>166</v>
      </c>
      <c r="E363" s="206">
        <v>-28840</v>
      </c>
      <c r="F363" s="206">
        <v>-2884</v>
      </c>
      <c r="G363" s="206">
        <v>-288</v>
      </c>
      <c r="H363" s="202">
        <f t="shared" si="5"/>
        <v>-26244</v>
      </c>
      <c r="I363" s="205" t="s">
        <v>95</v>
      </c>
      <c r="J363" s="205" t="s">
        <v>29</v>
      </c>
      <c r="K363" s="201" t="e">
        <v>#N/A</v>
      </c>
      <c r="L363" s="205" t="s">
        <v>1736</v>
      </c>
      <c r="M363" s="201"/>
      <c r="P363" s="215" t="s">
        <v>663</v>
      </c>
      <c r="Q363" s="216" t="s">
        <v>723</v>
      </c>
      <c r="R363" s="216" t="s">
        <v>880</v>
      </c>
    </row>
    <row r="364" spans="1:18" s="205" customFormat="1" x14ac:dyDescent="0.2">
      <c r="A364" s="205" t="s">
        <v>27</v>
      </c>
      <c r="B364" s="205" t="s">
        <v>531</v>
      </c>
      <c r="C364" s="200">
        <v>45400</v>
      </c>
      <c r="D364" s="199" t="s">
        <v>166</v>
      </c>
      <c r="E364" s="206">
        <v>-122609</v>
      </c>
      <c r="F364" s="206">
        <v>-12261</v>
      </c>
      <c r="G364" s="206">
        <v>-1226</v>
      </c>
      <c r="H364" s="202">
        <f t="shared" si="5"/>
        <v>-111574</v>
      </c>
      <c r="I364" s="205" t="s">
        <v>28</v>
      </c>
      <c r="J364" s="205" t="s">
        <v>29</v>
      </c>
      <c r="K364" s="201" t="s">
        <v>1068</v>
      </c>
      <c r="L364" s="205" t="s">
        <v>1737</v>
      </c>
      <c r="M364" s="201" t="s">
        <v>1030</v>
      </c>
      <c r="N364" s="205" t="s">
        <v>652</v>
      </c>
      <c r="O364" s="205" t="s">
        <v>652</v>
      </c>
      <c r="P364" s="207" t="s">
        <v>764</v>
      </c>
      <c r="Q364" s="208" t="s">
        <v>765</v>
      </c>
      <c r="R364" s="208" t="s">
        <v>1407</v>
      </c>
    </row>
    <row r="365" spans="1:18" s="205" customFormat="1" x14ac:dyDescent="0.2">
      <c r="A365" s="205" t="s">
        <v>1738</v>
      </c>
      <c r="B365" s="205" t="s">
        <v>1739</v>
      </c>
      <c r="C365" s="200">
        <v>45400</v>
      </c>
      <c r="D365" s="201" t="s">
        <v>152</v>
      </c>
      <c r="E365" s="206">
        <v>108932</v>
      </c>
      <c r="F365" s="206">
        <v>10893</v>
      </c>
      <c r="G365" s="206">
        <v>545</v>
      </c>
      <c r="H365" s="202">
        <f t="shared" si="5"/>
        <v>98584</v>
      </c>
      <c r="I365" s="205" t="s">
        <v>1740</v>
      </c>
      <c r="J365" s="205" t="s">
        <v>23</v>
      </c>
      <c r="K365" s="201" t="s">
        <v>1058</v>
      </c>
      <c r="L365" s="205" t="s">
        <v>1741</v>
      </c>
      <c r="M365" s="201" t="s">
        <v>1030</v>
      </c>
      <c r="N365" s="205" t="s">
        <v>652</v>
      </c>
      <c r="O365" s="205" t="s">
        <v>652</v>
      </c>
      <c r="P365" s="207" t="s">
        <v>742</v>
      </c>
      <c r="Q365" s="208" t="s">
        <v>1482</v>
      </c>
      <c r="R365" s="208" t="s">
        <v>1266</v>
      </c>
    </row>
    <row r="366" spans="1:18" s="205" customFormat="1" x14ac:dyDescent="0.2">
      <c r="A366" s="205" t="s">
        <v>1742</v>
      </c>
      <c r="B366" s="205" t="s">
        <v>1743</v>
      </c>
      <c r="C366" s="200">
        <v>45400</v>
      </c>
      <c r="D366" s="201" t="s">
        <v>152</v>
      </c>
      <c r="E366" s="206">
        <v>136175</v>
      </c>
      <c r="F366" s="206">
        <v>13618</v>
      </c>
      <c r="G366" s="206">
        <v>681</v>
      </c>
      <c r="H366" s="202">
        <f t="shared" si="5"/>
        <v>123238</v>
      </c>
      <c r="I366" s="205" t="s">
        <v>1740</v>
      </c>
      <c r="J366" s="205" t="s">
        <v>23</v>
      </c>
      <c r="K366" s="201" t="s">
        <v>1058</v>
      </c>
      <c r="L366" s="205" t="s">
        <v>1744</v>
      </c>
      <c r="M366" s="201" t="s">
        <v>1030</v>
      </c>
      <c r="N366" s="205" t="s">
        <v>652</v>
      </c>
      <c r="O366" s="205" t="s">
        <v>652</v>
      </c>
      <c r="P366" s="207" t="s">
        <v>742</v>
      </c>
      <c r="Q366" s="208" t="s">
        <v>1482</v>
      </c>
      <c r="R366" s="208" t="s">
        <v>1266</v>
      </c>
    </row>
    <row r="367" spans="1:18" s="205" customFormat="1" x14ac:dyDescent="0.2">
      <c r="A367" s="205" t="s">
        <v>122</v>
      </c>
      <c r="B367" s="205" t="s">
        <v>966</v>
      </c>
      <c r="C367" s="200">
        <v>45400</v>
      </c>
      <c r="D367" s="201" t="s">
        <v>152</v>
      </c>
      <c r="E367" s="206">
        <v>173899</v>
      </c>
      <c r="F367" s="206">
        <v>17390</v>
      </c>
      <c r="G367" s="206">
        <v>870</v>
      </c>
      <c r="H367" s="202">
        <f t="shared" si="5"/>
        <v>157379</v>
      </c>
      <c r="I367" s="205" t="s">
        <v>22</v>
      </c>
      <c r="J367" s="205" t="s">
        <v>23</v>
      </c>
      <c r="K367" s="201" t="s">
        <v>1042</v>
      </c>
      <c r="L367" s="205" t="s">
        <v>1745</v>
      </c>
      <c r="M367" s="201" t="s">
        <v>1030</v>
      </c>
      <c r="N367" s="205" t="s">
        <v>652</v>
      </c>
      <c r="O367" s="205" t="s">
        <v>652</v>
      </c>
      <c r="P367" s="207" t="s">
        <v>786</v>
      </c>
      <c r="Q367" s="208" t="s">
        <v>962</v>
      </c>
      <c r="R367" s="208" t="s">
        <v>1407</v>
      </c>
    </row>
    <row r="368" spans="1:18" s="205" customFormat="1" x14ac:dyDescent="0.2">
      <c r="A368" s="205" t="s">
        <v>220</v>
      </c>
      <c r="B368" s="205" t="s">
        <v>788</v>
      </c>
      <c r="C368" s="200">
        <v>45400</v>
      </c>
      <c r="D368" s="201" t="s">
        <v>152</v>
      </c>
      <c r="E368" s="206">
        <v>46714</v>
      </c>
      <c r="F368" s="206">
        <v>4671</v>
      </c>
      <c r="G368" s="206">
        <v>234</v>
      </c>
      <c r="H368" s="202">
        <f t="shared" si="5"/>
        <v>42277</v>
      </c>
      <c r="I368" s="205" t="s">
        <v>33</v>
      </c>
      <c r="J368" s="205" t="s">
        <v>23</v>
      </c>
      <c r="K368" s="201" t="s">
        <v>1042</v>
      </c>
      <c r="L368" s="205" t="s">
        <v>1746</v>
      </c>
      <c r="M368" s="201" t="s">
        <v>1030</v>
      </c>
      <c r="N368" s="205" t="s">
        <v>652</v>
      </c>
      <c r="O368" s="205" t="s">
        <v>652</v>
      </c>
      <c r="P368" s="207" t="s">
        <v>660</v>
      </c>
      <c r="Q368" s="208" t="s">
        <v>735</v>
      </c>
      <c r="R368" s="208" t="s">
        <v>1407</v>
      </c>
    </row>
    <row r="369" spans="1:18" s="205" customFormat="1" x14ac:dyDescent="0.2">
      <c r="A369" s="205" t="s">
        <v>131</v>
      </c>
      <c r="B369" s="205" t="s">
        <v>604</v>
      </c>
      <c r="C369" s="200">
        <v>45400</v>
      </c>
      <c r="D369" s="201" t="s">
        <v>152</v>
      </c>
      <c r="E369" s="206">
        <v>39687</v>
      </c>
      <c r="F369" s="206">
        <v>3969</v>
      </c>
      <c r="G369" s="206">
        <v>198</v>
      </c>
      <c r="H369" s="202">
        <f t="shared" si="5"/>
        <v>35916</v>
      </c>
      <c r="I369" s="205" t="s">
        <v>44</v>
      </c>
      <c r="J369" s="205" t="s">
        <v>23</v>
      </c>
      <c r="K369" s="201" t="s">
        <v>1042</v>
      </c>
      <c r="L369" s="205" t="s">
        <v>1747</v>
      </c>
      <c r="M369" s="201" t="s">
        <v>1030</v>
      </c>
      <c r="N369" s="205" t="s">
        <v>652</v>
      </c>
      <c r="O369" s="205" t="s">
        <v>652</v>
      </c>
      <c r="P369" s="207" t="s">
        <v>653</v>
      </c>
      <c r="Q369" s="208" t="s">
        <v>654</v>
      </c>
      <c r="R369" s="208" t="s">
        <v>1407</v>
      </c>
    </row>
    <row r="370" spans="1:18" s="205" customFormat="1" x14ac:dyDescent="0.2">
      <c r="A370" s="205" t="s">
        <v>1748</v>
      </c>
      <c r="B370" s="205" t="s">
        <v>1749</v>
      </c>
      <c r="C370" s="200">
        <v>45400</v>
      </c>
      <c r="D370" s="201" t="s">
        <v>152</v>
      </c>
      <c r="E370" s="206">
        <v>8074</v>
      </c>
      <c r="F370" s="206">
        <v>807</v>
      </c>
      <c r="G370" s="206">
        <v>40</v>
      </c>
      <c r="H370" s="202">
        <f t="shared" si="5"/>
        <v>7307</v>
      </c>
      <c r="I370" s="205" t="s">
        <v>50</v>
      </c>
      <c r="J370" s="205" t="s">
        <v>23</v>
      </c>
      <c r="K370" s="201" t="s">
        <v>1042</v>
      </c>
      <c r="L370" s="205" t="s">
        <v>1750</v>
      </c>
      <c r="M370" s="201" t="s">
        <v>1030</v>
      </c>
      <c r="N370" s="205" t="s">
        <v>652</v>
      </c>
      <c r="O370" s="205" t="s">
        <v>652</v>
      </c>
      <c r="P370" s="207" t="s">
        <v>1751</v>
      </c>
      <c r="Q370" s="208" t="s">
        <v>1752</v>
      </c>
      <c r="R370" s="208" t="s">
        <v>1407</v>
      </c>
    </row>
    <row r="371" spans="1:18" s="205" customFormat="1" x14ac:dyDescent="0.2">
      <c r="A371" s="205" t="s">
        <v>275</v>
      </c>
      <c r="B371" s="205" t="s">
        <v>1753</v>
      </c>
      <c r="C371" s="200">
        <v>45400</v>
      </c>
      <c r="D371" s="201" t="s">
        <v>152</v>
      </c>
      <c r="E371" s="206">
        <v>2803547</v>
      </c>
      <c r="F371" s="206">
        <v>280355</v>
      </c>
      <c r="G371" s="206">
        <v>14018</v>
      </c>
      <c r="H371" s="202">
        <f t="shared" si="5"/>
        <v>2537210</v>
      </c>
      <c r="I371" s="205" t="s">
        <v>22</v>
      </c>
      <c r="J371" s="205" t="s">
        <v>23</v>
      </c>
      <c r="K371" s="201" t="s">
        <v>1028</v>
      </c>
      <c r="L371" s="205" t="s">
        <v>1754</v>
      </c>
      <c r="M371" s="201" t="s">
        <v>1030</v>
      </c>
      <c r="N371" s="205" t="s">
        <v>1278</v>
      </c>
      <c r="O371" s="205" t="s">
        <v>1187</v>
      </c>
      <c r="P371" s="207" t="s">
        <v>1035</v>
      </c>
      <c r="Q371" s="208" t="s">
        <v>1036</v>
      </c>
      <c r="R371" s="208" t="s">
        <v>1407</v>
      </c>
    </row>
    <row r="372" spans="1:18" s="205" customFormat="1" x14ac:dyDescent="0.2">
      <c r="A372" s="205" t="s">
        <v>520</v>
      </c>
      <c r="B372" s="205" t="s">
        <v>521</v>
      </c>
      <c r="C372" s="200">
        <v>45400</v>
      </c>
      <c r="D372" s="201" t="s">
        <v>152</v>
      </c>
      <c r="E372" s="206">
        <v>12513</v>
      </c>
      <c r="F372" s="206">
        <v>1251</v>
      </c>
      <c r="G372" s="206">
        <v>63</v>
      </c>
      <c r="H372" s="202">
        <f t="shared" si="5"/>
        <v>11325</v>
      </c>
      <c r="I372" s="205" t="s">
        <v>522</v>
      </c>
      <c r="J372" s="205" t="s">
        <v>23</v>
      </c>
      <c r="K372" s="201" t="s">
        <v>1042</v>
      </c>
      <c r="L372" s="205" t="s">
        <v>1755</v>
      </c>
      <c r="M372" s="201" t="s">
        <v>1756</v>
      </c>
      <c r="N372" s="205" t="s">
        <v>1757</v>
      </c>
      <c r="O372" s="205" t="s">
        <v>1066</v>
      </c>
      <c r="P372" s="207" t="s">
        <v>756</v>
      </c>
      <c r="Q372" s="208" t="s">
        <v>757</v>
      </c>
      <c r="R372" s="208" t="s">
        <v>1407</v>
      </c>
    </row>
    <row r="373" spans="1:18" s="205" customFormat="1" x14ac:dyDescent="0.2">
      <c r="A373" s="205" t="s">
        <v>99</v>
      </c>
      <c r="B373" s="205" t="s">
        <v>624</v>
      </c>
      <c r="C373" s="200">
        <v>45400</v>
      </c>
      <c r="D373" s="201" t="s">
        <v>152</v>
      </c>
      <c r="E373" s="206">
        <v>28807</v>
      </c>
      <c r="F373" s="206">
        <v>2881</v>
      </c>
      <c r="G373" s="206">
        <v>144</v>
      </c>
      <c r="H373" s="202">
        <f t="shared" si="5"/>
        <v>26070</v>
      </c>
      <c r="I373" s="205" t="s">
        <v>44</v>
      </c>
      <c r="J373" s="205" t="s">
        <v>23</v>
      </c>
      <c r="K373" s="201" t="s">
        <v>1042</v>
      </c>
      <c r="L373" s="205" t="s">
        <v>1758</v>
      </c>
      <c r="M373" s="201" t="s">
        <v>1030</v>
      </c>
      <c r="N373" s="205" t="s">
        <v>652</v>
      </c>
      <c r="O373" s="205" t="s">
        <v>652</v>
      </c>
      <c r="P373" s="207" t="s">
        <v>653</v>
      </c>
      <c r="Q373" s="208" t="s">
        <v>654</v>
      </c>
      <c r="R373" s="208" t="s">
        <v>1407</v>
      </c>
    </row>
    <row r="374" spans="1:18" s="205" customFormat="1" x14ac:dyDescent="0.2">
      <c r="A374" s="205" t="s">
        <v>1759</v>
      </c>
      <c r="B374" s="205" t="s">
        <v>229</v>
      </c>
      <c r="C374" s="200">
        <v>45400</v>
      </c>
      <c r="D374" s="201" t="s">
        <v>152</v>
      </c>
      <c r="E374" s="206">
        <v>36738</v>
      </c>
      <c r="F374" s="206">
        <v>3674</v>
      </c>
      <c r="G374" s="206">
        <v>184</v>
      </c>
      <c r="H374" s="202">
        <f t="shared" si="5"/>
        <v>33248</v>
      </c>
      <c r="I374" s="205" t="s">
        <v>38</v>
      </c>
      <c r="J374" s="205" t="s">
        <v>23</v>
      </c>
      <c r="K374" s="201" t="s">
        <v>1042</v>
      </c>
      <c r="L374" s="205" t="s">
        <v>1760</v>
      </c>
      <c r="M374" s="201" t="s">
        <v>1030</v>
      </c>
      <c r="N374" s="205" t="s">
        <v>652</v>
      </c>
      <c r="O374" s="205" t="s">
        <v>652</v>
      </c>
      <c r="P374" s="207" t="s">
        <v>664</v>
      </c>
      <c r="Q374" s="208" t="s">
        <v>665</v>
      </c>
      <c r="R374" s="208" t="s">
        <v>1407</v>
      </c>
    </row>
    <row r="375" spans="1:18" s="205" customFormat="1" x14ac:dyDescent="0.2">
      <c r="A375" s="205" t="s">
        <v>1761</v>
      </c>
      <c r="B375" s="205" t="s">
        <v>229</v>
      </c>
      <c r="C375" s="200">
        <v>45400</v>
      </c>
      <c r="D375" s="201" t="s">
        <v>152</v>
      </c>
      <c r="E375" s="206">
        <v>27213</v>
      </c>
      <c r="F375" s="206">
        <v>2721</v>
      </c>
      <c r="G375" s="206">
        <v>136</v>
      </c>
      <c r="H375" s="202">
        <f t="shared" si="5"/>
        <v>24628</v>
      </c>
      <c r="I375" s="205" t="s">
        <v>38</v>
      </c>
      <c r="J375" s="205" t="s">
        <v>23</v>
      </c>
      <c r="K375" s="201" t="s">
        <v>1042</v>
      </c>
      <c r="L375" s="205" t="s">
        <v>1762</v>
      </c>
      <c r="M375" s="201" t="s">
        <v>1030</v>
      </c>
      <c r="N375" s="205" t="s">
        <v>652</v>
      </c>
      <c r="O375" s="205" t="s">
        <v>652</v>
      </c>
      <c r="P375" s="207" t="s">
        <v>664</v>
      </c>
      <c r="Q375" s="208" t="s">
        <v>665</v>
      </c>
      <c r="R375" s="208" t="s">
        <v>1407</v>
      </c>
    </row>
    <row r="376" spans="1:18" s="205" customFormat="1" x14ac:dyDescent="0.2">
      <c r="A376" s="205" t="s">
        <v>1763</v>
      </c>
      <c r="B376" s="205" t="s">
        <v>229</v>
      </c>
      <c r="C376" s="200">
        <v>45400</v>
      </c>
      <c r="D376" s="201" t="s">
        <v>152</v>
      </c>
      <c r="E376" s="206">
        <v>69284</v>
      </c>
      <c r="F376" s="206">
        <v>6928</v>
      </c>
      <c r="G376" s="206">
        <v>346</v>
      </c>
      <c r="H376" s="202">
        <f t="shared" si="5"/>
        <v>62702</v>
      </c>
      <c r="I376" s="205" t="s">
        <v>38</v>
      </c>
      <c r="J376" s="205" t="s">
        <v>23</v>
      </c>
      <c r="K376" s="201" t="s">
        <v>1042</v>
      </c>
      <c r="L376" s="205" t="s">
        <v>1764</v>
      </c>
      <c r="M376" s="209" t="s">
        <v>1030</v>
      </c>
      <c r="N376" s="205" t="s">
        <v>652</v>
      </c>
      <c r="O376" s="205" t="s">
        <v>652</v>
      </c>
      <c r="P376" s="207" t="s">
        <v>688</v>
      </c>
      <c r="Q376" s="208" t="s">
        <v>689</v>
      </c>
      <c r="R376" s="208" t="s">
        <v>1407</v>
      </c>
    </row>
    <row r="377" spans="1:18" s="205" customFormat="1" x14ac:dyDescent="0.2">
      <c r="A377" s="205" t="s">
        <v>1765</v>
      </c>
      <c r="B377" s="205" t="s">
        <v>229</v>
      </c>
      <c r="C377" s="200">
        <v>45400</v>
      </c>
      <c r="D377" s="201" t="s">
        <v>152</v>
      </c>
      <c r="E377" s="206">
        <v>69284</v>
      </c>
      <c r="F377" s="206">
        <v>6928</v>
      </c>
      <c r="G377" s="206">
        <v>346</v>
      </c>
      <c r="H377" s="202">
        <f t="shared" si="5"/>
        <v>62702</v>
      </c>
      <c r="I377" s="205" t="s">
        <v>38</v>
      </c>
      <c r="J377" s="205" t="s">
        <v>23</v>
      </c>
      <c r="K377" s="201" t="s">
        <v>1042</v>
      </c>
      <c r="L377" s="205" t="s">
        <v>1766</v>
      </c>
      <c r="M377" s="201" t="s">
        <v>1030</v>
      </c>
      <c r="N377" s="205" t="s">
        <v>652</v>
      </c>
      <c r="O377" s="205" t="s">
        <v>652</v>
      </c>
      <c r="P377" s="207" t="s">
        <v>688</v>
      </c>
      <c r="Q377" s="208" t="s">
        <v>689</v>
      </c>
      <c r="R377" s="208" t="s">
        <v>1407</v>
      </c>
    </row>
    <row r="378" spans="1:18" s="205" customFormat="1" x14ac:dyDescent="0.2">
      <c r="A378" s="205" t="s">
        <v>1767</v>
      </c>
      <c r="B378" s="205" t="s">
        <v>229</v>
      </c>
      <c r="C378" s="200">
        <v>45400</v>
      </c>
      <c r="D378" s="201" t="s">
        <v>152</v>
      </c>
      <c r="E378" s="206">
        <v>27213</v>
      </c>
      <c r="F378" s="206">
        <v>2721</v>
      </c>
      <c r="G378" s="206">
        <v>136</v>
      </c>
      <c r="H378" s="202">
        <f t="shared" si="5"/>
        <v>24628</v>
      </c>
      <c r="I378" s="205" t="s">
        <v>38</v>
      </c>
      <c r="J378" s="205" t="s">
        <v>23</v>
      </c>
      <c r="K378" s="201" t="s">
        <v>1042</v>
      </c>
      <c r="L378" s="205" t="s">
        <v>1768</v>
      </c>
      <c r="M378" s="201" t="s">
        <v>1030</v>
      </c>
      <c r="N378" s="205" t="s">
        <v>652</v>
      </c>
      <c r="O378" s="205" t="s">
        <v>652</v>
      </c>
      <c r="P378" s="207" t="s">
        <v>738</v>
      </c>
      <c r="Q378" s="208" t="s">
        <v>739</v>
      </c>
      <c r="R378" s="208" t="s">
        <v>1407</v>
      </c>
    </row>
    <row r="379" spans="1:18" s="205" customFormat="1" x14ac:dyDescent="0.2">
      <c r="A379" s="205" t="s">
        <v>995</v>
      </c>
      <c r="B379" s="205" t="s">
        <v>1122</v>
      </c>
      <c r="C379" s="200">
        <v>45400</v>
      </c>
      <c r="D379" s="199" t="s">
        <v>166</v>
      </c>
      <c r="E379" s="206">
        <v>-48668</v>
      </c>
      <c r="F379" s="206">
        <v>-4867</v>
      </c>
      <c r="G379" s="206">
        <v>-243</v>
      </c>
      <c r="H379" s="202">
        <f t="shared" si="5"/>
        <v>-44044</v>
      </c>
      <c r="I379" s="205" t="s">
        <v>54</v>
      </c>
      <c r="J379" s="205" t="s">
        <v>23</v>
      </c>
      <c r="K379" s="201" t="s">
        <v>1151</v>
      </c>
      <c r="L379" s="205" t="s">
        <v>1769</v>
      </c>
      <c r="M379" s="201" t="s">
        <v>1030</v>
      </c>
      <c r="N379" s="205" t="s">
        <v>652</v>
      </c>
      <c r="O379" s="205" t="s">
        <v>652</v>
      </c>
      <c r="P379" s="207" t="s">
        <v>987</v>
      </c>
      <c r="Q379" s="208" t="s">
        <v>988</v>
      </c>
      <c r="R379" s="208" t="s">
        <v>1407</v>
      </c>
    </row>
    <row r="380" spans="1:18" s="205" customFormat="1" x14ac:dyDescent="0.2">
      <c r="A380" s="205" t="s">
        <v>544</v>
      </c>
      <c r="B380" s="205" t="s">
        <v>545</v>
      </c>
      <c r="C380" s="200">
        <v>45400</v>
      </c>
      <c r="D380" s="199" t="s">
        <v>166</v>
      </c>
      <c r="E380" s="206">
        <v>-118500</v>
      </c>
      <c r="F380" s="206">
        <v>-11850</v>
      </c>
      <c r="G380" s="206">
        <v>-593</v>
      </c>
      <c r="H380" s="202">
        <f t="shared" si="5"/>
        <v>-107243</v>
      </c>
      <c r="I380" s="205" t="s">
        <v>44</v>
      </c>
      <c r="J380" s="205" t="s">
        <v>23</v>
      </c>
      <c r="K380" s="201" t="s">
        <v>1068</v>
      </c>
      <c r="L380" s="205" t="s">
        <v>1770</v>
      </c>
      <c r="M380" s="209" t="s">
        <v>1030</v>
      </c>
      <c r="N380" s="205" t="s">
        <v>1382</v>
      </c>
      <c r="O380" s="205" t="s">
        <v>1382</v>
      </c>
      <c r="P380" s="207" t="s">
        <v>699</v>
      </c>
      <c r="Q380" s="208" t="s">
        <v>700</v>
      </c>
      <c r="R380" s="208" t="s">
        <v>1407</v>
      </c>
    </row>
    <row r="381" spans="1:18" s="205" customFormat="1" x14ac:dyDescent="0.2">
      <c r="A381" s="205" t="s">
        <v>225</v>
      </c>
      <c r="B381" s="205" t="s">
        <v>287</v>
      </c>
      <c r="C381" s="200">
        <v>45400</v>
      </c>
      <c r="D381" s="201" t="s">
        <v>152</v>
      </c>
      <c r="E381" s="206">
        <v>3000</v>
      </c>
      <c r="F381" s="206">
        <v>0</v>
      </c>
      <c r="G381" s="206">
        <v>0</v>
      </c>
      <c r="H381" s="202">
        <f t="shared" si="5"/>
        <v>3000</v>
      </c>
      <c r="I381" s="205" t="s">
        <v>25</v>
      </c>
      <c r="J381" s="205" t="s">
        <v>214</v>
      </c>
      <c r="K381" s="201" t="s">
        <v>1042</v>
      </c>
      <c r="L381" s="205" t="s">
        <v>1771</v>
      </c>
      <c r="M381" s="201" t="s">
        <v>1030</v>
      </c>
      <c r="N381" s="205" t="s">
        <v>652</v>
      </c>
      <c r="O381" s="205" t="s">
        <v>652</v>
      </c>
      <c r="P381" s="207" t="s">
        <v>724</v>
      </c>
      <c r="Q381" s="208" t="s">
        <v>725</v>
      </c>
      <c r="R381" s="208" t="s">
        <v>1407</v>
      </c>
    </row>
    <row r="382" spans="1:18" s="205" customFormat="1" x14ac:dyDescent="0.2">
      <c r="A382" s="205" t="s">
        <v>226</v>
      </c>
      <c r="B382" s="205" t="s">
        <v>546</v>
      </c>
      <c r="C382" s="200">
        <v>45400</v>
      </c>
      <c r="D382" s="201" t="s">
        <v>152</v>
      </c>
      <c r="E382" s="206">
        <v>23413</v>
      </c>
      <c r="F382" s="206">
        <v>0</v>
      </c>
      <c r="G382" s="206">
        <v>0</v>
      </c>
      <c r="H382" s="202">
        <f t="shared" si="5"/>
        <v>23413</v>
      </c>
      <c r="I382" s="205" t="s">
        <v>25</v>
      </c>
      <c r="J382" s="205" t="s">
        <v>214</v>
      </c>
      <c r="K382" s="201" t="s">
        <v>1042</v>
      </c>
      <c r="L382" s="205" t="s">
        <v>1772</v>
      </c>
      <c r="M382" s="201" t="s">
        <v>1030</v>
      </c>
      <c r="N382" s="205" t="s">
        <v>652</v>
      </c>
      <c r="O382" s="205" t="s">
        <v>652</v>
      </c>
      <c r="P382" s="207" t="s">
        <v>699</v>
      </c>
      <c r="Q382" s="208" t="s">
        <v>700</v>
      </c>
      <c r="R382" s="208" t="s">
        <v>1407</v>
      </c>
    </row>
    <row r="383" spans="1:18" s="205" customFormat="1" x14ac:dyDescent="0.2">
      <c r="A383" s="205" t="s">
        <v>154</v>
      </c>
      <c r="B383" s="205" t="s">
        <v>542</v>
      </c>
      <c r="C383" s="200">
        <v>45400</v>
      </c>
      <c r="D383" s="201" t="s">
        <v>152</v>
      </c>
      <c r="E383" s="206">
        <v>64492</v>
      </c>
      <c r="F383" s="206">
        <v>0</v>
      </c>
      <c r="G383" s="206">
        <v>0</v>
      </c>
      <c r="H383" s="202">
        <f t="shared" si="5"/>
        <v>64492</v>
      </c>
      <c r="I383" s="205" t="s">
        <v>25</v>
      </c>
      <c r="J383" s="205" t="s">
        <v>214</v>
      </c>
      <c r="K383" s="201" t="s">
        <v>1141</v>
      </c>
      <c r="L383" s="205" t="s">
        <v>1773</v>
      </c>
      <c r="M383" s="201" t="s">
        <v>1030</v>
      </c>
      <c r="N383" s="205" t="s">
        <v>652</v>
      </c>
      <c r="O383" s="205" t="s">
        <v>652</v>
      </c>
      <c r="P383" s="207" t="s">
        <v>688</v>
      </c>
      <c r="Q383" s="208" t="s">
        <v>689</v>
      </c>
      <c r="R383" s="208" t="s">
        <v>1407</v>
      </c>
    </row>
    <row r="384" spans="1:18" s="205" customFormat="1" x14ac:dyDescent="0.2">
      <c r="A384" s="205" t="s">
        <v>1774</v>
      </c>
      <c r="B384" s="205" t="s">
        <v>1775</v>
      </c>
      <c r="C384" s="200">
        <v>45401</v>
      </c>
      <c r="D384" s="201" t="s">
        <v>152</v>
      </c>
      <c r="E384" s="206">
        <v>52204</v>
      </c>
      <c r="F384" s="206">
        <v>5220</v>
      </c>
      <c r="G384" s="206">
        <v>522</v>
      </c>
      <c r="H384" s="202">
        <f t="shared" si="5"/>
        <v>47506</v>
      </c>
      <c r="I384" s="205" t="s">
        <v>329</v>
      </c>
      <c r="J384" s="205" t="s">
        <v>29</v>
      </c>
      <c r="K384" s="201" t="s">
        <v>1058</v>
      </c>
      <c r="L384" s="205" t="s">
        <v>1776</v>
      </c>
      <c r="M384" s="201" t="s">
        <v>1030</v>
      </c>
      <c r="N384" s="205" t="s">
        <v>652</v>
      </c>
      <c r="O384" s="205" t="s">
        <v>652</v>
      </c>
      <c r="P384" s="207" t="s">
        <v>873</v>
      </c>
      <c r="Q384" s="208" t="s">
        <v>968</v>
      </c>
      <c r="R384" s="208" t="s">
        <v>1086</v>
      </c>
    </row>
    <row r="385" spans="1:18" s="205" customFormat="1" x14ac:dyDescent="0.2">
      <c r="A385" s="205" t="s">
        <v>1774</v>
      </c>
      <c r="B385" s="205" t="s">
        <v>1777</v>
      </c>
      <c r="C385" s="200">
        <v>45401</v>
      </c>
      <c r="D385" s="201" t="s">
        <v>152</v>
      </c>
      <c r="E385" s="206">
        <v>38660</v>
      </c>
      <c r="F385" s="206">
        <v>3866</v>
      </c>
      <c r="G385" s="206">
        <v>387</v>
      </c>
      <c r="H385" s="202">
        <f t="shared" si="5"/>
        <v>35181</v>
      </c>
      <c r="I385" s="205" t="s">
        <v>329</v>
      </c>
      <c r="J385" s="205" t="s">
        <v>29</v>
      </c>
      <c r="K385" s="201" t="s">
        <v>1058</v>
      </c>
      <c r="L385" s="205" t="s">
        <v>1778</v>
      </c>
      <c r="M385" s="201" t="s">
        <v>1030</v>
      </c>
      <c r="N385" s="205" t="s">
        <v>652</v>
      </c>
      <c r="O385" s="205" t="s">
        <v>652</v>
      </c>
      <c r="P385" s="207" t="s">
        <v>1416</v>
      </c>
      <c r="Q385" s="208" t="s">
        <v>1417</v>
      </c>
      <c r="R385" s="208" t="s">
        <v>1086</v>
      </c>
    </row>
    <row r="386" spans="1:18" s="205" customFormat="1" x14ac:dyDescent="0.2">
      <c r="A386" s="205" t="s">
        <v>111</v>
      </c>
      <c r="B386" s="205" t="s">
        <v>639</v>
      </c>
      <c r="C386" s="200">
        <v>45401</v>
      </c>
      <c r="D386" s="201" t="s">
        <v>152</v>
      </c>
      <c r="E386" s="206">
        <v>67329</v>
      </c>
      <c r="F386" s="206">
        <v>6733</v>
      </c>
      <c r="G386" s="206">
        <v>673</v>
      </c>
      <c r="H386" s="202">
        <f t="shared" ref="H386:H449" si="6">E386+G386-F386</f>
        <v>61269</v>
      </c>
      <c r="I386" s="205" t="s">
        <v>31</v>
      </c>
      <c r="J386" s="205" t="s">
        <v>29</v>
      </c>
      <c r="K386" s="201" t="s">
        <v>1042</v>
      </c>
      <c r="L386" s="205" t="s">
        <v>1779</v>
      </c>
      <c r="M386" s="201" t="s">
        <v>1030</v>
      </c>
      <c r="N386" s="205" t="s">
        <v>652</v>
      </c>
      <c r="O386" s="205" t="s">
        <v>652</v>
      </c>
      <c r="P386" s="207" t="s">
        <v>805</v>
      </c>
      <c r="Q386" s="208" t="s">
        <v>806</v>
      </c>
      <c r="R386" s="208" t="s">
        <v>992</v>
      </c>
    </row>
    <row r="387" spans="1:18" s="205" customFormat="1" x14ac:dyDescent="0.2">
      <c r="A387" s="205" t="s">
        <v>455</v>
      </c>
      <c r="B387" s="205" t="s">
        <v>958</v>
      </c>
      <c r="C387" s="200">
        <v>45401</v>
      </c>
      <c r="D387" s="201" t="s">
        <v>152</v>
      </c>
      <c r="E387" s="206">
        <v>20120</v>
      </c>
      <c r="F387" s="206">
        <v>2012</v>
      </c>
      <c r="G387" s="206">
        <v>201</v>
      </c>
      <c r="H387" s="202">
        <f t="shared" si="6"/>
        <v>18309</v>
      </c>
      <c r="I387" s="205" t="s">
        <v>28</v>
      </c>
      <c r="J387" s="205" t="s">
        <v>29</v>
      </c>
      <c r="K387" s="201" t="s">
        <v>1042</v>
      </c>
      <c r="L387" s="205" t="s">
        <v>1780</v>
      </c>
      <c r="M387" s="201" t="s">
        <v>1030</v>
      </c>
      <c r="N387" s="205" t="s">
        <v>1488</v>
      </c>
      <c r="O387" s="205" t="s">
        <v>1191</v>
      </c>
      <c r="P387" s="207" t="s">
        <v>877</v>
      </c>
      <c r="Q387" s="208" t="s">
        <v>957</v>
      </c>
      <c r="R387" s="208" t="s">
        <v>992</v>
      </c>
    </row>
    <row r="388" spans="1:18" s="205" customFormat="1" x14ac:dyDescent="0.2">
      <c r="A388" s="205" t="s">
        <v>45</v>
      </c>
      <c r="B388" s="205" t="s">
        <v>527</v>
      </c>
      <c r="C388" s="200">
        <v>45401</v>
      </c>
      <c r="D388" s="201" t="s">
        <v>152</v>
      </c>
      <c r="E388" s="206">
        <v>19125</v>
      </c>
      <c r="F388" s="206">
        <v>1913</v>
      </c>
      <c r="G388" s="206">
        <v>191</v>
      </c>
      <c r="H388" s="202">
        <f t="shared" si="6"/>
        <v>17403</v>
      </c>
      <c r="I388" s="205" t="s">
        <v>28</v>
      </c>
      <c r="J388" s="205" t="s">
        <v>29</v>
      </c>
      <c r="K388" s="201" t="s">
        <v>1042</v>
      </c>
      <c r="L388" s="205" t="s">
        <v>1781</v>
      </c>
      <c r="M388" s="199" t="s">
        <v>1030</v>
      </c>
      <c r="N388" s="205" t="s">
        <v>652</v>
      </c>
      <c r="O388" s="205" t="s">
        <v>652</v>
      </c>
      <c r="P388" s="207" t="s">
        <v>718</v>
      </c>
      <c r="Q388" s="208" t="s">
        <v>719</v>
      </c>
      <c r="R388" s="208" t="s">
        <v>992</v>
      </c>
    </row>
    <row r="389" spans="1:18" s="205" customFormat="1" x14ac:dyDescent="0.2">
      <c r="A389" s="205" t="s">
        <v>189</v>
      </c>
      <c r="B389" s="205" t="s">
        <v>970</v>
      </c>
      <c r="C389" s="200">
        <v>45401</v>
      </c>
      <c r="D389" s="201" t="s">
        <v>152</v>
      </c>
      <c r="E389" s="206">
        <v>209922</v>
      </c>
      <c r="F389" s="206">
        <v>20992</v>
      </c>
      <c r="G389" s="206">
        <v>2099</v>
      </c>
      <c r="H389" s="202">
        <f t="shared" si="6"/>
        <v>191029</v>
      </c>
      <c r="I389" s="205" t="s">
        <v>188</v>
      </c>
      <c r="J389" s="205" t="s">
        <v>29</v>
      </c>
      <c r="K389" s="201" t="s">
        <v>1042</v>
      </c>
      <c r="L389" s="205" t="s">
        <v>1782</v>
      </c>
      <c r="M389" s="199" t="s">
        <v>1030</v>
      </c>
      <c r="N389" s="205" t="s">
        <v>1110</v>
      </c>
      <c r="O389" s="205" t="s">
        <v>1111</v>
      </c>
      <c r="P389" s="207" t="s">
        <v>873</v>
      </c>
      <c r="Q389" s="208" t="s">
        <v>968</v>
      </c>
      <c r="R389" s="208" t="s">
        <v>992</v>
      </c>
    </row>
    <row r="390" spans="1:18" s="205" customFormat="1" x14ac:dyDescent="0.2">
      <c r="A390" s="205" t="s">
        <v>1783</v>
      </c>
      <c r="B390" s="205" t="s">
        <v>1784</v>
      </c>
      <c r="C390" s="200">
        <v>45401</v>
      </c>
      <c r="D390" s="201" t="s">
        <v>152</v>
      </c>
      <c r="E390" s="206">
        <v>11804</v>
      </c>
      <c r="F390" s="206">
        <v>1180</v>
      </c>
      <c r="G390" s="206">
        <v>118</v>
      </c>
      <c r="H390" s="202">
        <f t="shared" si="6"/>
        <v>10742</v>
      </c>
      <c r="I390" s="205" t="s">
        <v>41</v>
      </c>
      <c r="J390" s="205" t="s">
        <v>29</v>
      </c>
      <c r="K390" s="201" t="s">
        <v>1042</v>
      </c>
      <c r="L390" s="205" t="s">
        <v>1785</v>
      </c>
      <c r="M390" s="201" t="s">
        <v>1030</v>
      </c>
      <c r="N390" s="205" t="s">
        <v>1786</v>
      </c>
      <c r="O390" s="205" t="s">
        <v>1111</v>
      </c>
      <c r="P390" s="207" t="s">
        <v>1787</v>
      </c>
      <c r="Q390" s="208" t="s">
        <v>1788</v>
      </c>
      <c r="R390" s="208" t="s">
        <v>992</v>
      </c>
    </row>
    <row r="391" spans="1:18" s="205" customFormat="1" x14ac:dyDescent="0.2">
      <c r="A391" s="205" t="s">
        <v>274</v>
      </c>
      <c r="B391" s="205" t="s">
        <v>892</v>
      </c>
      <c r="C391" s="200">
        <v>45401</v>
      </c>
      <c r="D391" s="199" t="s">
        <v>166</v>
      </c>
      <c r="E391" s="206">
        <v>-19456</v>
      </c>
      <c r="F391" s="206">
        <v>-1946</v>
      </c>
      <c r="G391" s="206">
        <v>-195</v>
      </c>
      <c r="H391" s="202">
        <f t="shared" si="6"/>
        <v>-17705</v>
      </c>
      <c r="I391" s="205" t="s">
        <v>31</v>
      </c>
      <c r="J391" s="205" t="s">
        <v>29</v>
      </c>
      <c r="K391" s="201" t="s">
        <v>1068</v>
      </c>
      <c r="L391" s="205" t="s">
        <v>1789</v>
      </c>
      <c r="M391" s="201" t="s">
        <v>1030</v>
      </c>
      <c r="N391" s="205" t="s">
        <v>652</v>
      </c>
      <c r="O391" s="205" t="s">
        <v>652</v>
      </c>
      <c r="P391" s="207" t="s">
        <v>893</v>
      </c>
      <c r="Q391" s="208" t="s">
        <v>894</v>
      </c>
      <c r="R391" s="208" t="s">
        <v>992</v>
      </c>
    </row>
    <row r="392" spans="1:18" s="205" customFormat="1" x14ac:dyDescent="0.2">
      <c r="A392" s="205" t="s">
        <v>445</v>
      </c>
      <c r="B392" s="205" t="s">
        <v>914</v>
      </c>
      <c r="C392" s="200">
        <v>45401</v>
      </c>
      <c r="D392" s="199" t="s">
        <v>166</v>
      </c>
      <c r="E392" s="206">
        <v>-45400</v>
      </c>
      <c r="F392" s="206">
        <v>-4540</v>
      </c>
      <c r="G392" s="206">
        <v>-454</v>
      </c>
      <c r="H392" s="202">
        <f t="shared" si="6"/>
        <v>-41314</v>
      </c>
      <c r="I392" s="205" t="s">
        <v>1790</v>
      </c>
      <c r="J392" s="205" t="s">
        <v>29</v>
      </c>
      <c r="K392" s="201" t="s">
        <v>1151</v>
      </c>
      <c r="L392" s="205" t="s">
        <v>1791</v>
      </c>
      <c r="M392" s="201" t="s">
        <v>1030</v>
      </c>
      <c r="N392" s="205" t="s">
        <v>652</v>
      </c>
      <c r="O392" s="205" t="s">
        <v>652</v>
      </c>
      <c r="P392" s="207" t="s">
        <v>663</v>
      </c>
      <c r="Q392" s="208" t="s">
        <v>745</v>
      </c>
      <c r="R392" s="208" t="s">
        <v>992</v>
      </c>
    </row>
    <row r="393" spans="1:18" s="205" customFormat="1" x14ac:dyDescent="0.2">
      <c r="A393" s="205" t="s">
        <v>1792</v>
      </c>
      <c r="B393" s="205" t="s">
        <v>284</v>
      </c>
      <c r="C393" s="200">
        <v>45401</v>
      </c>
      <c r="D393" s="201" t="s">
        <v>152</v>
      </c>
      <c r="E393" s="206">
        <v>94377</v>
      </c>
      <c r="F393" s="206">
        <v>9438</v>
      </c>
      <c r="G393" s="206">
        <v>472</v>
      </c>
      <c r="H393" s="202">
        <f t="shared" si="6"/>
        <v>85411</v>
      </c>
      <c r="I393" s="205" t="s">
        <v>193</v>
      </c>
      <c r="J393" s="205" t="s">
        <v>23</v>
      </c>
      <c r="K393" s="201" t="s">
        <v>1058</v>
      </c>
      <c r="L393" s="205" t="s">
        <v>1793</v>
      </c>
      <c r="M393" s="201" t="s">
        <v>1030</v>
      </c>
      <c r="N393" s="205" t="s">
        <v>652</v>
      </c>
      <c r="O393" s="205" t="s">
        <v>652</v>
      </c>
      <c r="P393" s="207" t="s">
        <v>651</v>
      </c>
      <c r="Q393" s="208" t="s">
        <v>673</v>
      </c>
      <c r="R393" s="208" t="s">
        <v>992</v>
      </c>
    </row>
    <row r="394" spans="1:18" s="205" customFormat="1" x14ac:dyDescent="0.2">
      <c r="A394" s="205" t="s">
        <v>1792</v>
      </c>
      <c r="B394" s="205" t="s">
        <v>1794</v>
      </c>
      <c r="C394" s="200">
        <v>45401</v>
      </c>
      <c r="D394" s="201" t="s">
        <v>152</v>
      </c>
      <c r="E394" s="206">
        <v>102728</v>
      </c>
      <c r="F394" s="206">
        <v>10273</v>
      </c>
      <c r="G394" s="206">
        <v>514</v>
      </c>
      <c r="H394" s="202">
        <f t="shared" si="6"/>
        <v>92969</v>
      </c>
      <c r="I394" s="205" t="s">
        <v>193</v>
      </c>
      <c r="J394" s="205" t="s">
        <v>23</v>
      </c>
      <c r="K394" s="201" t="s">
        <v>1042</v>
      </c>
      <c r="L394" s="205" t="s">
        <v>1795</v>
      </c>
      <c r="M394" s="201" t="s">
        <v>1030</v>
      </c>
      <c r="N394" s="205" t="s">
        <v>652</v>
      </c>
      <c r="O394" s="205" t="s">
        <v>652</v>
      </c>
      <c r="P394" s="207" t="s">
        <v>738</v>
      </c>
      <c r="Q394" s="208" t="s">
        <v>739</v>
      </c>
      <c r="R394" s="208" t="s">
        <v>992</v>
      </c>
    </row>
    <row r="395" spans="1:18" s="205" customFormat="1" x14ac:dyDescent="0.2">
      <c r="A395" s="205" t="s">
        <v>194</v>
      </c>
      <c r="B395" s="205" t="s">
        <v>548</v>
      </c>
      <c r="C395" s="200">
        <v>45401</v>
      </c>
      <c r="D395" s="201" t="s">
        <v>152</v>
      </c>
      <c r="E395" s="206">
        <v>15162</v>
      </c>
      <c r="F395" s="206">
        <v>1516</v>
      </c>
      <c r="G395" s="206">
        <v>76</v>
      </c>
      <c r="H395" s="202">
        <f t="shared" si="6"/>
        <v>13722</v>
      </c>
      <c r="I395" s="205" t="s">
        <v>52</v>
      </c>
      <c r="J395" s="205" t="s">
        <v>23</v>
      </c>
      <c r="K395" s="201" t="s">
        <v>1042</v>
      </c>
      <c r="L395" s="205" t="s">
        <v>1796</v>
      </c>
      <c r="M395" s="201" t="s">
        <v>1030</v>
      </c>
      <c r="N395" s="205" t="s">
        <v>652</v>
      </c>
      <c r="O395" s="205" t="s">
        <v>652</v>
      </c>
      <c r="P395" s="207" t="s">
        <v>837</v>
      </c>
      <c r="Q395" s="208" t="s">
        <v>838</v>
      </c>
      <c r="R395" s="208" t="s">
        <v>992</v>
      </c>
    </row>
    <row r="396" spans="1:18" s="205" customFormat="1" x14ac:dyDescent="0.2">
      <c r="A396" s="205" t="s">
        <v>207</v>
      </c>
      <c r="B396" s="205" t="s">
        <v>916</v>
      </c>
      <c r="C396" s="200">
        <v>45401</v>
      </c>
      <c r="D396" s="201" t="s">
        <v>152</v>
      </c>
      <c r="E396" s="206">
        <v>42434</v>
      </c>
      <c r="F396" s="206">
        <v>4243</v>
      </c>
      <c r="G396" s="206">
        <v>212</v>
      </c>
      <c r="H396" s="202">
        <f t="shared" si="6"/>
        <v>38403</v>
      </c>
      <c r="I396" s="205" t="s">
        <v>44</v>
      </c>
      <c r="J396" s="205" t="s">
        <v>23</v>
      </c>
      <c r="K396" s="201" t="s">
        <v>1151</v>
      </c>
      <c r="L396" s="205" t="s">
        <v>1797</v>
      </c>
      <c r="M396" s="201" t="s">
        <v>1030</v>
      </c>
      <c r="N396" s="205" t="s">
        <v>652</v>
      </c>
      <c r="O396" s="205" t="s">
        <v>652</v>
      </c>
      <c r="P396" s="207" t="s">
        <v>663</v>
      </c>
      <c r="Q396" s="208" t="s">
        <v>745</v>
      </c>
      <c r="R396" s="208" t="s">
        <v>992</v>
      </c>
    </row>
    <row r="397" spans="1:18" s="205" customFormat="1" x14ac:dyDescent="0.2">
      <c r="A397" s="205" t="s">
        <v>140</v>
      </c>
      <c r="B397" s="205" t="s">
        <v>388</v>
      </c>
      <c r="C397" s="200">
        <v>45401</v>
      </c>
      <c r="D397" s="201" t="s">
        <v>152</v>
      </c>
      <c r="E397" s="206">
        <v>13308</v>
      </c>
      <c r="F397" s="206">
        <v>1331</v>
      </c>
      <c r="G397" s="206">
        <v>67</v>
      </c>
      <c r="H397" s="202">
        <f t="shared" si="6"/>
        <v>12044</v>
      </c>
      <c r="I397" s="205" t="s">
        <v>38</v>
      </c>
      <c r="J397" s="205" t="s">
        <v>23</v>
      </c>
      <c r="K397" s="201" t="s">
        <v>1042</v>
      </c>
      <c r="L397" s="205" t="s">
        <v>1798</v>
      </c>
      <c r="M397" s="201" t="s">
        <v>1030</v>
      </c>
      <c r="N397" s="205" t="s">
        <v>652</v>
      </c>
      <c r="O397" s="205" t="s">
        <v>652</v>
      </c>
      <c r="P397" s="207" t="s">
        <v>696</v>
      </c>
      <c r="Q397" s="208" t="s">
        <v>697</v>
      </c>
      <c r="R397" s="208" t="s">
        <v>992</v>
      </c>
    </row>
    <row r="398" spans="1:18" s="205" customFormat="1" x14ac:dyDescent="0.2">
      <c r="A398" s="205" t="s">
        <v>1799</v>
      </c>
      <c r="B398" s="205" t="s">
        <v>246</v>
      </c>
      <c r="C398" s="200">
        <v>45401</v>
      </c>
      <c r="D398" s="201" t="s">
        <v>152</v>
      </c>
      <c r="E398" s="206">
        <v>22716</v>
      </c>
      <c r="F398" s="206">
        <v>2272</v>
      </c>
      <c r="G398" s="206">
        <v>114</v>
      </c>
      <c r="H398" s="202">
        <f t="shared" si="6"/>
        <v>20558</v>
      </c>
      <c r="I398" s="205" t="s">
        <v>193</v>
      </c>
      <c r="J398" s="205" t="s">
        <v>23</v>
      </c>
      <c r="K398" s="201" t="s">
        <v>1042</v>
      </c>
      <c r="L398" s="205" t="s">
        <v>1800</v>
      </c>
      <c r="M398" s="201" t="s">
        <v>1030</v>
      </c>
      <c r="N398" s="205" t="s">
        <v>652</v>
      </c>
      <c r="O398" s="205" t="s">
        <v>652</v>
      </c>
      <c r="P398" s="207" t="s">
        <v>651</v>
      </c>
      <c r="Q398" s="208" t="s">
        <v>673</v>
      </c>
      <c r="R398" s="208" t="s">
        <v>992</v>
      </c>
    </row>
    <row r="399" spans="1:18" s="205" customFormat="1" x14ac:dyDescent="0.2">
      <c r="A399" s="205" t="s">
        <v>1801</v>
      </c>
      <c r="B399" s="205" t="s">
        <v>250</v>
      </c>
      <c r="C399" s="200">
        <v>45401</v>
      </c>
      <c r="D399" s="201" t="s">
        <v>152</v>
      </c>
      <c r="E399" s="206">
        <v>85607</v>
      </c>
      <c r="F399" s="206">
        <v>8561</v>
      </c>
      <c r="G399" s="206">
        <v>428</v>
      </c>
      <c r="H399" s="202">
        <f t="shared" si="6"/>
        <v>77474</v>
      </c>
      <c r="I399" s="205" t="s">
        <v>193</v>
      </c>
      <c r="J399" s="205" t="s">
        <v>23</v>
      </c>
      <c r="K399" s="201" t="s">
        <v>1042</v>
      </c>
      <c r="L399" s="205" t="s">
        <v>1802</v>
      </c>
      <c r="M399" s="201" t="s">
        <v>1030</v>
      </c>
      <c r="N399" s="205" t="s">
        <v>652</v>
      </c>
      <c r="O399" s="205" t="s">
        <v>652</v>
      </c>
      <c r="P399" s="207" t="s">
        <v>987</v>
      </c>
      <c r="Q399" s="208" t="s">
        <v>988</v>
      </c>
      <c r="R399" s="208" t="s">
        <v>992</v>
      </c>
    </row>
    <row r="400" spans="1:18" s="205" customFormat="1" x14ac:dyDescent="0.2">
      <c r="A400" s="205" t="s">
        <v>1803</v>
      </c>
      <c r="B400" s="205" t="s">
        <v>229</v>
      </c>
      <c r="C400" s="200">
        <v>45401</v>
      </c>
      <c r="D400" s="201" t="s">
        <v>152</v>
      </c>
      <c r="E400" s="206">
        <v>36738</v>
      </c>
      <c r="F400" s="206">
        <v>3674</v>
      </c>
      <c r="G400" s="206">
        <v>184</v>
      </c>
      <c r="H400" s="202">
        <f t="shared" si="6"/>
        <v>33248</v>
      </c>
      <c r="I400" s="205" t="s">
        <v>38</v>
      </c>
      <c r="J400" s="205" t="s">
        <v>23</v>
      </c>
      <c r="K400" s="201" t="s">
        <v>1042</v>
      </c>
      <c r="L400" s="205" t="s">
        <v>1804</v>
      </c>
      <c r="M400" s="201" t="s">
        <v>1030</v>
      </c>
      <c r="N400" s="205" t="s">
        <v>652</v>
      </c>
      <c r="O400" s="205" t="s">
        <v>652</v>
      </c>
      <c r="P400" s="207" t="s">
        <v>664</v>
      </c>
      <c r="Q400" s="208" t="s">
        <v>665</v>
      </c>
      <c r="R400" s="208" t="s">
        <v>992</v>
      </c>
    </row>
    <row r="401" spans="1:18" s="205" customFormat="1" x14ac:dyDescent="0.2">
      <c r="A401" s="205" t="s">
        <v>1805</v>
      </c>
      <c r="B401" s="205" t="s">
        <v>1806</v>
      </c>
      <c r="C401" s="200">
        <v>45401</v>
      </c>
      <c r="D401" s="201" t="s">
        <v>152</v>
      </c>
      <c r="E401" s="206">
        <v>69813</v>
      </c>
      <c r="F401" s="206">
        <v>6981</v>
      </c>
      <c r="G401" s="206">
        <v>349</v>
      </c>
      <c r="H401" s="202">
        <f t="shared" si="6"/>
        <v>63181</v>
      </c>
      <c r="I401" s="205" t="s">
        <v>101</v>
      </c>
      <c r="J401" s="205" t="s">
        <v>23</v>
      </c>
      <c r="K401" s="201" t="s">
        <v>1028</v>
      </c>
      <c r="L401" s="205" t="s">
        <v>1807</v>
      </c>
      <c r="M401" s="201" t="s">
        <v>1030</v>
      </c>
      <c r="N401" s="205" t="s">
        <v>652</v>
      </c>
      <c r="O401" s="205" t="s">
        <v>652</v>
      </c>
      <c r="P401" s="207" t="s">
        <v>832</v>
      </c>
      <c r="Q401" s="208" t="s">
        <v>1495</v>
      </c>
      <c r="R401" s="208" t="s">
        <v>992</v>
      </c>
    </row>
    <row r="402" spans="1:18" s="205" customFormat="1" x14ac:dyDescent="0.2">
      <c r="A402" s="205" t="s">
        <v>933</v>
      </c>
      <c r="B402" s="205" t="s">
        <v>934</v>
      </c>
      <c r="C402" s="200">
        <v>45401</v>
      </c>
      <c r="D402" s="199" t="s">
        <v>166</v>
      </c>
      <c r="E402" s="206">
        <v>-56429</v>
      </c>
      <c r="F402" s="206">
        <v>-5643</v>
      </c>
      <c r="G402" s="206">
        <v>-282</v>
      </c>
      <c r="H402" s="202">
        <f t="shared" si="6"/>
        <v>-51068</v>
      </c>
      <c r="I402" s="205" t="s">
        <v>50</v>
      </c>
      <c r="J402" s="205" t="s">
        <v>23</v>
      </c>
      <c r="K402" s="201" t="s">
        <v>1386</v>
      </c>
      <c r="L402" s="205" t="s">
        <v>1808</v>
      </c>
      <c r="M402" s="201" t="s">
        <v>1030</v>
      </c>
      <c r="N402" s="205" t="s">
        <v>652</v>
      </c>
      <c r="O402" s="205" t="s">
        <v>652</v>
      </c>
      <c r="P402" s="207" t="s">
        <v>840</v>
      </c>
      <c r="Q402" s="208" t="s">
        <v>1035</v>
      </c>
      <c r="R402" s="208" t="s">
        <v>992</v>
      </c>
    </row>
    <row r="403" spans="1:18" s="205" customFormat="1" x14ac:dyDescent="0.2">
      <c r="A403" s="205" t="s">
        <v>79</v>
      </c>
      <c r="B403" s="205" t="s">
        <v>535</v>
      </c>
      <c r="C403" s="200">
        <v>45401</v>
      </c>
      <c r="D403" s="199" t="s">
        <v>166</v>
      </c>
      <c r="E403" s="206">
        <v>-58135</v>
      </c>
      <c r="F403" s="206">
        <v>-5813</v>
      </c>
      <c r="G403" s="206">
        <v>-291</v>
      </c>
      <c r="H403" s="202">
        <f t="shared" si="6"/>
        <v>-52613</v>
      </c>
      <c r="I403" s="205" t="s">
        <v>22</v>
      </c>
      <c r="J403" s="205" t="s">
        <v>23</v>
      </c>
      <c r="K403" s="201" t="s">
        <v>1068</v>
      </c>
      <c r="L403" s="205" t="s">
        <v>1809</v>
      </c>
      <c r="M403" s="201" t="s">
        <v>1030</v>
      </c>
      <c r="N403" s="205" t="s">
        <v>652</v>
      </c>
      <c r="O403" s="205" t="s">
        <v>652</v>
      </c>
      <c r="P403" s="207" t="s">
        <v>674</v>
      </c>
      <c r="Q403" s="208" t="s">
        <v>675</v>
      </c>
      <c r="R403" s="208" t="s">
        <v>992</v>
      </c>
    </row>
    <row r="404" spans="1:18" s="205" customFormat="1" x14ac:dyDescent="0.2">
      <c r="A404" s="205" t="s">
        <v>1298</v>
      </c>
      <c r="B404" s="205" t="s">
        <v>1299</v>
      </c>
      <c r="C404" s="200">
        <v>45401</v>
      </c>
      <c r="D404" s="201" t="s">
        <v>152</v>
      </c>
      <c r="E404" s="206">
        <v>26541</v>
      </c>
      <c r="F404" s="206">
        <v>0</v>
      </c>
      <c r="G404" s="206">
        <v>0</v>
      </c>
      <c r="H404" s="202">
        <f t="shared" si="6"/>
        <v>26541</v>
      </c>
      <c r="I404" s="205" t="s">
        <v>25</v>
      </c>
      <c r="J404" s="205" t="s">
        <v>214</v>
      </c>
      <c r="K404" s="201" t="s">
        <v>1042</v>
      </c>
      <c r="L404" s="205" t="s">
        <v>1810</v>
      </c>
      <c r="M404" s="201" t="s">
        <v>1301</v>
      </c>
      <c r="N404" s="205" t="s">
        <v>1302</v>
      </c>
      <c r="O404" s="205" t="s">
        <v>1066</v>
      </c>
      <c r="P404" s="207" t="s">
        <v>866</v>
      </c>
      <c r="Q404" s="208" t="s">
        <v>986</v>
      </c>
      <c r="R404" s="208" t="s">
        <v>992</v>
      </c>
    </row>
    <row r="405" spans="1:18" s="205" customFormat="1" x14ac:dyDescent="0.2">
      <c r="A405" s="205" t="s">
        <v>165</v>
      </c>
      <c r="B405" s="205" t="s">
        <v>302</v>
      </c>
      <c r="C405" s="200">
        <v>45401</v>
      </c>
      <c r="D405" s="201" t="s">
        <v>152</v>
      </c>
      <c r="E405" s="206">
        <v>138930</v>
      </c>
      <c r="F405" s="206">
        <v>0</v>
      </c>
      <c r="G405" s="206">
        <v>0</v>
      </c>
      <c r="H405" s="202">
        <f t="shared" si="6"/>
        <v>138930</v>
      </c>
      <c r="I405" s="205" t="s">
        <v>25</v>
      </c>
      <c r="J405" s="205" t="s">
        <v>214</v>
      </c>
      <c r="K405" s="201" t="s">
        <v>1042</v>
      </c>
      <c r="L405" s="205" t="s">
        <v>1811</v>
      </c>
      <c r="M405" s="201" t="s">
        <v>1030</v>
      </c>
      <c r="N405" s="205" t="s">
        <v>652</v>
      </c>
      <c r="O405" s="205" t="s">
        <v>652</v>
      </c>
      <c r="P405" s="207" t="s">
        <v>491</v>
      </c>
      <c r="Q405" s="208" t="s">
        <v>884</v>
      </c>
      <c r="R405" s="208" t="s">
        <v>992</v>
      </c>
    </row>
    <row r="406" spans="1:18" s="205" customFormat="1" x14ac:dyDescent="0.2">
      <c r="A406" s="205" t="s">
        <v>635</v>
      </c>
      <c r="B406" s="205" t="s">
        <v>636</v>
      </c>
      <c r="C406" s="200">
        <v>45402</v>
      </c>
      <c r="D406" s="201" t="s">
        <v>152</v>
      </c>
      <c r="E406" s="206">
        <v>110202</v>
      </c>
      <c r="F406" s="206">
        <v>11020</v>
      </c>
      <c r="G406" s="206">
        <v>1102</v>
      </c>
      <c r="H406" s="202">
        <f t="shared" si="6"/>
        <v>100284</v>
      </c>
      <c r="I406" s="205" t="s">
        <v>355</v>
      </c>
      <c r="J406" s="205" t="s">
        <v>29</v>
      </c>
      <c r="K406" s="201" t="s">
        <v>1042</v>
      </c>
      <c r="L406" s="205" t="s">
        <v>1812</v>
      </c>
      <c r="M406" s="201" t="s">
        <v>1030</v>
      </c>
      <c r="N406" s="205" t="s">
        <v>1110</v>
      </c>
      <c r="O406" s="205" t="s">
        <v>1111</v>
      </c>
      <c r="P406" s="207" t="s">
        <v>818</v>
      </c>
      <c r="Q406" s="208" t="s">
        <v>819</v>
      </c>
      <c r="R406" s="208" t="s">
        <v>1542</v>
      </c>
    </row>
    <row r="407" spans="1:18" s="205" customFormat="1" x14ac:dyDescent="0.2">
      <c r="A407" s="205" t="s">
        <v>64</v>
      </c>
      <c r="B407" s="205" t="s">
        <v>514</v>
      </c>
      <c r="C407" s="200">
        <v>45402</v>
      </c>
      <c r="D407" s="201" t="s">
        <v>152</v>
      </c>
      <c r="E407" s="206">
        <v>278352</v>
      </c>
      <c r="F407" s="206">
        <v>27835</v>
      </c>
      <c r="G407" s="206">
        <v>2784</v>
      </c>
      <c r="H407" s="202">
        <f t="shared" si="6"/>
        <v>253301</v>
      </c>
      <c r="I407" s="205" t="s">
        <v>31</v>
      </c>
      <c r="J407" s="205" t="s">
        <v>29</v>
      </c>
      <c r="K407" s="201" t="s">
        <v>1042</v>
      </c>
      <c r="L407" s="205" t="s">
        <v>1813</v>
      </c>
      <c r="M407" s="199" t="s">
        <v>1030</v>
      </c>
      <c r="N407" s="205" t="s">
        <v>652</v>
      </c>
      <c r="O407" s="205" t="s">
        <v>652</v>
      </c>
      <c r="P407" s="207" t="s">
        <v>653</v>
      </c>
      <c r="Q407" s="208" t="s">
        <v>654</v>
      </c>
      <c r="R407" s="208" t="s">
        <v>1542</v>
      </c>
    </row>
    <row r="408" spans="1:18" s="205" customFormat="1" x14ac:dyDescent="0.2">
      <c r="A408" s="205" t="s">
        <v>189</v>
      </c>
      <c r="B408" s="205" t="s">
        <v>970</v>
      </c>
      <c r="C408" s="200">
        <v>45402</v>
      </c>
      <c r="D408" s="201" t="s">
        <v>152</v>
      </c>
      <c r="E408" s="206">
        <v>23896</v>
      </c>
      <c r="F408" s="206">
        <v>2390</v>
      </c>
      <c r="G408" s="206">
        <v>239</v>
      </c>
      <c r="H408" s="202">
        <f t="shared" si="6"/>
        <v>21745</v>
      </c>
      <c r="I408" s="205" t="s">
        <v>188</v>
      </c>
      <c r="J408" s="205" t="s">
        <v>29</v>
      </c>
      <c r="K408" s="201" t="s">
        <v>1141</v>
      </c>
      <c r="L408" s="205" t="s">
        <v>1814</v>
      </c>
      <c r="M408" s="199" t="s">
        <v>1030</v>
      </c>
      <c r="N408" s="205" t="s">
        <v>1110</v>
      </c>
      <c r="O408" s="205" t="s">
        <v>1111</v>
      </c>
      <c r="P408" s="207" t="s">
        <v>873</v>
      </c>
      <c r="Q408" s="208" t="s">
        <v>968</v>
      </c>
      <c r="R408" s="208" t="s">
        <v>1542</v>
      </c>
    </row>
    <row r="409" spans="1:18" s="205" customFormat="1" x14ac:dyDescent="0.2">
      <c r="A409" s="205" t="s">
        <v>187</v>
      </c>
      <c r="B409" s="205" t="s">
        <v>961</v>
      </c>
      <c r="C409" s="200">
        <v>45402</v>
      </c>
      <c r="D409" s="201" t="s">
        <v>152</v>
      </c>
      <c r="E409" s="206">
        <v>38949</v>
      </c>
      <c r="F409" s="206">
        <v>3895</v>
      </c>
      <c r="G409" s="206">
        <v>389</v>
      </c>
      <c r="H409" s="202">
        <f t="shared" si="6"/>
        <v>35443</v>
      </c>
      <c r="I409" s="205" t="s">
        <v>188</v>
      </c>
      <c r="J409" s="205" t="s">
        <v>29</v>
      </c>
      <c r="K409" s="201" t="s">
        <v>1042</v>
      </c>
      <c r="L409" s="205" t="s">
        <v>1815</v>
      </c>
      <c r="M409" s="201" t="s">
        <v>1030</v>
      </c>
      <c r="N409" s="205" t="s">
        <v>652</v>
      </c>
      <c r="O409" s="205" t="s">
        <v>652</v>
      </c>
      <c r="P409" s="207" t="s">
        <v>691</v>
      </c>
      <c r="Q409" s="208" t="s">
        <v>960</v>
      </c>
      <c r="R409" s="208" t="s">
        <v>1542</v>
      </c>
    </row>
    <row r="410" spans="1:18" s="205" customFormat="1" x14ac:dyDescent="0.2">
      <c r="A410" s="205" t="s">
        <v>53</v>
      </c>
      <c r="B410" s="205" t="s">
        <v>586</v>
      </c>
      <c r="C410" s="200">
        <v>45402</v>
      </c>
      <c r="D410" s="201" t="s">
        <v>152</v>
      </c>
      <c r="E410" s="206">
        <v>469267</v>
      </c>
      <c r="F410" s="206">
        <v>46927</v>
      </c>
      <c r="G410" s="206">
        <v>4693</v>
      </c>
      <c r="H410" s="202">
        <f t="shared" si="6"/>
        <v>427033</v>
      </c>
      <c r="I410" s="205" t="s">
        <v>173</v>
      </c>
      <c r="J410" s="205" t="s">
        <v>29</v>
      </c>
      <c r="K410" s="201" t="s">
        <v>1042</v>
      </c>
      <c r="L410" s="205" t="s">
        <v>1816</v>
      </c>
      <c r="M410" s="201" t="s">
        <v>1030</v>
      </c>
      <c r="N410" s="205" t="s">
        <v>652</v>
      </c>
      <c r="O410" s="205" t="s">
        <v>652</v>
      </c>
      <c r="P410" s="207" t="s">
        <v>653</v>
      </c>
      <c r="Q410" s="208" t="s">
        <v>654</v>
      </c>
      <c r="R410" s="208" t="s">
        <v>1542</v>
      </c>
    </row>
    <row r="411" spans="1:18" s="205" customFormat="1" x14ac:dyDescent="0.2">
      <c r="A411" s="205" t="s">
        <v>470</v>
      </c>
      <c r="B411" s="205" t="s">
        <v>551</v>
      </c>
      <c r="C411" s="200">
        <v>45402</v>
      </c>
      <c r="D411" s="201" t="s">
        <v>152</v>
      </c>
      <c r="E411" s="206">
        <v>26340</v>
      </c>
      <c r="F411" s="206">
        <v>2634</v>
      </c>
      <c r="G411" s="206">
        <v>263</v>
      </c>
      <c r="H411" s="202">
        <f t="shared" si="6"/>
        <v>23969</v>
      </c>
      <c r="I411" s="205" t="s">
        <v>109</v>
      </c>
      <c r="J411" s="205" t="s">
        <v>29</v>
      </c>
      <c r="K411" s="201" t="s">
        <v>1042</v>
      </c>
      <c r="L411" s="205" t="s">
        <v>1817</v>
      </c>
      <c r="M411" s="199" t="s">
        <v>1030</v>
      </c>
      <c r="N411" s="205" t="s">
        <v>652</v>
      </c>
      <c r="O411" s="205" t="s">
        <v>652</v>
      </c>
      <c r="P411" s="207" t="s">
        <v>705</v>
      </c>
      <c r="Q411" s="208" t="s">
        <v>706</v>
      </c>
      <c r="R411" s="208" t="s">
        <v>1542</v>
      </c>
    </row>
    <row r="412" spans="1:18" s="205" customFormat="1" x14ac:dyDescent="0.2">
      <c r="A412" s="205" t="s">
        <v>170</v>
      </c>
      <c r="B412" s="205" t="s">
        <v>632</v>
      </c>
      <c r="C412" s="200">
        <v>45402</v>
      </c>
      <c r="D412" s="201" t="s">
        <v>152</v>
      </c>
      <c r="E412" s="206">
        <v>87330</v>
      </c>
      <c r="F412" s="206">
        <v>8733</v>
      </c>
      <c r="G412" s="206">
        <v>873</v>
      </c>
      <c r="H412" s="202">
        <f t="shared" si="6"/>
        <v>79470</v>
      </c>
      <c r="I412" s="205" t="s">
        <v>171</v>
      </c>
      <c r="J412" s="205" t="s">
        <v>29</v>
      </c>
      <c r="K412" s="201" t="s">
        <v>1042</v>
      </c>
      <c r="L412" s="205" t="s">
        <v>1818</v>
      </c>
      <c r="M412" s="201" t="s">
        <v>1030</v>
      </c>
      <c r="N412" s="205" t="s">
        <v>652</v>
      </c>
      <c r="O412" s="205" t="s">
        <v>652</v>
      </c>
      <c r="P412" s="207" t="s">
        <v>657</v>
      </c>
      <c r="Q412" s="208" t="s">
        <v>658</v>
      </c>
      <c r="R412" s="208" t="s">
        <v>1542</v>
      </c>
    </row>
    <row r="413" spans="1:18" s="205" customFormat="1" x14ac:dyDescent="0.2">
      <c r="A413" s="205" t="s">
        <v>1819</v>
      </c>
      <c r="B413" s="205" t="s">
        <v>553</v>
      </c>
      <c r="C413" s="200">
        <v>45402</v>
      </c>
      <c r="D413" s="201" t="s">
        <v>152</v>
      </c>
      <c r="E413" s="206">
        <v>62652</v>
      </c>
      <c r="F413" s="206">
        <v>6265</v>
      </c>
      <c r="G413" s="206">
        <v>627</v>
      </c>
      <c r="H413" s="202">
        <f t="shared" si="6"/>
        <v>57014</v>
      </c>
      <c r="I413" s="205" t="s">
        <v>95</v>
      </c>
      <c r="J413" s="205" t="s">
        <v>29</v>
      </c>
      <c r="K413" s="201" t="s">
        <v>1058</v>
      </c>
      <c r="L413" s="205" t="s">
        <v>1820</v>
      </c>
      <c r="M413" s="201" t="s">
        <v>1030</v>
      </c>
      <c r="N413" s="205" t="s">
        <v>652</v>
      </c>
      <c r="O413" s="205" t="s">
        <v>652</v>
      </c>
      <c r="P413" s="207" t="s">
        <v>987</v>
      </c>
      <c r="Q413" s="208" t="s">
        <v>988</v>
      </c>
      <c r="R413" s="208" t="s">
        <v>1542</v>
      </c>
    </row>
    <row r="414" spans="1:18" s="205" customFormat="1" x14ac:dyDescent="0.2">
      <c r="A414" s="205" t="s">
        <v>502</v>
      </c>
      <c r="B414" s="205" t="s">
        <v>1821</v>
      </c>
      <c r="C414" s="200">
        <v>45402</v>
      </c>
      <c r="D414" s="201" t="s">
        <v>152</v>
      </c>
      <c r="E414" s="206">
        <v>67877</v>
      </c>
      <c r="F414" s="206">
        <v>6788</v>
      </c>
      <c r="G414" s="206">
        <v>339</v>
      </c>
      <c r="H414" s="202">
        <f t="shared" si="6"/>
        <v>61428</v>
      </c>
      <c r="I414" s="205" t="s">
        <v>373</v>
      </c>
      <c r="J414" s="205" t="s">
        <v>23</v>
      </c>
      <c r="K414" s="201" t="s">
        <v>1058</v>
      </c>
      <c r="L414" s="205" t="s">
        <v>1822</v>
      </c>
      <c r="M414" s="199" t="s">
        <v>1030</v>
      </c>
      <c r="N414" s="205" t="s">
        <v>652</v>
      </c>
      <c r="O414" s="205" t="s">
        <v>652</v>
      </c>
      <c r="P414" s="207" t="s">
        <v>987</v>
      </c>
      <c r="Q414" s="208" t="s">
        <v>988</v>
      </c>
      <c r="R414" s="208" t="s">
        <v>1407</v>
      </c>
    </row>
    <row r="415" spans="1:18" s="205" customFormat="1" x14ac:dyDescent="0.2">
      <c r="A415" s="205" t="s">
        <v>1823</v>
      </c>
      <c r="B415" s="205" t="s">
        <v>1824</v>
      </c>
      <c r="C415" s="200">
        <v>45402</v>
      </c>
      <c r="D415" s="201" t="s">
        <v>152</v>
      </c>
      <c r="E415" s="206">
        <v>52204</v>
      </c>
      <c r="F415" s="206">
        <v>5220</v>
      </c>
      <c r="G415" s="206">
        <v>261</v>
      </c>
      <c r="H415" s="202">
        <f t="shared" si="6"/>
        <v>47245</v>
      </c>
      <c r="I415" s="205" t="s">
        <v>373</v>
      </c>
      <c r="J415" s="205" t="s">
        <v>23</v>
      </c>
      <c r="K415" s="201" t="s">
        <v>1058</v>
      </c>
      <c r="L415" s="205" t="s">
        <v>1825</v>
      </c>
      <c r="M415" s="201" t="s">
        <v>1030</v>
      </c>
      <c r="N415" s="205" t="s">
        <v>652</v>
      </c>
      <c r="O415" s="205" t="s">
        <v>652</v>
      </c>
      <c r="P415" s="207" t="s">
        <v>987</v>
      </c>
      <c r="Q415" s="208" t="s">
        <v>988</v>
      </c>
      <c r="R415" s="208" t="s">
        <v>1407</v>
      </c>
    </row>
    <row r="416" spans="1:18" s="205" customFormat="1" x14ac:dyDescent="0.2">
      <c r="A416" s="205" t="s">
        <v>1826</v>
      </c>
      <c r="B416" s="205" t="s">
        <v>1827</v>
      </c>
      <c r="C416" s="200">
        <v>45402</v>
      </c>
      <c r="D416" s="201" t="s">
        <v>152</v>
      </c>
      <c r="E416" s="206">
        <v>67877</v>
      </c>
      <c r="F416" s="206">
        <v>6788</v>
      </c>
      <c r="G416" s="206">
        <v>339</v>
      </c>
      <c r="H416" s="202">
        <f t="shared" si="6"/>
        <v>61428</v>
      </c>
      <c r="I416" s="205" t="s">
        <v>373</v>
      </c>
      <c r="J416" s="205" t="s">
        <v>23</v>
      </c>
      <c r="K416" s="201" t="s">
        <v>1058</v>
      </c>
      <c r="L416" s="205" t="s">
        <v>1828</v>
      </c>
      <c r="M416" s="201" t="s">
        <v>1030</v>
      </c>
      <c r="N416" s="205" t="s">
        <v>652</v>
      </c>
      <c r="O416" s="205" t="s">
        <v>652</v>
      </c>
      <c r="P416" s="207" t="s">
        <v>987</v>
      </c>
      <c r="Q416" s="208" t="s">
        <v>988</v>
      </c>
      <c r="R416" s="208" t="s">
        <v>1407</v>
      </c>
    </row>
    <row r="417" spans="1:18" s="205" customFormat="1" x14ac:dyDescent="0.2">
      <c r="A417" s="205" t="s">
        <v>116</v>
      </c>
      <c r="B417" s="205" t="s">
        <v>524</v>
      </c>
      <c r="C417" s="200">
        <v>45402</v>
      </c>
      <c r="D417" s="201" t="s">
        <v>152</v>
      </c>
      <c r="E417" s="206">
        <v>79816</v>
      </c>
      <c r="F417" s="206">
        <v>7982</v>
      </c>
      <c r="G417" s="206">
        <v>399</v>
      </c>
      <c r="H417" s="202">
        <f t="shared" si="6"/>
        <v>72233</v>
      </c>
      <c r="I417" s="205" t="s">
        <v>44</v>
      </c>
      <c r="J417" s="205" t="s">
        <v>23</v>
      </c>
      <c r="K417" s="201" t="s">
        <v>1042</v>
      </c>
      <c r="L417" s="205" t="s">
        <v>1829</v>
      </c>
      <c r="M417" s="201" t="s">
        <v>1030</v>
      </c>
      <c r="N417" s="205" t="s">
        <v>652</v>
      </c>
      <c r="O417" s="205" t="s">
        <v>652</v>
      </c>
      <c r="P417" s="207" t="s">
        <v>666</v>
      </c>
      <c r="Q417" s="208" t="s">
        <v>667</v>
      </c>
      <c r="R417" s="208" t="s">
        <v>1542</v>
      </c>
    </row>
    <row r="418" spans="1:18" s="205" customFormat="1" x14ac:dyDescent="0.2">
      <c r="A418" s="205" t="s">
        <v>130</v>
      </c>
      <c r="B418" s="205" t="s">
        <v>623</v>
      </c>
      <c r="C418" s="200">
        <v>45402</v>
      </c>
      <c r="D418" s="201" t="s">
        <v>152</v>
      </c>
      <c r="E418" s="206">
        <v>57177</v>
      </c>
      <c r="F418" s="206">
        <v>5718</v>
      </c>
      <c r="G418" s="206">
        <v>286</v>
      </c>
      <c r="H418" s="202">
        <f t="shared" si="6"/>
        <v>51745</v>
      </c>
      <c r="I418" s="205" t="s">
        <v>44</v>
      </c>
      <c r="J418" s="205" t="s">
        <v>23</v>
      </c>
      <c r="K418" s="201" t="s">
        <v>1042</v>
      </c>
      <c r="L418" s="205" t="s">
        <v>1830</v>
      </c>
      <c r="M418" s="201" t="s">
        <v>1030</v>
      </c>
      <c r="N418" s="205" t="s">
        <v>652</v>
      </c>
      <c r="O418" s="205" t="s">
        <v>652</v>
      </c>
      <c r="P418" s="207" t="s">
        <v>653</v>
      </c>
      <c r="Q418" s="208" t="s">
        <v>654</v>
      </c>
      <c r="R418" s="208" t="s">
        <v>1542</v>
      </c>
    </row>
    <row r="419" spans="1:18" s="205" customFormat="1" x14ac:dyDescent="0.2">
      <c r="A419" s="205" t="s">
        <v>1201</v>
      </c>
      <c r="B419" s="205" t="s">
        <v>1202</v>
      </c>
      <c r="C419" s="200">
        <v>45402</v>
      </c>
      <c r="D419" s="201" t="s">
        <v>152</v>
      </c>
      <c r="E419" s="206">
        <v>417159</v>
      </c>
      <c r="F419" s="206">
        <v>41716</v>
      </c>
      <c r="G419" s="206">
        <v>2086</v>
      </c>
      <c r="H419" s="202">
        <f t="shared" si="6"/>
        <v>377529</v>
      </c>
      <c r="I419" s="205" t="s">
        <v>81</v>
      </c>
      <c r="J419" s="205" t="s">
        <v>23</v>
      </c>
      <c r="K419" s="201" t="s">
        <v>1042</v>
      </c>
      <c r="L419" s="205" t="s">
        <v>1831</v>
      </c>
      <c r="M419" s="201" t="s">
        <v>1030</v>
      </c>
      <c r="N419" s="205" t="s">
        <v>1204</v>
      </c>
      <c r="O419" s="205" t="s">
        <v>1115</v>
      </c>
      <c r="P419" s="207" t="s">
        <v>987</v>
      </c>
      <c r="Q419" s="208" t="s">
        <v>988</v>
      </c>
      <c r="R419" s="208" t="s">
        <v>1542</v>
      </c>
    </row>
    <row r="420" spans="1:18" s="205" customFormat="1" x14ac:dyDescent="0.2">
      <c r="A420" s="205" t="s">
        <v>1271</v>
      </c>
      <c r="B420" s="205" t="s">
        <v>1272</v>
      </c>
      <c r="C420" s="200">
        <v>45402</v>
      </c>
      <c r="D420" s="201" t="s">
        <v>152</v>
      </c>
      <c r="E420" s="206">
        <v>50731</v>
      </c>
      <c r="F420" s="206">
        <v>5073</v>
      </c>
      <c r="G420" s="206">
        <v>254</v>
      </c>
      <c r="H420" s="202">
        <f t="shared" si="6"/>
        <v>45912</v>
      </c>
      <c r="I420" s="205" t="s">
        <v>22</v>
      </c>
      <c r="J420" s="205" t="s">
        <v>23</v>
      </c>
      <c r="K420" s="201" t="s">
        <v>1042</v>
      </c>
      <c r="L420" s="205" t="s">
        <v>1832</v>
      </c>
      <c r="M420" s="201" t="s">
        <v>1030</v>
      </c>
      <c r="N420" s="205" t="s">
        <v>1274</v>
      </c>
      <c r="O420" s="205" t="s">
        <v>1111</v>
      </c>
      <c r="P420" s="207" t="s">
        <v>987</v>
      </c>
      <c r="Q420" s="208" t="s">
        <v>988</v>
      </c>
      <c r="R420" s="208" t="s">
        <v>1542</v>
      </c>
    </row>
    <row r="421" spans="1:18" s="205" customFormat="1" x14ac:dyDescent="0.2">
      <c r="A421" s="205" t="s">
        <v>213</v>
      </c>
      <c r="B421" s="205" t="s">
        <v>972</v>
      </c>
      <c r="C421" s="200">
        <v>45402</v>
      </c>
      <c r="D421" s="201" t="s">
        <v>152</v>
      </c>
      <c r="E421" s="206">
        <v>10461</v>
      </c>
      <c r="F421" s="206">
        <v>1046</v>
      </c>
      <c r="G421" s="206">
        <v>52</v>
      </c>
      <c r="H421" s="202">
        <f t="shared" si="6"/>
        <v>9467</v>
      </c>
      <c r="I421" s="205" t="s">
        <v>22</v>
      </c>
      <c r="J421" s="205" t="s">
        <v>23</v>
      </c>
      <c r="K421" s="201" t="s">
        <v>1042</v>
      </c>
      <c r="L421" s="205" t="s">
        <v>1833</v>
      </c>
      <c r="M421" s="209" t="s">
        <v>1030</v>
      </c>
      <c r="N421" s="205" t="s">
        <v>652</v>
      </c>
      <c r="O421" s="205" t="s">
        <v>652</v>
      </c>
      <c r="P421" s="207" t="s">
        <v>879</v>
      </c>
      <c r="Q421" s="208" t="s">
        <v>971</v>
      </c>
      <c r="R421" s="208" t="s">
        <v>1542</v>
      </c>
    </row>
    <row r="422" spans="1:18" s="205" customFormat="1" x14ac:dyDescent="0.2">
      <c r="A422" s="205" t="s">
        <v>1834</v>
      </c>
      <c r="B422" s="205" t="s">
        <v>284</v>
      </c>
      <c r="C422" s="200">
        <v>45402</v>
      </c>
      <c r="D422" s="201" t="s">
        <v>152</v>
      </c>
      <c r="E422" s="206">
        <v>94377</v>
      </c>
      <c r="F422" s="206">
        <v>9438</v>
      </c>
      <c r="G422" s="206">
        <v>472</v>
      </c>
      <c r="H422" s="202">
        <f t="shared" si="6"/>
        <v>85411</v>
      </c>
      <c r="I422" s="205" t="s">
        <v>193</v>
      </c>
      <c r="J422" s="205" t="s">
        <v>23</v>
      </c>
      <c r="K422" s="201" t="s">
        <v>1058</v>
      </c>
      <c r="L422" s="205" t="s">
        <v>1835</v>
      </c>
      <c r="M422" s="201" t="s">
        <v>1030</v>
      </c>
      <c r="N422" s="205" t="s">
        <v>652</v>
      </c>
      <c r="O422" s="205" t="s">
        <v>652</v>
      </c>
      <c r="P422" s="207" t="s">
        <v>987</v>
      </c>
      <c r="Q422" s="208" t="s">
        <v>988</v>
      </c>
      <c r="R422" s="208" t="s">
        <v>1542</v>
      </c>
    </row>
    <row r="423" spans="1:18" s="205" customFormat="1" x14ac:dyDescent="0.2">
      <c r="A423" s="205" t="s">
        <v>1836</v>
      </c>
      <c r="B423" s="205" t="s">
        <v>1837</v>
      </c>
      <c r="C423" s="200">
        <v>45402</v>
      </c>
      <c r="D423" s="201" t="s">
        <v>152</v>
      </c>
      <c r="E423" s="206">
        <v>55394</v>
      </c>
      <c r="F423" s="206">
        <v>5539</v>
      </c>
      <c r="G423" s="206">
        <v>277</v>
      </c>
      <c r="H423" s="202">
        <f t="shared" si="6"/>
        <v>50132</v>
      </c>
      <c r="I423" s="205" t="s">
        <v>193</v>
      </c>
      <c r="J423" s="205" t="s">
        <v>23</v>
      </c>
      <c r="K423" s="201" t="s">
        <v>1058</v>
      </c>
      <c r="L423" s="205" t="s">
        <v>1838</v>
      </c>
      <c r="M423" s="201" t="s">
        <v>1030</v>
      </c>
      <c r="N423" s="205" t="s">
        <v>652</v>
      </c>
      <c r="O423" s="205" t="s">
        <v>652</v>
      </c>
      <c r="P423" s="207" t="s">
        <v>987</v>
      </c>
      <c r="Q423" s="208" t="s">
        <v>988</v>
      </c>
      <c r="R423" s="208" t="s">
        <v>1542</v>
      </c>
    </row>
    <row r="424" spans="1:18" s="205" customFormat="1" x14ac:dyDescent="0.2">
      <c r="A424" s="205" t="s">
        <v>335</v>
      </c>
      <c r="B424" s="205" t="s">
        <v>1839</v>
      </c>
      <c r="C424" s="200">
        <v>45402</v>
      </c>
      <c r="D424" s="201" t="s">
        <v>152</v>
      </c>
      <c r="E424" s="206">
        <v>3000</v>
      </c>
      <c r="F424" s="206">
        <v>300</v>
      </c>
      <c r="G424" s="206">
        <v>15</v>
      </c>
      <c r="H424" s="202">
        <f t="shared" si="6"/>
        <v>2715</v>
      </c>
      <c r="I424" s="205" t="s">
        <v>22</v>
      </c>
      <c r="J424" s="205" t="s">
        <v>23</v>
      </c>
      <c r="K424" s="201" t="s">
        <v>1042</v>
      </c>
      <c r="L424" s="205" t="s">
        <v>1840</v>
      </c>
      <c r="M424" s="201" t="s">
        <v>1030</v>
      </c>
      <c r="N424" s="205" t="s">
        <v>652</v>
      </c>
      <c r="O424" s="205" t="s">
        <v>652</v>
      </c>
      <c r="P424" s="207" t="s">
        <v>696</v>
      </c>
      <c r="Q424" s="208" t="s">
        <v>697</v>
      </c>
      <c r="R424" s="208" t="s">
        <v>1542</v>
      </c>
    </row>
    <row r="425" spans="1:18" s="205" customFormat="1" x14ac:dyDescent="0.2">
      <c r="A425" s="205" t="s">
        <v>63</v>
      </c>
      <c r="B425" s="205" t="s">
        <v>555</v>
      </c>
      <c r="C425" s="200">
        <v>45402</v>
      </c>
      <c r="D425" s="201" t="s">
        <v>152</v>
      </c>
      <c r="E425" s="206">
        <v>242817</v>
      </c>
      <c r="F425" s="206">
        <v>24282</v>
      </c>
      <c r="G425" s="206">
        <v>1214</v>
      </c>
      <c r="H425" s="202">
        <f t="shared" si="6"/>
        <v>219749</v>
      </c>
      <c r="I425" s="205" t="s">
        <v>22</v>
      </c>
      <c r="J425" s="205" t="s">
        <v>23</v>
      </c>
      <c r="K425" s="201" t="s">
        <v>1042</v>
      </c>
      <c r="L425" s="205" t="s">
        <v>1841</v>
      </c>
      <c r="M425" s="201" t="s">
        <v>1030</v>
      </c>
      <c r="N425" s="205" t="s">
        <v>652</v>
      </c>
      <c r="O425" s="205" t="s">
        <v>652</v>
      </c>
      <c r="P425" s="207" t="s">
        <v>858</v>
      </c>
      <c r="Q425" s="208" t="s">
        <v>859</v>
      </c>
      <c r="R425" s="208" t="s">
        <v>1542</v>
      </c>
    </row>
    <row r="426" spans="1:18" s="205" customFormat="1" x14ac:dyDescent="0.2">
      <c r="A426" s="205" t="s">
        <v>91</v>
      </c>
      <c r="B426" s="205" t="s">
        <v>396</v>
      </c>
      <c r="C426" s="200">
        <v>45402</v>
      </c>
      <c r="D426" s="201" t="s">
        <v>152</v>
      </c>
      <c r="E426" s="206">
        <v>39341</v>
      </c>
      <c r="F426" s="206">
        <v>3934</v>
      </c>
      <c r="G426" s="206">
        <v>197</v>
      </c>
      <c r="H426" s="202">
        <f t="shared" si="6"/>
        <v>35604</v>
      </c>
      <c r="I426" s="205" t="s">
        <v>92</v>
      </c>
      <c r="J426" s="205" t="s">
        <v>23</v>
      </c>
      <c r="K426" s="201" t="s">
        <v>1042</v>
      </c>
      <c r="L426" s="205" t="s">
        <v>1842</v>
      </c>
      <c r="M426" s="201" t="s">
        <v>1030</v>
      </c>
      <c r="N426" s="205" t="s">
        <v>652</v>
      </c>
      <c r="O426" s="205" t="s">
        <v>652</v>
      </c>
      <c r="P426" s="207" t="s">
        <v>716</v>
      </c>
      <c r="Q426" s="208" t="s">
        <v>717</v>
      </c>
      <c r="R426" s="208" t="s">
        <v>1542</v>
      </c>
    </row>
    <row r="427" spans="1:18" s="205" customFormat="1" x14ac:dyDescent="0.2">
      <c r="A427" s="205" t="s">
        <v>1843</v>
      </c>
      <c r="B427" s="205" t="s">
        <v>284</v>
      </c>
      <c r="C427" s="200">
        <v>45402</v>
      </c>
      <c r="D427" s="201" t="s">
        <v>152</v>
      </c>
      <c r="E427" s="206">
        <v>127646</v>
      </c>
      <c r="F427" s="206">
        <v>12765</v>
      </c>
      <c r="G427" s="206">
        <v>638</v>
      </c>
      <c r="H427" s="202">
        <f t="shared" si="6"/>
        <v>115519</v>
      </c>
      <c r="I427" s="205" t="s">
        <v>193</v>
      </c>
      <c r="J427" s="205" t="s">
        <v>23</v>
      </c>
      <c r="K427" s="201" t="s">
        <v>1058</v>
      </c>
      <c r="L427" s="205" t="s">
        <v>1844</v>
      </c>
      <c r="M427" s="201" t="s">
        <v>1030</v>
      </c>
      <c r="N427" s="205" t="s">
        <v>652</v>
      </c>
      <c r="O427" s="205" t="s">
        <v>652</v>
      </c>
      <c r="P427" s="207" t="s">
        <v>987</v>
      </c>
      <c r="Q427" s="208" t="s">
        <v>988</v>
      </c>
      <c r="R427" s="208" t="s">
        <v>1542</v>
      </c>
    </row>
    <row r="428" spans="1:18" s="205" customFormat="1" x14ac:dyDescent="0.2">
      <c r="A428" s="205" t="s">
        <v>1845</v>
      </c>
      <c r="B428" s="205" t="s">
        <v>282</v>
      </c>
      <c r="C428" s="200">
        <v>45402</v>
      </c>
      <c r="D428" s="201" t="s">
        <v>152</v>
      </c>
      <c r="E428" s="206">
        <v>82085</v>
      </c>
      <c r="F428" s="206">
        <v>8209</v>
      </c>
      <c r="G428" s="206">
        <v>410</v>
      </c>
      <c r="H428" s="202">
        <f t="shared" si="6"/>
        <v>74286</v>
      </c>
      <c r="I428" s="205" t="s">
        <v>193</v>
      </c>
      <c r="J428" s="205" t="s">
        <v>23</v>
      </c>
      <c r="K428" s="201" t="s">
        <v>1042</v>
      </c>
      <c r="L428" s="205" t="s">
        <v>1846</v>
      </c>
      <c r="M428" s="201" t="s">
        <v>1030</v>
      </c>
      <c r="N428" s="205" t="s">
        <v>652</v>
      </c>
      <c r="O428" s="205" t="s">
        <v>652</v>
      </c>
      <c r="P428" s="207" t="s">
        <v>987</v>
      </c>
      <c r="Q428" s="208" t="s">
        <v>988</v>
      </c>
      <c r="R428" s="208" t="s">
        <v>1542</v>
      </c>
    </row>
    <row r="429" spans="1:18" s="205" customFormat="1" x14ac:dyDescent="0.2">
      <c r="A429" s="205" t="s">
        <v>1847</v>
      </c>
      <c r="B429" s="205" t="s">
        <v>250</v>
      </c>
      <c r="C429" s="200">
        <v>45402</v>
      </c>
      <c r="D429" s="201" t="s">
        <v>152</v>
      </c>
      <c r="E429" s="206">
        <v>85607</v>
      </c>
      <c r="F429" s="206">
        <v>8561</v>
      </c>
      <c r="G429" s="206">
        <v>428</v>
      </c>
      <c r="H429" s="202">
        <f t="shared" si="6"/>
        <v>77474</v>
      </c>
      <c r="I429" s="205" t="s">
        <v>193</v>
      </c>
      <c r="J429" s="205" t="s">
        <v>23</v>
      </c>
      <c r="K429" s="201" t="s">
        <v>1042</v>
      </c>
      <c r="L429" s="205" t="s">
        <v>1848</v>
      </c>
      <c r="M429" s="201" t="s">
        <v>1030</v>
      </c>
      <c r="N429" s="205" t="s">
        <v>652</v>
      </c>
      <c r="O429" s="205" t="s">
        <v>652</v>
      </c>
      <c r="P429" s="207" t="s">
        <v>987</v>
      </c>
      <c r="Q429" s="208" t="s">
        <v>988</v>
      </c>
      <c r="R429" s="208" t="s">
        <v>1542</v>
      </c>
    </row>
    <row r="430" spans="1:18" s="205" customFormat="1" x14ac:dyDescent="0.2">
      <c r="A430" s="205" t="s">
        <v>1849</v>
      </c>
      <c r="B430" s="205" t="s">
        <v>229</v>
      </c>
      <c r="C430" s="200">
        <v>45402</v>
      </c>
      <c r="D430" s="201" t="s">
        <v>152</v>
      </c>
      <c r="E430" s="206">
        <v>112587</v>
      </c>
      <c r="F430" s="206">
        <v>11259</v>
      </c>
      <c r="G430" s="206">
        <v>563</v>
      </c>
      <c r="H430" s="202">
        <f t="shared" si="6"/>
        <v>101891</v>
      </c>
      <c r="I430" s="205" t="s">
        <v>38</v>
      </c>
      <c r="J430" s="205" t="s">
        <v>23</v>
      </c>
      <c r="K430" s="201" t="s">
        <v>1042</v>
      </c>
      <c r="L430" s="205" t="s">
        <v>1850</v>
      </c>
      <c r="M430" s="201" t="s">
        <v>1030</v>
      </c>
      <c r="N430" s="205" t="s">
        <v>652</v>
      </c>
      <c r="O430" s="205" t="s">
        <v>652</v>
      </c>
      <c r="P430" s="207" t="s">
        <v>664</v>
      </c>
      <c r="Q430" s="208" t="s">
        <v>665</v>
      </c>
      <c r="R430" s="208" t="s">
        <v>1542</v>
      </c>
    </row>
    <row r="431" spans="1:18" s="205" customFormat="1" x14ac:dyDescent="0.2">
      <c r="A431" s="205" t="s">
        <v>1851</v>
      </c>
      <c r="B431" s="205" t="s">
        <v>229</v>
      </c>
      <c r="C431" s="200">
        <v>45402</v>
      </c>
      <c r="D431" s="201" t="s">
        <v>152</v>
      </c>
      <c r="E431" s="206">
        <v>84896</v>
      </c>
      <c r="F431" s="206">
        <v>8490</v>
      </c>
      <c r="G431" s="206">
        <v>424</v>
      </c>
      <c r="H431" s="202">
        <f t="shared" si="6"/>
        <v>76830</v>
      </c>
      <c r="I431" s="205" t="s">
        <v>38</v>
      </c>
      <c r="J431" s="205" t="s">
        <v>23</v>
      </c>
      <c r="K431" s="201" t="s">
        <v>1028</v>
      </c>
      <c r="L431" s="205" t="s">
        <v>1852</v>
      </c>
      <c r="M431" s="201" t="s">
        <v>1030</v>
      </c>
      <c r="N431" s="205" t="s">
        <v>652</v>
      </c>
      <c r="O431" s="205" t="s">
        <v>652</v>
      </c>
      <c r="P431" s="207" t="s">
        <v>987</v>
      </c>
      <c r="Q431" s="208" t="s">
        <v>988</v>
      </c>
      <c r="R431" s="208" t="s">
        <v>1542</v>
      </c>
    </row>
    <row r="432" spans="1:18" s="205" customFormat="1" x14ac:dyDescent="0.2">
      <c r="A432" s="205" t="s">
        <v>1853</v>
      </c>
      <c r="B432" s="205" t="s">
        <v>229</v>
      </c>
      <c r="C432" s="200">
        <v>45402</v>
      </c>
      <c r="D432" s="201" t="s">
        <v>152</v>
      </c>
      <c r="E432" s="206">
        <v>27213</v>
      </c>
      <c r="F432" s="206">
        <v>2721</v>
      </c>
      <c r="G432" s="206">
        <v>136</v>
      </c>
      <c r="H432" s="202">
        <f t="shared" si="6"/>
        <v>24628</v>
      </c>
      <c r="I432" s="205" t="s">
        <v>38</v>
      </c>
      <c r="J432" s="205" t="s">
        <v>23</v>
      </c>
      <c r="K432" s="201" t="s">
        <v>1028</v>
      </c>
      <c r="L432" s="205" t="s">
        <v>1854</v>
      </c>
      <c r="M432" s="201" t="s">
        <v>1030</v>
      </c>
      <c r="N432" s="205" t="s">
        <v>652</v>
      </c>
      <c r="O432" s="205" t="s">
        <v>652</v>
      </c>
      <c r="P432" s="207" t="s">
        <v>987</v>
      </c>
      <c r="Q432" s="208" t="s">
        <v>988</v>
      </c>
      <c r="R432" s="208" t="s">
        <v>1542</v>
      </c>
    </row>
    <row r="433" spans="1:18" s="205" customFormat="1" x14ac:dyDescent="0.2">
      <c r="A433" s="205" t="s">
        <v>1855</v>
      </c>
      <c r="B433" s="205" t="s">
        <v>229</v>
      </c>
      <c r="C433" s="200">
        <v>45402</v>
      </c>
      <c r="D433" s="201" t="s">
        <v>152</v>
      </c>
      <c r="E433" s="206">
        <v>36738</v>
      </c>
      <c r="F433" s="206">
        <v>3674</v>
      </c>
      <c r="G433" s="206">
        <v>184</v>
      </c>
      <c r="H433" s="202">
        <f t="shared" si="6"/>
        <v>33248</v>
      </c>
      <c r="I433" s="205" t="s">
        <v>38</v>
      </c>
      <c r="J433" s="205" t="s">
        <v>23</v>
      </c>
      <c r="K433" s="201" t="s">
        <v>1028</v>
      </c>
      <c r="L433" s="205" t="s">
        <v>1856</v>
      </c>
      <c r="M433" s="201" t="s">
        <v>1030</v>
      </c>
      <c r="N433" s="205" t="s">
        <v>652</v>
      </c>
      <c r="O433" s="205" t="s">
        <v>652</v>
      </c>
      <c r="P433" s="207" t="s">
        <v>987</v>
      </c>
      <c r="Q433" s="208" t="s">
        <v>988</v>
      </c>
      <c r="R433" s="208" t="s">
        <v>1542</v>
      </c>
    </row>
    <row r="434" spans="1:18" s="205" customFormat="1" x14ac:dyDescent="0.2">
      <c r="A434" s="205" t="s">
        <v>1857</v>
      </c>
      <c r="B434" s="205" t="s">
        <v>229</v>
      </c>
      <c r="C434" s="200">
        <v>45402</v>
      </c>
      <c r="D434" s="201" t="s">
        <v>152</v>
      </c>
      <c r="E434" s="206">
        <v>38365</v>
      </c>
      <c r="F434" s="206">
        <v>3837</v>
      </c>
      <c r="G434" s="206">
        <v>192</v>
      </c>
      <c r="H434" s="202">
        <f t="shared" si="6"/>
        <v>34720</v>
      </c>
      <c r="I434" s="205" t="s">
        <v>38</v>
      </c>
      <c r="J434" s="205" t="s">
        <v>23</v>
      </c>
      <c r="K434" s="201" t="s">
        <v>1028</v>
      </c>
      <c r="L434" s="205" t="s">
        <v>1858</v>
      </c>
      <c r="M434" s="201" t="s">
        <v>1030</v>
      </c>
      <c r="N434" s="205" t="s">
        <v>652</v>
      </c>
      <c r="O434" s="205" t="s">
        <v>652</v>
      </c>
      <c r="P434" s="207" t="s">
        <v>987</v>
      </c>
      <c r="Q434" s="208" t="s">
        <v>988</v>
      </c>
      <c r="R434" s="208" t="s">
        <v>1542</v>
      </c>
    </row>
    <row r="435" spans="1:18" s="205" customFormat="1" x14ac:dyDescent="0.2">
      <c r="A435" s="205" t="s">
        <v>1859</v>
      </c>
      <c r="B435" s="205" t="s">
        <v>229</v>
      </c>
      <c r="C435" s="200">
        <v>45402</v>
      </c>
      <c r="D435" s="201" t="s">
        <v>152</v>
      </c>
      <c r="E435" s="206">
        <v>67331</v>
      </c>
      <c r="F435" s="206">
        <v>6733</v>
      </c>
      <c r="G435" s="206">
        <v>337</v>
      </c>
      <c r="H435" s="202">
        <f t="shared" si="6"/>
        <v>60935</v>
      </c>
      <c r="I435" s="205" t="s">
        <v>38</v>
      </c>
      <c r="J435" s="205" t="s">
        <v>23</v>
      </c>
      <c r="K435" s="201" t="s">
        <v>1028</v>
      </c>
      <c r="L435" s="205" t="s">
        <v>1860</v>
      </c>
      <c r="M435" s="209" t="s">
        <v>1030</v>
      </c>
      <c r="N435" s="205" t="s">
        <v>652</v>
      </c>
      <c r="O435" s="205" t="s">
        <v>652</v>
      </c>
      <c r="P435" s="207" t="s">
        <v>987</v>
      </c>
      <c r="Q435" s="208" t="s">
        <v>988</v>
      </c>
      <c r="R435" s="208" t="s">
        <v>1542</v>
      </c>
    </row>
    <row r="436" spans="1:18" s="205" customFormat="1" x14ac:dyDescent="0.2">
      <c r="A436" s="205" t="s">
        <v>1861</v>
      </c>
      <c r="B436" s="205" t="s">
        <v>229</v>
      </c>
      <c r="C436" s="200">
        <v>45402</v>
      </c>
      <c r="D436" s="201" t="s">
        <v>152</v>
      </c>
      <c r="E436" s="206">
        <v>59699</v>
      </c>
      <c r="F436" s="206">
        <v>5970</v>
      </c>
      <c r="G436" s="206">
        <v>299</v>
      </c>
      <c r="H436" s="202">
        <f t="shared" si="6"/>
        <v>54028</v>
      </c>
      <c r="I436" s="205" t="s">
        <v>38</v>
      </c>
      <c r="J436" s="205" t="s">
        <v>23</v>
      </c>
      <c r="K436" s="201" t="s">
        <v>1028</v>
      </c>
      <c r="L436" s="205" t="s">
        <v>1862</v>
      </c>
      <c r="M436" s="209" t="s">
        <v>1030</v>
      </c>
      <c r="N436" s="205" t="s">
        <v>652</v>
      </c>
      <c r="O436" s="205" t="s">
        <v>652</v>
      </c>
      <c r="P436" s="207" t="s">
        <v>987</v>
      </c>
      <c r="Q436" s="208" t="s">
        <v>988</v>
      </c>
      <c r="R436" s="208" t="s">
        <v>1542</v>
      </c>
    </row>
    <row r="437" spans="1:18" s="205" customFormat="1" x14ac:dyDescent="0.2">
      <c r="A437" s="205" t="s">
        <v>1863</v>
      </c>
      <c r="B437" s="205" t="s">
        <v>229</v>
      </c>
      <c r="C437" s="200">
        <v>45402</v>
      </c>
      <c r="D437" s="201" t="s">
        <v>152</v>
      </c>
      <c r="E437" s="206">
        <v>70293</v>
      </c>
      <c r="F437" s="206">
        <v>7029</v>
      </c>
      <c r="G437" s="206">
        <v>351</v>
      </c>
      <c r="H437" s="202">
        <f t="shared" si="6"/>
        <v>63615</v>
      </c>
      <c r="I437" s="205" t="s">
        <v>38</v>
      </c>
      <c r="J437" s="205" t="s">
        <v>23</v>
      </c>
      <c r="K437" s="201" t="s">
        <v>1028</v>
      </c>
      <c r="L437" s="205" t="s">
        <v>1864</v>
      </c>
      <c r="M437" s="201" t="s">
        <v>1030</v>
      </c>
      <c r="N437" s="205" t="s">
        <v>652</v>
      </c>
      <c r="O437" s="205" t="s">
        <v>652</v>
      </c>
      <c r="P437" s="207" t="s">
        <v>987</v>
      </c>
      <c r="Q437" s="208" t="s">
        <v>988</v>
      </c>
      <c r="R437" s="208" t="s">
        <v>1542</v>
      </c>
    </row>
    <row r="438" spans="1:18" s="205" customFormat="1" x14ac:dyDescent="0.2">
      <c r="A438" s="205" t="s">
        <v>1865</v>
      </c>
      <c r="B438" s="205" t="s">
        <v>229</v>
      </c>
      <c r="C438" s="200">
        <v>45402</v>
      </c>
      <c r="D438" s="201" t="s">
        <v>152</v>
      </c>
      <c r="E438" s="206">
        <v>36738</v>
      </c>
      <c r="F438" s="206">
        <v>3674</v>
      </c>
      <c r="G438" s="206">
        <v>184</v>
      </c>
      <c r="H438" s="202">
        <f t="shared" si="6"/>
        <v>33248</v>
      </c>
      <c r="I438" s="205" t="s">
        <v>38</v>
      </c>
      <c r="J438" s="205" t="s">
        <v>23</v>
      </c>
      <c r="K438" s="201" t="s">
        <v>1028</v>
      </c>
      <c r="L438" s="205" t="s">
        <v>1866</v>
      </c>
      <c r="M438" s="201" t="s">
        <v>1030</v>
      </c>
      <c r="N438" s="205" t="s">
        <v>652</v>
      </c>
      <c r="O438" s="205" t="s">
        <v>652</v>
      </c>
      <c r="P438" s="207" t="s">
        <v>987</v>
      </c>
      <c r="Q438" s="208" t="s">
        <v>988</v>
      </c>
      <c r="R438" s="208" t="s">
        <v>1542</v>
      </c>
    </row>
    <row r="439" spans="1:18" s="205" customFormat="1" x14ac:dyDescent="0.2">
      <c r="A439" s="205" t="s">
        <v>1867</v>
      </c>
      <c r="B439" s="205" t="s">
        <v>229</v>
      </c>
      <c r="C439" s="200">
        <v>45402</v>
      </c>
      <c r="D439" s="201" t="s">
        <v>152</v>
      </c>
      <c r="E439" s="206">
        <v>83824</v>
      </c>
      <c r="F439" s="206">
        <v>8382</v>
      </c>
      <c r="G439" s="206">
        <v>419</v>
      </c>
      <c r="H439" s="202">
        <f t="shared" si="6"/>
        <v>75861</v>
      </c>
      <c r="I439" s="205" t="s">
        <v>38</v>
      </c>
      <c r="J439" s="205" t="s">
        <v>23</v>
      </c>
      <c r="K439" s="201" t="s">
        <v>1042</v>
      </c>
      <c r="L439" s="205" t="s">
        <v>1868</v>
      </c>
      <c r="M439" s="201" t="s">
        <v>1030</v>
      </c>
      <c r="N439" s="205" t="s">
        <v>652</v>
      </c>
      <c r="O439" s="205" t="s">
        <v>652</v>
      </c>
      <c r="P439" s="207" t="s">
        <v>987</v>
      </c>
      <c r="Q439" s="208" t="s">
        <v>988</v>
      </c>
      <c r="R439" s="208" t="s">
        <v>1542</v>
      </c>
    </row>
    <row r="440" spans="1:18" s="205" customFormat="1" x14ac:dyDescent="0.2">
      <c r="A440" s="205" t="s">
        <v>1869</v>
      </c>
      <c r="B440" s="205" t="s">
        <v>229</v>
      </c>
      <c r="C440" s="200">
        <v>45402</v>
      </c>
      <c r="D440" s="201" t="s">
        <v>152</v>
      </c>
      <c r="E440" s="206">
        <v>51793</v>
      </c>
      <c r="F440" s="206">
        <v>5179</v>
      </c>
      <c r="G440" s="206">
        <v>259</v>
      </c>
      <c r="H440" s="202">
        <f t="shared" si="6"/>
        <v>46873</v>
      </c>
      <c r="I440" s="205" t="s">
        <v>38</v>
      </c>
      <c r="J440" s="205" t="s">
        <v>23</v>
      </c>
      <c r="K440" s="201" t="s">
        <v>1028</v>
      </c>
      <c r="L440" s="205" t="s">
        <v>1870</v>
      </c>
      <c r="M440" s="201" t="s">
        <v>1030</v>
      </c>
      <c r="N440" s="205" t="s">
        <v>652</v>
      </c>
      <c r="O440" s="205" t="s">
        <v>652</v>
      </c>
      <c r="P440" s="207" t="s">
        <v>987</v>
      </c>
      <c r="Q440" s="208" t="s">
        <v>988</v>
      </c>
      <c r="R440" s="208" t="s">
        <v>1542</v>
      </c>
    </row>
    <row r="441" spans="1:18" s="205" customFormat="1" x14ac:dyDescent="0.2">
      <c r="A441" s="205" t="s">
        <v>1871</v>
      </c>
      <c r="B441" s="205" t="s">
        <v>229</v>
      </c>
      <c r="C441" s="200">
        <v>45402</v>
      </c>
      <c r="D441" s="201" t="s">
        <v>152</v>
      </c>
      <c r="E441" s="206">
        <v>71639</v>
      </c>
      <c r="F441" s="206">
        <v>7164</v>
      </c>
      <c r="G441" s="206">
        <v>358</v>
      </c>
      <c r="H441" s="202">
        <f t="shared" si="6"/>
        <v>64833</v>
      </c>
      <c r="I441" s="205" t="s">
        <v>38</v>
      </c>
      <c r="J441" s="205" t="s">
        <v>23</v>
      </c>
      <c r="K441" s="201" t="s">
        <v>1042</v>
      </c>
      <c r="L441" s="205" t="s">
        <v>1872</v>
      </c>
      <c r="M441" s="201" t="s">
        <v>1030</v>
      </c>
      <c r="N441" s="205" t="s">
        <v>652</v>
      </c>
      <c r="O441" s="205" t="s">
        <v>652</v>
      </c>
      <c r="P441" s="207" t="s">
        <v>653</v>
      </c>
      <c r="Q441" s="208" t="s">
        <v>654</v>
      </c>
      <c r="R441" s="208" t="s">
        <v>1542</v>
      </c>
    </row>
    <row r="442" spans="1:18" s="205" customFormat="1" x14ac:dyDescent="0.2">
      <c r="A442" s="205" t="s">
        <v>1873</v>
      </c>
      <c r="B442" s="205" t="s">
        <v>229</v>
      </c>
      <c r="C442" s="200">
        <v>45402</v>
      </c>
      <c r="D442" s="201" t="s">
        <v>152</v>
      </c>
      <c r="E442" s="206">
        <v>51793</v>
      </c>
      <c r="F442" s="206">
        <v>5179</v>
      </c>
      <c r="G442" s="206">
        <v>259</v>
      </c>
      <c r="H442" s="202">
        <f t="shared" si="6"/>
        <v>46873</v>
      </c>
      <c r="I442" s="205" t="s">
        <v>38</v>
      </c>
      <c r="J442" s="205" t="s">
        <v>23</v>
      </c>
      <c r="K442" s="201" t="s">
        <v>1028</v>
      </c>
      <c r="L442" s="205" t="s">
        <v>1874</v>
      </c>
      <c r="M442" s="201" t="s">
        <v>1030</v>
      </c>
      <c r="N442" s="205" t="s">
        <v>652</v>
      </c>
      <c r="O442" s="205" t="s">
        <v>652</v>
      </c>
      <c r="P442" s="207" t="s">
        <v>987</v>
      </c>
      <c r="Q442" s="208" t="s">
        <v>988</v>
      </c>
      <c r="R442" s="208" t="s">
        <v>1542</v>
      </c>
    </row>
    <row r="443" spans="1:18" s="205" customFormat="1" x14ac:dyDescent="0.2">
      <c r="A443" s="205" t="s">
        <v>1875</v>
      </c>
      <c r="B443" s="205" t="s">
        <v>229</v>
      </c>
      <c r="C443" s="200">
        <v>45402</v>
      </c>
      <c r="D443" s="201" t="s">
        <v>152</v>
      </c>
      <c r="E443" s="206">
        <v>38365</v>
      </c>
      <c r="F443" s="206">
        <v>3837</v>
      </c>
      <c r="G443" s="206">
        <v>192</v>
      </c>
      <c r="H443" s="202">
        <f t="shared" si="6"/>
        <v>34720</v>
      </c>
      <c r="I443" s="205" t="s">
        <v>38</v>
      </c>
      <c r="J443" s="205" t="s">
        <v>23</v>
      </c>
      <c r="K443" s="201" t="s">
        <v>1042</v>
      </c>
      <c r="L443" s="205" t="s">
        <v>1876</v>
      </c>
      <c r="M443" s="201" t="s">
        <v>1030</v>
      </c>
      <c r="N443" s="205" t="s">
        <v>652</v>
      </c>
      <c r="O443" s="205" t="s">
        <v>652</v>
      </c>
      <c r="P443" s="207" t="s">
        <v>987</v>
      </c>
      <c r="Q443" s="208" t="s">
        <v>988</v>
      </c>
      <c r="R443" s="208" t="s">
        <v>1542</v>
      </c>
    </row>
    <row r="444" spans="1:18" s="205" customFormat="1" x14ac:dyDescent="0.2">
      <c r="A444" s="205" t="s">
        <v>1877</v>
      </c>
      <c r="B444" s="205" t="s">
        <v>229</v>
      </c>
      <c r="C444" s="200">
        <v>45402</v>
      </c>
      <c r="D444" s="201" t="s">
        <v>152</v>
      </c>
      <c r="E444" s="206">
        <v>40412</v>
      </c>
      <c r="F444" s="206">
        <v>4041</v>
      </c>
      <c r="G444" s="206">
        <v>202</v>
      </c>
      <c r="H444" s="202">
        <f t="shared" si="6"/>
        <v>36573</v>
      </c>
      <c r="I444" s="205" t="s">
        <v>38</v>
      </c>
      <c r="J444" s="205" t="s">
        <v>23</v>
      </c>
      <c r="K444" s="201" t="s">
        <v>1028</v>
      </c>
      <c r="L444" s="205" t="s">
        <v>1878</v>
      </c>
      <c r="M444" s="209" t="s">
        <v>1030</v>
      </c>
      <c r="N444" s="205" t="s">
        <v>652</v>
      </c>
      <c r="O444" s="205" t="s">
        <v>652</v>
      </c>
      <c r="P444" s="207" t="s">
        <v>987</v>
      </c>
      <c r="Q444" s="208" t="s">
        <v>988</v>
      </c>
      <c r="R444" s="208" t="s">
        <v>1542</v>
      </c>
    </row>
    <row r="445" spans="1:18" s="205" customFormat="1" x14ac:dyDescent="0.2">
      <c r="A445" s="205" t="s">
        <v>1879</v>
      </c>
      <c r="B445" s="205" t="s">
        <v>229</v>
      </c>
      <c r="C445" s="200">
        <v>45402</v>
      </c>
      <c r="D445" s="201" t="s">
        <v>152</v>
      </c>
      <c r="E445" s="206">
        <v>129349</v>
      </c>
      <c r="F445" s="206">
        <v>12935</v>
      </c>
      <c r="G445" s="206">
        <v>647</v>
      </c>
      <c r="H445" s="202">
        <f t="shared" si="6"/>
        <v>117061</v>
      </c>
      <c r="I445" s="205" t="s">
        <v>38</v>
      </c>
      <c r="J445" s="205" t="s">
        <v>23</v>
      </c>
      <c r="K445" s="201" t="s">
        <v>1028</v>
      </c>
      <c r="L445" s="205" t="s">
        <v>1880</v>
      </c>
      <c r="M445" s="209" t="s">
        <v>1030</v>
      </c>
      <c r="N445" s="205" t="s">
        <v>652</v>
      </c>
      <c r="O445" s="205" t="s">
        <v>652</v>
      </c>
      <c r="P445" s="207" t="s">
        <v>987</v>
      </c>
      <c r="Q445" s="208" t="s">
        <v>988</v>
      </c>
      <c r="R445" s="208" t="s">
        <v>1542</v>
      </c>
    </row>
    <row r="446" spans="1:18" s="205" customFormat="1" x14ac:dyDescent="0.2">
      <c r="A446" s="205" t="s">
        <v>1881</v>
      </c>
      <c r="B446" s="205" t="s">
        <v>229</v>
      </c>
      <c r="C446" s="200">
        <v>45402</v>
      </c>
      <c r="D446" s="201" t="s">
        <v>152</v>
      </c>
      <c r="E446" s="206">
        <v>39832</v>
      </c>
      <c r="F446" s="206">
        <v>3983</v>
      </c>
      <c r="G446" s="206">
        <v>199</v>
      </c>
      <c r="H446" s="202">
        <f t="shared" si="6"/>
        <v>36048</v>
      </c>
      <c r="I446" s="205" t="s">
        <v>38</v>
      </c>
      <c r="J446" s="205" t="s">
        <v>23</v>
      </c>
      <c r="K446" s="201" t="s">
        <v>1028</v>
      </c>
      <c r="L446" s="205" t="s">
        <v>1882</v>
      </c>
      <c r="M446" s="201" t="s">
        <v>1030</v>
      </c>
      <c r="N446" s="205" t="s">
        <v>652</v>
      </c>
      <c r="O446" s="205" t="s">
        <v>652</v>
      </c>
      <c r="P446" s="207" t="s">
        <v>987</v>
      </c>
      <c r="Q446" s="208" t="s">
        <v>988</v>
      </c>
      <c r="R446" s="208" t="s">
        <v>1542</v>
      </c>
    </row>
    <row r="447" spans="1:18" s="205" customFormat="1" x14ac:dyDescent="0.2">
      <c r="A447" s="205" t="s">
        <v>1883</v>
      </c>
      <c r="B447" s="205" t="s">
        <v>229</v>
      </c>
      <c r="C447" s="200">
        <v>45402</v>
      </c>
      <c r="D447" s="201" t="s">
        <v>152</v>
      </c>
      <c r="E447" s="206">
        <v>56454</v>
      </c>
      <c r="F447" s="206">
        <v>5645</v>
      </c>
      <c r="G447" s="206">
        <v>282</v>
      </c>
      <c r="H447" s="202">
        <f t="shared" si="6"/>
        <v>51091</v>
      </c>
      <c r="I447" s="205" t="s">
        <v>38</v>
      </c>
      <c r="J447" s="205" t="s">
        <v>23</v>
      </c>
      <c r="K447" s="201" t="s">
        <v>1028</v>
      </c>
      <c r="L447" s="205" t="s">
        <v>1884</v>
      </c>
      <c r="M447" s="201" t="s">
        <v>1030</v>
      </c>
      <c r="N447" s="205" t="s">
        <v>652</v>
      </c>
      <c r="O447" s="205" t="s">
        <v>652</v>
      </c>
      <c r="P447" s="207" t="s">
        <v>987</v>
      </c>
      <c r="Q447" s="208" t="s">
        <v>988</v>
      </c>
      <c r="R447" s="208" t="s">
        <v>1542</v>
      </c>
    </row>
    <row r="448" spans="1:18" s="205" customFormat="1" x14ac:dyDescent="0.2">
      <c r="A448" s="205" t="s">
        <v>1885</v>
      </c>
      <c r="B448" s="205" t="s">
        <v>229</v>
      </c>
      <c r="C448" s="200">
        <v>45402</v>
      </c>
      <c r="D448" s="201" t="s">
        <v>152</v>
      </c>
      <c r="E448" s="206">
        <v>38365</v>
      </c>
      <c r="F448" s="206">
        <v>3837</v>
      </c>
      <c r="G448" s="206">
        <v>192</v>
      </c>
      <c r="H448" s="202">
        <f t="shared" si="6"/>
        <v>34720</v>
      </c>
      <c r="I448" s="205" t="s">
        <v>38</v>
      </c>
      <c r="J448" s="205" t="s">
        <v>23</v>
      </c>
      <c r="K448" s="201" t="s">
        <v>1028</v>
      </c>
      <c r="L448" s="205" t="s">
        <v>1886</v>
      </c>
      <c r="M448" s="201" t="s">
        <v>1030</v>
      </c>
      <c r="N448" s="205" t="s">
        <v>652</v>
      </c>
      <c r="O448" s="205" t="s">
        <v>652</v>
      </c>
      <c r="P448" s="207" t="s">
        <v>987</v>
      </c>
      <c r="Q448" s="208" t="s">
        <v>988</v>
      </c>
      <c r="R448" s="208" t="s">
        <v>1542</v>
      </c>
    </row>
    <row r="449" spans="1:18" s="205" customFormat="1" x14ac:dyDescent="0.2">
      <c r="A449" s="205" t="s">
        <v>1887</v>
      </c>
      <c r="B449" s="205" t="s">
        <v>229</v>
      </c>
      <c r="C449" s="200">
        <v>45402</v>
      </c>
      <c r="D449" s="201" t="s">
        <v>152</v>
      </c>
      <c r="E449" s="206">
        <v>95814</v>
      </c>
      <c r="F449" s="206">
        <v>9581</v>
      </c>
      <c r="G449" s="206">
        <v>479</v>
      </c>
      <c r="H449" s="202">
        <f t="shared" si="6"/>
        <v>86712</v>
      </c>
      <c r="I449" s="205" t="s">
        <v>38</v>
      </c>
      <c r="J449" s="205" t="s">
        <v>23</v>
      </c>
      <c r="K449" s="201" t="s">
        <v>1028</v>
      </c>
      <c r="L449" s="205" t="s">
        <v>1888</v>
      </c>
      <c r="M449" s="201" t="s">
        <v>1030</v>
      </c>
      <c r="N449" s="205" t="s">
        <v>652</v>
      </c>
      <c r="O449" s="205" t="s">
        <v>652</v>
      </c>
      <c r="P449" s="207" t="s">
        <v>987</v>
      </c>
      <c r="Q449" s="208" t="s">
        <v>988</v>
      </c>
      <c r="R449" s="208" t="s">
        <v>1542</v>
      </c>
    </row>
    <row r="450" spans="1:18" s="205" customFormat="1" x14ac:dyDescent="0.2">
      <c r="A450" s="205" t="s">
        <v>1889</v>
      </c>
      <c r="B450" s="205" t="s">
        <v>229</v>
      </c>
      <c r="C450" s="200">
        <v>45402</v>
      </c>
      <c r="D450" s="201" t="s">
        <v>152</v>
      </c>
      <c r="E450" s="206">
        <v>52535</v>
      </c>
      <c r="F450" s="206">
        <v>5254</v>
      </c>
      <c r="G450" s="206">
        <v>263</v>
      </c>
      <c r="H450" s="202">
        <f t="shared" ref="H450:H513" si="7">E450+G450-F450</f>
        <v>47544</v>
      </c>
      <c r="I450" s="205" t="s">
        <v>38</v>
      </c>
      <c r="J450" s="205" t="s">
        <v>23</v>
      </c>
      <c r="K450" s="201" t="s">
        <v>1028</v>
      </c>
      <c r="L450" s="205" t="s">
        <v>1890</v>
      </c>
      <c r="M450" s="201" t="s">
        <v>1030</v>
      </c>
      <c r="N450" s="205" t="s">
        <v>652</v>
      </c>
      <c r="O450" s="205" t="s">
        <v>652</v>
      </c>
      <c r="P450" s="207" t="s">
        <v>987</v>
      </c>
      <c r="Q450" s="208" t="s">
        <v>988</v>
      </c>
      <c r="R450" s="208" t="s">
        <v>1542</v>
      </c>
    </row>
    <row r="451" spans="1:18" s="205" customFormat="1" x14ac:dyDescent="0.2">
      <c r="A451" s="205" t="s">
        <v>1891</v>
      </c>
      <c r="B451" s="205" t="s">
        <v>229</v>
      </c>
      <c r="C451" s="200">
        <v>45402</v>
      </c>
      <c r="D451" s="201" t="s">
        <v>152</v>
      </c>
      <c r="E451" s="206">
        <v>92541</v>
      </c>
      <c r="F451" s="206">
        <v>9254</v>
      </c>
      <c r="G451" s="206">
        <v>463</v>
      </c>
      <c r="H451" s="202">
        <f t="shared" si="7"/>
        <v>83750</v>
      </c>
      <c r="I451" s="205" t="s">
        <v>38</v>
      </c>
      <c r="J451" s="205" t="s">
        <v>23</v>
      </c>
      <c r="K451" s="201" t="s">
        <v>1028</v>
      </c>
      <c r="L451" s="205" t="s">
        <v>1892</v>
      </c>
      <c r="M451" s="201" t="s">
        <v>1030</v>
      </c>
      <c r="N451" s="205" t="s">
        <v>652</v>
      </c>
      <c r="O451" s="205" t="s">
        <v>652</v>
      </c>
      <c r="P451" s="207" t="s">
        <v>987</v>
      </c>
      <c r="Q451" s="208" t="s">
        <v>988</v>
      </c>
      <c r="R451" s="208" t="s">
        <v>1542</v>
      </c>
    </row>
    <row r="452" spans="1:18" s="205" customFormat="1" x14ac:dyDescent="0.2">
      <c r="A452" s="205" t="s">
        <v>1893</v>
      </c>
      <c r="B452" s="205" t="s">
        <v>229</v>
      </c>
      <c r="C452" s="200">
        <v>45402</v>
      </c>
      <c r="D452" s="201" t="s">
        <v>152</v>
      </c>
      <c r="E452" s="206">
        <v>30095</v>
      </c>
      <c r="F452" s="206">
        <v>3010</v>
      </c>
      <c r="G452" s="206">
        <v>150</v>
      </c>
      <c r="H452" s="202">
        <f t="shared" si="7"/>
        <v>27235</v>
      </c>
      <c r="I452" s="205" t="s">
        <v>38</v>
      </c>
      <c r="J452" s="205" t="s">
        <v>23</v>
      </c>
      <c r="K452" s="201" t="s">
        <v>1028</v>
      </c>
      <c r="L452" s="205" t="s">
        <v>1894</v>
      </c>
      <c r="M452" s="201" t="s">
        <v>1030</v>
      </c>
      <c r="N452" s="205" t="s">
        <v>652</v>
      </c>
      <c r="O452" s="205" t="s">
        <v>652</v>
      </c>
      <c r="P452" s="207" t="s">
        <v>987</v>
      </c>
      <c r="Q452" s="208" t="s">
        <v>988</v>
      </c>
      <c r="R452" s="208" t="s">
        <v>1542</v>
      </c>
    </row>
    <row r="453" spans="1:18" s="205" customFormat="1" x14ac:dyDescent="0.2">
      <c r="A453" s="205" t="s">
        <v>1895</v>
      </c>
      <c r="B453" s="205" t="s">
        <v>229</v>
      </c>
      <c r="C453" s="200">
        <v>45402</v>
      </c>
      <c r="D453" s="201" t="s">
        <v>152</v>
      </c>
      <c r="E453" s="206">
        <v>99076</v>
      </c>
      <c r="F453" s="206">
        <v>9908</v>
      </c>
      <c r="G453" s="206">
        <v>495</v>
      </c>
      <c r="H453" s="202">
        <f t="shared" si="7"/>
        <v>89663</v>
      </c>
      <c r="I453" s="205" t="s">
        <v>38</v>
      </c>
      <c r="J453" s="205" t="s">
        <v>23</v>
      </c>
      <c r="K453" s="201" t="s">
        <v>1028</v>
      </c>
      <c r="L453" s="205" t="s">
        <v>1896</v>
      </c>
      <c r="M453" s="209" t="s">
        <v>1030</v>
      </c>
      <c r="N453" s="205" t="s">
        <v>652</v>
      </c>
      <c r="O453" s="205" t="s">
        <v>652</v>
      </c>
      <c r="P453" s="207" t="s">
        <v>987</v>
      </c>
      <c r="Q453" s="208" t="s">
        <v>988</v>
      </c>
      <c r="R453" s="208" t="s">
        <v>1542</v>
      </c>
    </row>
    <row r="454" spans="1:18" s="205" customFormat="1" x14ac:dyDescent="0.2">
      <c r="A454" s="205" t="s">
        <v>1897</v>
      </c>
      <c r="B454" s="205" t="s">
        <v>229</v>
      </c>
      <c r="C454" s="200">
        <v>45402</v>
      </c>
      <c r="D454" s="201" t="s">
        <v>152</v>
      </c>
      <c r="E454" s="206">
        <v>67331</v>
      </c>
      <c r="F454" s="206">
        <v>6733</v>
      </c>
      <c r="G454" s="206">
        <v>337</v>
      </c>
      <c r="H454" s="202">
        <f t="shared" si="7"/>
        <v>60935</v>
      </c>
      <c r="I454" s="205" t="s">
        <v>38</v>
      </c>
      <c r="J454" s="205" t="s">
        <v>23</v>
      </c>
      <c r="K454" s="201" t="s">
        <v>1028</v>
      </c>
      <c r="L454" s="205" t="s">
        <v>1898</v>
      </c>
      <c r="M454" s="201" t="s">
        <v>1030</v>
      </c>
      <c r="N454" s="205" t="s">
        <v>652</v>
      </c>
      <c r="O454" s="205" t="s">
        <v>652</v>
      </c>
      <c r="P454" s="207" t="s">
        <v>987</v>
      </c>
      <c r="Q454" s="208" t="s">
        <v>988</v>
      </c>
      <c r="R454" s="208" t="s">
        <v>1542</v>
      </c>
    </row>
    <row r="455" spans="1:18" s="205" customFormat="1" x14ac:dyDescent="0.2">
      <c r="A455" s="205" t="s">
        <v>1899</v>
      </c>
      <c r="B455" s="205" t="s">
        <v>229</v>
      </c>
      <c r="C455" s="200">
        <v>45402</v>
      </c>
      <c r="D455" s="201" t="s">
        <v>152</v>
      </c>
      <c r="E455" s="206">
        <v>62693</v>
      </c>
      <c r="F455" s="206">
        <v>6269</v>
      </c>
      <c r="G455" s="206">
        <v>313</v>
      </c>
      <c r="H455" s="202">
        <f t="shared" si="7"/>
        <v>56737</v>
      </c>
      <c r="I455" s="205" t="s">
        <v>38</v>
      </c>
      <c r="J455" s="205" t="s">
        <v>23</v>
      </c>
      <c r="K455" s="201" t="s">
        <v>1028</v>
      </c>
      <c r="L455" s="205" t="s">
        <v>1900</v>
      </c>
      <c r="M455" s="209" t="s">
        <v>1030</v>
      </c>
      <c r="N455" s="205" t="s">
        <v>652</v>
      </c>
      <c r="O455" s="205" t="s">
        <v>652</v>
      </c>
      <c r="P455" s="207" t="s">
        <v>987</v>
      </c>
      <c r="Q455" s="208" t="s">
        <v>988</v>
      </c>
      <c r="R455" s="208" t="s">
        <v>1542</v>
      </c>
    </row>
    <row r="456" spans="1:18" s="205" customFormat="1" x14ac:dyDescent="0.2">
      <c r="A456" s="205" t="s">
        <v>1901</v>
      </c>
      <c r="B456" s="205" t="s">
        <v>229</v>
      </c>
      <c r="C456" s="200">
        <v>45402</v>
      </c>
      <c r="D456" s="201" t="s">
        <v>152</v>
      </c>
      <c r="E456" s="206">
        <v>59699</v>
      </c>
      <c r="F456" s="206">
        <v>5970</v>
      </c>
      <c r="G456" s="206">
        <v>299</v>
      </c>
      <c r="H456" s="202">
        <f t="shared" si="7"/>
        <v>54028</v>
      </c>
      <c r="I456" s="205" t="s">
        <v>38</v>
      </c>
      <c r="J456" s="205" t="s">
        <v>23</v>
      </c>
      <c r="K456" s="201" t="s">
        <v>1028</v>
      </c>
      <c r="L456" s="205" t="s">
        <v>1902</v>
      </c>
      <c r="M456" s="201" t="s">
        <v>1030</v>
      </c>
      <c r="N456" s="205" t="s">
        <v>652</v>
      </c>
      <c r="O456" s="205" t="s">
        <v>652</v>
      </c>
      <c r="P456" s="207" t="s">
        <v>987</v>
      </c>
      <c r="Q456" s="208" t="s">
        <v>988</v>
      </c>
      <c r="R456" s="208" t="s">
        <v>1542</v>
      </c>
    </row>
    <row r="457" spans="1:18" s="205" customFormat="1" x14ac:dyDescent="0.2">
      <c r="A457" s="205" t="s">
        <v>1903</v>
      </c>
      <c r="B457" s="205" t="s">
        <v>229</v>
      </c>
      <c r="C457" s="200">
        <v>45402</v>
      </c>
      <c r="D457" s="201" t="s">
        <v>152</v>
      </c>
      <c r="E457" s="206">
        <v>47759</v>
      </c>
      <c r="F457" s="206">
        <v>4776</v>
      </c>
      <c r="G457" s="206">
        <v>239</v>
      </c>
      <c r="H457" s="202">
        <f t="shared" si="7"/>
        <v>43222</v>
      </c>
      <c r="I457" s="205" t="s">
        <v>38</v>
      </c>
      <c r="J457" s="205" t="s">
        <v>23</v>
      </c>
      <c r="K457" s="201" t="s">
        <v>1028</v>
      </c>
      <c r="L457" s="205" t="s">
        <v>1904</v>
      </c>
      <c r="M457" s="201" t="s">
        <v>1030</v>
      </c>
      <c r="N457" s="205" t="s">
        <v>652</v>
      </c>
      <c r="O457" s="205" t="s">
        <v>652</v>
      </c>
      <c r="P457" s="207" t="s">
        <v>987</v>
      </c>
      <c r="Q457" s="208" t="s">
        <v>988</v>
      </c>
      <c r="R457" s="208" t="s">
        <v>1542</v>
      </c>
    </row>
    <row r="458" spans="1:18" s="205" customFormat="1" x14ac:dyDescent="0.2">
      <c r="A458" s="205" t="s">
        <v>1905</v>
      </c>
      <c r="B458" s="205" t="s">
        <v>229</v>
      </c>
      <c r="C458" s="200">
        <v>45402</v>
      </c>
      <c r="D458" s="201" t="s">
        <v>152</v>
      </c>
      <c r="E458" s="206">
        <v>36738</v>
      </c>
      <c r="F458" s="206">
        <v>3674</v>
      </c>
      <c r="G458" s="206">
        <v>184</v>
      </c>
      <c r="H458" s="202">
        <f t="shared" si="7"/>
        <v>33248</v>
      </c>
      <c r="I458" s="205" t="s">
        <v>38</v>
      </c>
      <c r="J458" s="205" t="s">
        <v>23</v>
      </c>
      <c r="K458" s="201" t="s">
        <v>1028</v>
      </c>
      <c r="L458" s="205" t="s">
        <v>1906</v>
      </c>
      <c r="M458" s="201" t="s">
        <v>1030</v>
      </c>
      <c r="N458" s="205" t="s">
        <v>652</v>
      </c>
      <c r="O458" s="205" t="s">
        <v>652</v>
      </c>
      <c r="P458" s="207" t="s">
        <v>987</v>
      </c>
      <c r="Q458" s="208" t="s">
        <v>988</v>
      </c>
      <c r="R458" s="208" t="s">
        <v>1542</v>
      </c>
    </row>
    <row r="459" spans="1:18" s="205" customFormat="1" x14ac:dyDescent="0.2">
      <c r="A459" s="205" t="s">
        <v>1907</v>
      </c>
      <c r="B459" s="205" t="s">
        <v>229</v>
      </c>
      <c r="C459" s="200">
        <v>45402</v>
      </c>
      <c r="D459" s="201" t="s">
        <v>152</v>
      </c>
      <c r="E459" s="206">
        <v>51793</v>
      </c>
      <c r="F459" s="206">
        <v>5179</v>
      </c>
      <c r="G459" s="206">
        <v>259</v>
      </c>
      <c r="H459" s="202">
        <f t="shared" si="7"/>
        <v>46873</v>
      </c>
      <c r="I459" s="205" t="s">
        <v>38</v>
      </c>
      <c r="J459" s="205" t="s">
        <v>23</v>
      </c>
      <c r="K459" s="201" t="s">
        <v>1028</v>
      </c>
      <c r="L459" s="205" t="s">
        <v>1908</v>
      </c>
      <c r="M459" s="201" t="s">
        <v>1030</v>
      </c>
      <c r="N459" s="205" t="s">
        <v>652</v>
      </c>
      <c r="O459" s="205" t="s">
        <v>652</v>
      </c>
      <c r="P459" s="207" t="s">
        <v>987</v>
      </c>
      <c r="Q459" s="208" t="s">
        <v>988</v>
      </c>
      <c r="R459" s="208" t="s">
        <v>1542</v>
      </c>
    </row>
    <row r="460" spans="1:18" s="205" customFormat="1" x14ac:dyDescent="0.2">
      <c r="A460" s="205" t="s">
        <v>1909</v>
      </c>
      <c r="B460" s="205" t="s">
        <v>229</v>
      </c>
      <c r="C460" s="200">
        <v>45402</v>
      </c>
      <c r="D460" s="201" t="s">
        <v>152</v>
      </c>
      <c r="E460" s="206">
        <v>87104</v>
      </c>
      <c r="F460" s="206">
        <v>8710</v>
      </c>
      <c r="G460" s="206">
        <v>436</v>
      </c>
      <c r="H460" s="202">
        <f t="shared" si="7"/>
        <v>78830</v>
      </c>
      <c r="I460" s="205" t="s">
        <v>38</v>
      </c>
      <c r="J460" s="205" t="s">
        <v>23</v>
      </c>
      <c r="K460" s="201" t="s">
        <v>1028</v>
      </c>
      <c r="L460" s="205" t="s">
        <v>1910</v>
      </c>
      <c r="M460" s="201" t="s">
        <v>1030</v>
      </c>
      <c r="N460" s="205" t="s">
        <v>652</v>
      </c>
      <c r="O460" s="205" t="s">
        <v>652</v>
      </c>
      <c r="P460" s="207" t="s">
        <v>987</v>
      </c>
      <c r="Q460" s="208" t="s">
        <v>988</v>
      </c>
      <c r="R460" s="208" t="s">
        <v>1542</v>
      </c>
    </row>
    <row r="461" spans="1:18" s="205" customFormat="1" x14ac:dyDescent="0.2">
      <c r="A461" s="205" t="s">
        <v>1911</v>
      </c>
      <c r="B461" s="205" t="s">
        <v>229</v>
      </c>
      <c r="C461" s="200">
        <v>45402</v>
      </c>
      <c r="D461" s="201" t="s">
        <v>152</v>
      </c>
      <c r="E461" s="206">
        <v>87104</v>
      </c>
      <c r="F461" s="206">
        <v>8710</v>
      </c>
      <c r="G461" s="206">
        <v>436</v>
      </c>
      <c r="H461" s="202">
        <f t="shared" si="7"/>
        <v>78830</v>
      </c>
      <c r="I461" s="205" t="s">
        <v>38</v>
      </c>
      <c r="J461" s="205" t="s">
        <v>23</v>
      </c>
      <c r="K461" s="201" t="s">
        <v>1028</v>
      </c>
      <c r="L461" s="205" t="s">
        <v>1912</v>
      </c>
      <c r="M461" s="201" t="s">
        <v>1030</v>
      </c>
      <c r="N461" s="205" t="s">
        <v>652</v>
      </c>
      <c r="O461" s="205" t="s">
        <v>652</v>
      </c>
      <c r="P461" s="207" t="s">
        <v>987</v>
      </c>
      <c r="Q461" s="208" t="s">
        <v>988</v>
      </c>
      <c r="R461" s="208" t="s">
        <v>1542</v>
      </c>
    </row>
    <row r="462" spans="1:18" s="205" customFormat="1" x14ac:dyDescent="0.2">
      <c r="A462" s="205" t="s">
        <v>1913</v>
      </c>
      <c r="B462" s="205" t="s">
        <v>229</v>
      </c>
      <c r="C462" s="200">
        <v>45402</v>
      </c>
      <c r="D462" s="201" t="s">
        <v>152</v>
      </c>
      <c r="E462" s="206">
        <v>129349</v>
      </c>
      <c r="F462" s="206">
        <v>12935</v>
      </c>
      <c r="G462" s="206">
        <v>647</v>
      </c>
      <c r="H462" s="202">
        <f t="shared" si="7"/>
        <v>117061</v>
      </c>
      <c r="I462" s="205" t="s">
        <v>38</v>
      </c>
      <c r="J462" s="205" t="s">
        <v>23</v>
      </c>
      <c r="K462" s="201" t="s">
        <v>1028</v>
      </c>
      <c r="L462" s="205" t="s">
        <v>1914</v>
      </c>
      <c r="M462" s="201" t="s">
        <v>1030</v>
      </c>
      <c r="N462" s="205" t="s">
        <v>652</v>
      </c>
      <c r="O462" s="205" t="s">
        <v>652</v>
      </c>
      <c r="P462" s="207" t="s">
        <v>987</v>
      </c>
      <c r="Q462" s="208" t="s">
        <v>988</v>
      </c>
      <c r="R462" s="208" t="s">
        <v>1542</v>
      </c>
    </row>
    <row r="463" spans="1:18" s="205" customFormat="1" x14ac:dyDescent="0.2">
      <c r="A463" s="205" t="s">
        <v>1915</v>
      </c>
      <c r="B463" s="205" t="s">
        <v>229</v>
      </c>
      <c r="C463" s="200">
        <v>45402</v>
      </c>
      <c r="D463" s="201" t="s">
        <v>152</v>
      </c>
      <c r="E463" s="206">
        <v>95814</v>
      </c>
      <c r="F463" s="206">
        <v>9581</v>
      </c>
      <c r="G463" s="206">
        <v>479</v>
      </c>
      <c r="H463" s="202">
        <f t="shared" si="7"/>
        <v>86712</v>
      </c>
      <c r="I463" s="205" t="s">
        <v>38</v>
      </c>
      <c r="J463" s="205" t="s">
        <v>23</v>
      </c>
      <c r="K463" s="201" t="s">
        <v>1028</v>
      </c>
      <c r="L463" s="205" t="s">
        <v>1916</v>
      </c>
      <c r="M463" s="201" t="s">
        <v>1030</v>
      </c>
      <c r="N463" s="205" t="s">
        <v>652</v>
      </c>
      <c r="O463" s="205" t="s">
        <v>652</v>
      </c>
      <c r="P463" s="207" t="s">
        <v>987</v>
      </c>
      <c r="Q463" s="208" t="s">
        <v>988</v>
      </c>
      <c r="R463" s="208" t="s">
        <v>1542</v>
      </c>
    </row>
    <row r="464" spans="1:18" s="205" customFormat="1" x14ac:dyDescent="0.2">
      <c r="A464" s="205" t="s">
        <v>1917</v>
      </c>
      <c r="B464" s="205" t="s">
        <v>229</v>
      </c>
      <c r="C464" s="200">
        <v>45402</v>
      </c>
      <c r="D464" s="201" t="s">
        <v>152</v>
      </c>
      <c r="E464" s="206">
        <v>59699</v>
      </c>
      <c r="F464" s="206">
        <v>5970</v>
      </c>
      <c r="G464" s="206">
        <v>299</v>
      </c>
      <c r="H464" s="202">
        <f t="shared" si="7"/>
        <v>54028</v>
      </c>
      <c r="I464" s="205" t="s">
        <v>38</v>
      </c>
      <c r="J464" s="205" t="s">
        <v>23</v>
      </c>
      <c r="K464" s="201" t="s">
        <v>1028</v>
      </c>
      <c r="L464" s="205" t="s">
        <v>1918</v>
      </c>
      <c r="M464" s="201" t="s">
        <v>1030</v>
      </c>
      <c r="N464" s="205" t="s">
        <v>652</v>
      </c>
      <c r="O464" s="205" t="s">
        <v>652</v>
      </c>
      <c r="P464" s="207" t="s">
        <v>987</v>
      </c>
      <c r="Q464" s="208" t="s">
        <v>988</v>
      </c>
      <c r="R464" s="208" t="s">
        <v>1542</v>
      </c>
    </row>
    <row r="465" spans="1:18" s="205" customFormat="1" x14ac:dyDescent="0.2">
      <c r="A465" s="205" t="s">
        <v>1919</v>
      </c>
      <c r="B465" s="205" t="s">
        <v>229</v>
      </c>
      <c r="C465" s="200">
        <v>45402</v>
      </c>
      <c r="D465" s="201" t="s">
        <v>152</v>
      </c>
      <c r="E465" s="206">
        <v>42202</v>
      </c>
      <c r="F465" s="206">
        <v>4220</v>
      </c>
      <c r="G465" s="206">
        <v>211</v>
      </c>
      <c r="H465" s="202">
        <f t="shared" si="7"/>
        <v>38193</v>
      </c>
      <c r="I465" s="205" t="s">
        <v>38</v>
      </c>
      <c r="J465" s="205" t="s">
        <v>23</v>
      </c>
      <c r="K465" s="201" t="s">
        <v>1028</v>
      </c>
      <c r="L465" s="205" t="s">
        <v>1920</v>
      </c>
      <c r="M465" s="201" t="s">
        <v>1030</v>
      </c>
      <c r="N465" s="205" t="s">
        <v>652</v>
      </c>
      <c r="O465" s="205" t="s">
        <v>652</v>
      </c>
      <c r="P465" s="207" t="s">
        <v>987</v>
      </c>
      <c r="Q465" s="208" t="s">
        <v>988</v>
      </c>
      <c r="R465" s="208" t="s">
        <v>1542</v>
      </c>
    </row>
    <row r="466" spans="1:18" s="205" customFormat="1" x14ac:dyDescent="0.2">
      <c r="A466" s="205" t="s">
        <v>1921</v>
      </c>
      <c r="B466" s="205" t="s">
        <v>229</v>
      </c>
      <c r="C466" s="200">
        <v>45402</v>
      </c>
      <c r="D466" s="201" t="s">
        <v>152</v>
      </c>
      <c r="E466" s="206">
        <v>74064</v>
      </c>
      <c r="F466" s="206">
        <v>7406</v>
      </c>
      <c r="G466" s="206">
        <v>370</v>
      </c>
      <c r="H466" s="202">
        <f t="shared" si="7"/>
        <v>67028</v>
      </c>
      <c r="I466" s="205" t="s">
        <v>38</v>
      </c>
      <c r="J466" s="205" t="s">
        <v>23</v>
      </c>
      <c r="K466" s="201" t="s">
        <v>1028</v>
      </c>
      <c r="L466" s="205" t="s">
        <v>1922</v>
      </c>
      <c r="M466" s="201" t="s">
        <v>1030</v>
      </c>
      <c r="N466" s="205" t="s">
        <v>652</v>
      </c>
      <c r="O466" s="205" t="s">
        <v>652</v>
      </c>
      <c r="P466" s="215" t="s">
        <v>987</v>
      </c>
      <c r="Q466" s="216" t="s">
        <v>988</v>
      </c>
      <c r="R466" s="216" t="s">
        <v>1542</v>
      </c>
    </row>
    <row r="467" spans="1:18" s="205" customFormat="1" x14ac:dyDescent="0.2">
      <c r="A467" s="205" t="s">
        <v>1923</v>
      </c>
      <c r="B467" s="205" t="s">
        <v>229</v>
      </c>
      <c r="C467" s="200">
        <v>45402</v>
      </c>
      <c r="D467" s="201" t="s">
        <v>152</v>
      </c>
      <c r="E467" s="206">
        <v>117590</v>
      </c>
      <c r="F467" s="206">
        <v>11759</v>
      </c>
      <c r="G467" s="206">
        <v>588</v>
      </c>
      <c r="H467" s="202">
        <f t="shared" si="7"/>
        <v>106419</v>
      </c>
      <c r="I467" s="205" t="s">
        <v>38</v>
      </c>
      <c r="J467" s="205" t="s">
        <v>23</v>
      </c>
      <c r="K467" s="201" t="s">
        <v>1028</v>
      </c>
      <c r="L467" s="205" t="s">
        <v>1924</v>
      </c>
      <c r="M467" s="201" t="s">
        <v>1030</v>
      </c>
      <c r="N467" s="205" t="s">
        <v>652</v>
      </c>
      <c r="O467" s="205" t="s">
        <v>652</v>
      </c>
      <c r="P467" s="207" t="s">
        <v>987</v>
      </c>
      <c r="Q467" s="208" t="s">
        <v>988</v>
      </c>
      <c r="R467" s="208" t="s">
        <v>1542</v>
      </c>
    </row>
    <row r="468" spans="1:18" s="205" customFormat="1" x14ac:dyDescent="0.2">
      <c r="A468" s="205" t="s">
        <v>1925</v>
      </c>
      <c r="B468" s="205" t="s">
        <v>229</v>
      </c>
      <c r="C468" s="200">
        <v>45402</v>
      </c>
      <c r="D468" s="201" t="s">
        <v>152</v>
      </c>
      <c r="E468" s="206">
        <v>36738</v>
      </c>
      <c r="F468" s="206">
        <v>3674</v>
      </c>
      <c r="G468" s="206">
        <v>184</v>
      </c>
      <c r="H468" s="202">
        <f t="shared" si="7"/>
        <v>33248</v>
      </c>
      <c r="I468" s="205" t="s">
        <v>38</v>
      </c>
      <c r="J468" s="205" t="s">
        <v>23</v>
      </c>
      <c r="K468" s="201" t="s">
        <v>1028</v>
      </c>
      <c r="L468" s="205" t="s">
        <v>1926</v>
      </c>
      <c r="M468" s="201" t="s">
        <v>1030</v>
      </c>
      <c r="N468" s="205" t="s">
        <v>652</v>
      </c>
      <c r="O468" s="205" t="s">
        <v>652</v>
      </c>
      <c r="P468" s="207" t="s">
        <v>987</v>
      </c>
      <c r="Q468" s="208" t="s">
        <v>988</v>
      </c>
      <c r="R468" s="208" t="s">
        <v>1542</v>
      </c>
    </row>
    <row r="469" spans="1:18" s="205" customFormat="1" x14ac:dyDescent="0.2">
      <c r="A469" s="205" t="s">
        <v>1927</v>
      </c>
      <c r="B469" s="205" t="s">
        <v>229</v>
      </c>
      <c r="C469" s="200">
        <v>45402</v>
      </c>
      <c r="D469" s="201" t="s">
        <v>152</v>
      </c>
      <c r="E469" s="206">
        <v>90069</v>
      </c>
      <c r="F469" s="206">
        <v>9007</v>
      </c>
      <c r="G469" s="206">
        <v>450</v>
      </c>
      <c r="H469" s="202">
        <f t="shared" si="7"/>
        <v>81512</v>
      </c>
      <c r="I469" s="205" t="s">
        <v>38</v>
      </c>
      <c r="J469" s="205" t="s">
        <v>23</v>
      </c>
      <c r="K469" s="201" t="s">
        <v>1028</v>
      </c>
      <c r="L469" s="205" t="s">
        <v>1928</v>
      </c>
      <c r="M469" s="201" t="s">
        <v>1030</v>
      </c>
      <c r="N469" s="205" t="s">
        <v>652</v>
      </c>
      <c r="O469" s="205" t="s">
        <v>652</v>
      </c>
      <c r="P469" s="207" t="s">
        <v>987</v>
      </c>
      <c r="Q469" s="208" t="s">
        <v>988</v>
      </c>
      <c r="R469" s="208" t="s">
        <v>1542</v>
      </c>
    </row>
    <row r="470" spans="1:18" s="205" customFormat="1" x14ac:dyDescent="0.2">
      <c r="A470" s="205" t="s">
        <v>1929</v>
      </c>
      <c r="B470" s="205" t="s">
        <v>229</v>
      </c>
      <c r="C470" s="200">
        <v>45402</v>
      </c>
      <c r="D470" s="201" t="s">
        <v>152</v>
      </c>
      <c r="E470" s="206">
        <v>38365</v>
      </c>
      <c r="F470" s="206">
        <v>3837</v>
      </c>
      <c r="G470" s="206">
        <v>192</v>
      </c>
      <c r="H470" s="202">
        <f t="shared" si="7"/>
        <v>34720</v>
      </c>
      <c r="I470" s="205" t="s">
        <v>38</v>
      </c>
      <c r="J470" s="205" t="s">
        <v>23</v>
      </c>
      <c r="K470" s="201" t="s">
        <v>1028</v>
      </c>
      <c r="L470" s="205" t="s">
        <v>1930</v>
      </c>
      <c r="M470" s="201" t="s">
        <v>1030</v>
      </c>
      <c r="N470" s="205" t="s">
        <v>652</v>
      </c>
      <c r="O470" s="205" t="s">
        <v>652</v>
      </c>
      <c r="P470" s="207" t="s">
        <v>987</v>
      </c>
      <c r="Q470" s="208" t="s">
        <v>988</v>
      </c>
      <c r="R470" s="208" t="s">
        <v>1542</v>
      </c>
    </row>
    <row r="471" spans="1:18" s="205" customFormat="1" x14ac:dyDescent="0.2">
      <c r="A471" s="205" t="s">
        <v>1931</v>
      </c>
      <c r="B471" s="205" t="s">
        <v>229</v>
      </c>
      <c r="C471" s="200">
        <v>45402</v>
      </c>
      <c r="D471" s="201" t="s">
        <v>152</v>
      </c>
      <c r="E471" s="206">
        <v>27213</v>
      </c>
      <c r="F471" s="206">
        <v>2721</v>
      </c>
      <c r="G471" s="206">
        <v>136</v>
      </c>
      <c r="H471" s="202">
        <f t="shared" si="7"/>
        <v>24628</v>
      </c>
      <c r="I471" s="205" t="s">
        <v>38</v>
      </c>
      <c r="J471" s="205" t="s">
        <v>23</v>
      </c>
      <c r="K471" s="201" t="s">
        <v>1028</v>
      </c>
      <c r="L471" s="205" t="s">
        <v>1932</v>
      </c>
      <c r="M471" s="201" t="s">
        <v>1030</v>
      </c>
      <c r="N471" s="205" t="s">
        <v>652</v>
      </c>
      <c r="O471" s="205" t="s">
        <v>652</v>
      </c>
      <c r="P471" s="207" t="s">
        <v>987</v>
      </c>
      <c r="Q471" s="208" t="s">
        <v>988</v>
      </c>
      <c r="R471" s="208" t="s">
        <v>1542</v>
      </c>
    </row>
    <row r="472" spans="1:18" s="205" customFormat="1" x14ac:dyDescent="0.2">
      <c r="A472" s="205" t="s">
        <v>1933</v>
      </c>
      <c r="B472" s="205" t="s">
        <v>229</v>
      </c>
      <c r="C472" s="200">
        <v>45402</v>
      </c>
      <c r="D472" s="201" t="s">
        <v>152</v>
      </c>
      <c r="E472" s="206">
        <v>65669</v>
      </c>
      <c r="F472" s="206">
        <v>6567</v>
      </c>
      <c r="G472" s="206">
        <v>328</v>
      </c>
      <c r="H472" s="202">
        <f t="shared" si="7"/>
        <v>59430</v>
      </c>
      <c r="I472" s="205" t="s">
        <v>38</v>
      </c>
      <c r="J472" s="205" t="s">
        <v>23</v>
      </c>
      <c r="K472" s="201" t="s">
        <v>1028</v>
      </c>
      <c r="L472" s="205" t="s">
        <v>1934</v>
      </c>
      <c r="M472" s="201" t="s">
        <v>1030</v>
      </c>
      <c r="N472" s="205" t="s">
        <v>652</v>
      </c>
      <c r="O472" s="205" t="s">
        <v>652</v>
      </c>
      <c r="P472" s="207" t="s">
        <v>987</v>
      </c>
      <c r="Q472" s="208" t="s">
        <v>988</v>
      </c>
      <c r="R472" s="208" t="s">
        <v>1542</v>
      </c>
    </row>
    <row r="473" spans="1:18" s="205" customFormat="1" x14ac:dyDescent="0.2">
      <c r="A473" s="205" t="s">
        <v>1935</v>
      </c>
      <c r="B473" s="205" t="s">
        <v>229</v>
      </c>
      <c r="C473" s="200">
        <v>45402</v>
      </c>
      <c r="D473" s="201" t="s">
        <v>152</v>
      </c>
      <c r="E473" s="206">
        <v>69284</v>
      </c>
      <c r="F473" s="206">
        <v>6928</v>
      </c>
      <c r="G473" s="206">
        <v>346</v>
      </c>
      <c r="H473" s="202">
        <f t="shared" si="7"/>
        <v>62702</v>
      </c>
      <c r="I473" s="205" t="s">
        <v>38</v>
      </c>
      <c r="J473" s="205" t="s">
        <v>23</v>
      </c>
      <c r="K473" s="201" t="s">
        <v>1028</v>
      </c>
      <c r="L473" s="205" t="s">
        <v>1936</v>
      </c>
      <c r="M473" s="201" t="s">
        <v>1030</v>
      </c>
      <c r="N473" s="205" t="s">
        <v>652</v>
      </c>
      <c r="O473" s="205" t="s">
        <v>652</v>
      </c>
      <c r="P473" s="207" t="s">
        <v>987</v>
      </c>
      <c r="Q473" s="208" t="s">
        <v>988</v>
      </c>
      <c r="R473" s="208" t="s">
        <v>1542</v>
      </c>
    </row>
    <row r="474" spans="1:18" s="205" customFormat="1" x14ac:dyDescent="0.2">
      <c r="A474" s="205" t="s">
        <v>1937</v>
      </c>
      <c r="B474" s="205" t="s">
        <v>229</v>
      </c>
      <c r="C474" s="200">
        <v>45402</v>
      </c>
      <c r="D474" s="201" t="s">
        <v>152</v>
      </c>
      <c r="E474" s="206">
        <v>69853</v>
      </c>
      <c r="F474" s="206">
        <v>6985</v>
      </c>
      <c r="G474" s="206">
        <v>349</v>
      </c>
      <c r="H474" s="202">
        <f t="shared" si="7"/>
        <v>63217</v>
      </c>
      <c r="I474" s="205" t="s">
        <v>38</v>
      </c>
      <c r="J474" s="205" t="s">
        <v>23</v>
      </c>
      <c r="K474" s="201" t="e">
        <v>#N/A</v>
      </c>
      <c r="L474" s="205" t="s">
        <v>1938</v>
      </c>
      <c r="M474" s="201"/>
      <c r="P474" s="215" t="s">
        <v>653</v>
      </c>
      <c r="Q474" s="216" t="s">
        <v>988</v>
      </c>
      <c r="R474" s="216" t="s">
        <v>1542</v>
      </c>
    </row>
    <row r="475" spans="1:18" s="205" customFormat="1" x14ac:dyDescent="0.2">
      <c r="A475" s="205" t="s">
        <v>1939</v>
      </c>
      <c r="B475" s="205" t="s">
        <v>229</v>
      </c>
      <c r="C475" s="200">
        <v>45402</v>
      </c>
      <c r="D475" s="201" t="s">
        <v>152</v>
      </c>
      <c r="E475" s="206">
        <v>51743</v>
      </c>
      <c r="F475" s="206">
        <v>5174</v>
      </c>
      <c r="G475" s="206">
        <v>259</v>
      </c>
      <c r="H475" s="202">
        <f t="shared" si="7"/>
        <v>46828</v>
      </c>
      <c r="I475" s="205" t="s">
        <v>38</v>
      </c>
      <c r="J475" s="205" t="s">
        <v>23</v>
      </c>
      <c r="K475" s="201" t="s">
        <v>1028</v>
      </c>
      <c r="L475" s="205" t="s">
        <v>1940</v>
      </c>
      <c r="M475" s="201" t="s">
        <v>1030</v>
      </c>
      <c r="N475" s="205" t="s">
        <v>652</v>
      </c>
      <c r="O475" s="205" t="s">
        <v>652</v>
      </c>
      <c r="P475" s="207" t="s">
        <v>987</v>
      </c>
      <c r="Q475" s="208" t="s">
        <v>988</v>
      </c>
      <c r="R475" s="208" t="s">
        <v>1542</v>
      </c>
    </row>
    <row r="476" spans="1:18" s="205" customFormat="1" x14ac:dyDescent="0.2">
      <c r="A476" s="205" t="s">
        <v>1941</v>
      </c>
      <c r="B476" s="205" t="s">
        <v>229</v>
      </c>
      <c r="C476" s="200">
        <v>45402</v>
      </c>
      <c r="D476" s="201" t="s">
        <v>152</v>
      </c>
      <c r="E476" s="206">
        <v>29935</v>
      </c>
      <c r="F476" s="206">
        <v>2994</v>
      </c>
      <c r="G476" s="206">
        <v>150</v>
      </c>
      <c r="H476" s="202">
        <f t="shared" si="7"/>
        <v>27091</v>
      </c>
      <c r="I476" s="205" t="s">
        <v>38</v>
      </c>
      <c r="J476" s="205" t="s">
        <v>23</v>
      </c>
      <c r="K476" s="201" t="s">
        <v>1028</v>
      </c>
      <c r="L476" s="205" t="s">
        <v>1942</v>
      </c>
      <c r="M476" s="201" t="s">
        <v>1030</v>
      </c>
      <c r="N476" s="205" t="s">
        <v>652</v>
      </c>
      <c r="O476" s="205" t="s">
        <v>652</v>
      </c>
      <c r="P476" s="207" t="s">
        <v>987</v>
      </c>
      <c r="Q476" s="208" t="s">
        <v>988</v>
      </c>
      <c r="R476" s="208" t="s">
        <v>1542</v>
      </c>
    </row>
    <row r="477" spans="1:18" s="205" customFormat="1" x14ac:dyDescent="0.2">
      <c r="A477" s="205" t="s">
        <v>1943</v>
      </c>
      <c r="B477" s="205" t="s">
        <v>229</v>
      </c>
      <c r="C477" s="200">
        <v>45402</v>
      </c>
      <c r="D477" s="201" t="s">
        <v>152</v>
      </c>
      <c r="E477" s="206">
        <v>29935</v>
      </c>
      <c r="F477" s="206">
        <v>2994</v>
      </c>
      <c r="G477" s="206">
        <v>150</v>
      </c>
      <c r="H477" s="202">
        <f t="shared" si="7"/>
        <v>27091</v>
      </c>
      <c r="I477" s="205" t="s">
        <v>38</v>
      </c>
      <c r="J477" s="205" t="s">
        <v>23</v>
      </c>
      <c r="K477" s="201" t="s">
        <v>1028</v>
      </c>
      <c r="L477" s="205" t="s">
        <v>1944</v>
      </c>
      <c r="M477" s="201" t="s">
        <v>1030</v>
      </c>
      <c r="N477" s="205" t="s">
        <v>652</v>
      </c>
      <c r="O477" s="205" t="s">
        <v>652</v>
      </c>
      <c r="P477" s="207" t="s">
        <v>987</v>
      </c>
      <c r="Q477" s="208" t="s">
        <v>988</v>
      </c>
      <c r="R477" s="208" t="s">
        <v>1542</v>
      </c>
    </row>
    <row r="478" spans="1:18" s="205" customFormat="1" x14ac:dyDescent="0.2">
      <c r="A478" s="205" t="s">
        <v>1945</v>
      </c>
      <c r="B478" s="205" t="s">
        <v>229</v>
      </c>
      <c r="C478" s="200">
        <v>45402</v>
      </c>
      <c r="D478" s="201" t="s">
        <v>152</v>
      </c>
      <c r="E478" s="206">
        <v>69853</v>
      </c>
      <c r="F478" s="206">
        <v>6985</v>
      </c>
      <c r="G478" s="206">
        <v>349</v>
      </c>
      <c r="H478" s="202">
        <f t="shared" si="7"/>
        <v>63217</v>
      </c>
      <c r="I478" s="205" t="s">
        <v>38</v>
      </c>
      <c r="J478" s="205" t="s">
        <v>23</v>
      </c>
      <c r="K478" s="201" t="s">
        <v>1042</v>
      </c>
      <c r="L478" s="205" t="s">
        <v>1946</v>
      </c>
      <c r="M478" s="201" t="s">
        <v>1030</v>
      </c>
      <c r="N478" s="205" t="s">
        <v>652</v>
      </c>
      <c r="O478" s="205" t="s">
        <v>652</v>
      </c>
      <c r="P478" s="207" t="s">
        <v>722</v>
      </c>
      <c r="Q478" s="208" t="s">
        <v>723</v>
      </c>
      <c r="R478" s="208" t="s">
        <v>1542</v>
      </c>
    </row>
    <row r="479" spans="1:18" s="205" customFormat="1" x14ac:dyDescent="0.2">
      <c r="A479" s="205" t="s">
        <v>1947</v>
      </c>
      <c r="B479" s="205" t="s">
        <v>229</v>
      </c>
      <c r="C479" s="200">
        <v>45402</v>
      </c>
      <c r="D479" s="201" t="s">
        <v>152</v>
      </c>
      <c r="E479" s="206">
        <v>87104</v>
      </c>
      <c r="F479" s="206">
        <v>8710</v>
      </c>
      <c r="G479" s="206">
        <v>436</v>
      </c>
      <c r="H479" s="202">
        <f t="shared" si="7"/>
        <v>78830</v>
      </c>
      <c r="I479" s="205" t="s">
        <v>38</v>
      </c>
      <c r="J479" s="205" t="s">
        <v>23</v>
      </c>
      <c r="K479" s="201" t="s">
        <v>1028</v>
      </c>
      <c r="L479" s="205" t="s">
        <v>1948</v>
      </c>
      <c r="M479" s="201" t="s">
        <v>1030</v>
      </c>
      <c r="N479" s="205" t="s">
        <v>652</v>
      </c>
      <c r="O479" s="205" t="s">
        <v>652</v>
      </c>
      <c r="P479" s="207" t="s">
        <v>663</v>
      </c>
      <c r="Q479" s="208" t="s">
        <v>723</v>
      </c>
      <c r="R479" s="208" t="s">
        <v>1542</v>
      </c>
    </row>
    <row r="480" spans="1:18" s="205" customFormat="1" x14ac:dyDescent="0.2">
      <c r="A480" s="205" t="s">
        <v>1949</v>
      </c>
      <c r="B480" s="205" t="s">
        <v>229</v>
      </c>
      <c r="C480" s="200">
        <v>45402</v>
      </c>
      <c r="D480" s="201" t="s">
        <v>152</v>
      </c>
      <c r="E480" s="206">
        <v>87104</v>
      </c>
      <c r="F480" s="206">
        <v>8710</v>
      </c>
      <c r="G480" s="206">
        <v>436</v>
      </c>
      <c r="H480" s="202">
        <f t="shared" si="7"/>
        <v>78830</v>
      </c>
      <c r="I480" s="205" t="s">
        <v>38</v>
      </c>
      <c r="J480" s="205" t="s">
        <v>23</v>
      </c>
      <c r="K480" s="201" t="s">
        <v>1028</v>
      </c>
      <c r="L480" s="205" t="s">
        <v>1950</v>
      </c>
      <c r="M480" s="201" t="s">
        <v>1030</v>
      </c>
      <c r="N480" s="205" t="s">
        <v>652</v>
      </c>
      <c r="O480" s="205" t="s">
        <v>652</v>
      </c>
      <c r="P480" s="207" t="s">
        <v>663</v>
      </c>
      <c r="Q480" s="208" t="s">
        <v>723</v>
      </c>
      <c r="R480" s="208" t="s">
        <v>1542</v>
      </c>
    </row>
    <row r="481" spans="1:18" s="205" customFormat="1" x14ac:dyDescent="0.2">
      <c r="A481" s="205" t="s">
        <v>1951</v>
      </c>
      <c r="B481" s="205" t="s">
        <v>229</v>
      </c>
      <c r="C481" s="200">
        <v>45402</v>
      </c>
      <c r="D481" s="201" t="s">
        <v>152</v>
      </c>
      <c r="E481" s="206">
        <v>51743</v>
      </c>
      <c r="F481" s="206">
        <v>5174</v>
      </c>
      <c r="G481" s="206">
        <v>259</v>
      </c>
      <c r="H481" s="202">
        <f t="shared" si="7"/>
        <v>46828</v>
      </c>
      <c r="I481" s="205" t="s">
        <v>38</v>
      </c>
      <c r="J481" s="205" t="s">
        <v>23</v>
      </c>
      <c r="K481" s="201" t="s">
        <v>1042</v>
      </c>
      <c r="L481" s="205" t="s">
        <v>1952</v>
      </c>
      <c r="M481" s="201" t="s">
        <v>1030</v>
      </c>
      <c r="N481" s="205" t="s">
        <v>652</v>
      </c>
      <c r="O481" s="205" t="s">
        <v>652</v>
      </c>
      <c r="P481" s="207" t="s">
        <v>722</v>
      </c>
      <c r="Q481" s="208" t="s">
        <v>723</v>
      </c>
      <c r="R481" s="208" t="s">
        <v>1542</v>
      </c>
    </row>
    <row r="482" spans="1:18" s="205" customFormat="1" x14ac:dyDescent="0.2">
      <c r="A482" s="205" t="s">
        <v>1953</v>
      </c>
      <c r="B482" s="205" t="s">
        <v>229</v>
      </c>
      <c r="C482" s="200">
        <v>45402</v>
      </c>
      <c r="D482" s="201" t="s">
        <v>152</v>
      </c>
      <c r="E482" s="206">
        <v>27213</v>
      </c>
      <c r="F482" s="206">
        <v>2721</v>
      </c>
      <c r="G482" s="206">
        <v>136</v>
      </c>
      <c r="H482" s="202">
        <f t="shared" si="7"/>
        <v>24628</v>
      </c>
      <c r="I482" s="205" t="s">
        <v>38</v>
      </c>
      <c r="J482" s="205" t="s">
        <v>23</v>
      </c>
      <c r="K482" s="201" t="s">
        <v>1028</v>
      </c>
      <c r="L482" s="205" t="s">
        <v>1954</v>
      </c>
      <c r="M482" s="201" t="s">
        <v>1030</v>
      </c>
      <c r="N482" s="205" t="s">
        <v>652</v>
      </c>
      <c r="O482" s="205" t="s">
        <v>652</v>
      </c>
      <c r="P482" s="207" t="s">
        <v>663</v>
      </c>
      <c r="Q482" s="208" t="s">
        <v>723</v>
      </c>
      <c r="R482" s="208" t="s">
        <v>1542</v>
      </c>
    </row>
    <row r="483" spans="1:18" s="205" customFormat="1" x14ac:dyDescent="0.2">
      <c r="A483" s="205" t="s">
        <v>1955</v>
      </c>
      <c r="B483" s="205" t="s">
        <v>229</v>
      </c>
      <c r="C483" s="200">
        <v>45402</v>
      </c>
      <c r="D483" s="201" t="s">
        <v>152</v>
      </c>
      <c r="E483" s="206">
        <v>27213</v>
      </c>
      <c r="F483" s="206">
        <v>2721</v>
      </c>
      <c r="G483" s="206">
        <v>136</v>
      </c>
      <c r="H483" s="202">
        <f t="shared" si="7"/>
        <v>24628</v>
      </c>
      <c r="I483" s="205" t="s">
        <v>38</v>
      </c>
      <c r="J483" s="205" t="s">
        <v>23</v>
      </c>
      <c r="K483" s="201" t="s">
        <v>1028</v>
      </c>
      <c r="L483" s="205" t="s">
        <v>1956</v>
      </c>
      <c r="M483" s="201" t="s">
        <v>1030</v>
      </c>
      <c r="N483" s="205" t="s">
        <v>652</v>
      </c>
      <c r="O483" s="205" t="s">
        <v>652</v>
      </c>
      <c r="P483" s="207" t="s">
        <v>663</v>
      </c>
      <c r="Q483" s="208" t="s">
        <v>723</v>
      </c>
      <c r="R483" s="208" t="s">
        <v>1542</v>
      </c>
    </row>
    <row r="484" spans="1:18" s="205" customFormat="1" x14ac:dyDescent="0.2">
      <c r="A484" s="205" t="s">
        <v>1957</v>
      </c>
      <c r="B484" s="205" t="s">
        <v>229</v>
      </c>
      <c r="C484" s="200">
        <v>45402</v>
      </c>
      <c r="D484" s="201" t="s">
        <v>152</v>
      </c>
      <c r="E484" s="206">
        <v>55238</v>
      </c>
      <c r="F484" s="206">
        <v>5524</v>
      </c>
      <c r="G484" s="206">
        <v>276</v>
      </c>
      <c r="H484" s="202">
        <f t="shared" si="7"/>
        <v>49990</v>
      </c>
      <c r="I484" s="205" t="s">
        <v>38</v>
      </c>
      <c r="J484" s="205" t="s">
        <v>23</v>
      </c>
      <c r="K484" s="201" t="s">
        <v>1028</v>
      </c>
      <c r="L484" s="205" t="s">
        <v>1958</v>
      </c>
      <c r="M484" s="201" t="s">
        <v>1030</v>
      </c>
      <c r="N484" s="205" t="s">
        <v>652</v>
      </c>
      <c r="O484" s="205" t="s">
        <v>652</v>
      </c>
      <c r="P484" s="207" t="s">
        <v>663</v>
      </c>
      <c r="Q484" s="208" t="s">
        <v>723</v>
      </c>
      <c r="R484" s="208" t="s">
        <v>1542</v>
      </c>
    </row>
    <row r="485" spans="1:18" s="205" customFormat="1" x14ac:dyDescent="0.2">
      <c r="A485" s="205" t="s">
        <v>1959</v>
      </c>
      <c r="B485" s="205" t="s">
        <v>229</v>
      </c>
      <c r="C485" s="200">
        <v>45402</v>
      </c>
      <c r="D485" s="201" t="s">
        <v>152</v>
      </c>
      <c r="E485" s="206">
        <v>40395</v>
      </c>
      <c r="F485" s="206">
        <v>4040</v>
      </c>
      <c r="G485" s="206">
        <v>202</v>
      </c>
      <c r="H485" s="202">
        <f t="shared" si="7"/>
        <v>36557</v>
      </c>
      <c r="I485" s="205" t="s">
        <v>38</v>
      </c>
      <c r="J485" s="205" t="s">
        <v>23</v>
      </c>
      <c r="K485" s="201" t="s">
        <v>1028</v>
      </c>
      <c r="L485" s="205" t="s">
        <v>1960</v>
      </c>
      <c r="M485" s="201" t="s">
        <v>1030</v>
      </c>
      <c r="N485" s="205" t="s">
        <v>652</v>
      </c>
      <c r="O485" s="205" t="s">
        <v>652</v>
      </c>
      <c r="P485" s="207" t="s">
        <v>651</v>
      </c>
      <c r="Q485" s="208" t="s">
        <v>673</v>
      </c>
      <c r="R485" s="208" t="s">
        <v>1542</v>
      </c>
    </row>
    <row r="486" spans="1:18" s="205" customFormat="1" x14ac:dyDescent="0.2">
      <c r="A486" s="205" t="s">
        <v>1961</v>
      </c>
      <c r="B486" s="205" t="s">
        <v>229</v>
      </c>
      <c r="C486" s="200">
        <v>45402</v>
      </c>
      <c r="D486" s="201" t="s">
        <v>152</v>
      </c>
      <c r="E486" s="206">
        <v>17315</v>
      </c>
      <c r="F486" s="206">
        <v>1732</v>
      </c>
      <c r="G486" s="206">
        <v>87</v>
      </c>
      <c r="H486" s="202">
        <f t="shared" si="7"/>
        <v>15670</v>
      </c>
      <c r="I486" s="205" t="s">
        <v>38</v>
      </c>
      <c r="J486" s="205" t="s">
        <v>23</v>
      </c>
      <c r="K486" s="201" t="s">
        <v>1028</v>
      </c>
      <c r="L486" s="205" t="s">
        <v>1962</v>
      </c>
      <c r="M486" s="201" t="s">
        <v>1030</v>
      </c>
      <c r="N486" s="205" t="s">
        <v>652</v>
      </c>
      <c r="O486" s="205" t="s">
        <v>652</v>
      </c>
      <c r="P486" s="207" t="s">
        <v>651</v>
      </c>
      <c r="Q486" s="208" t="s">
        <v>673</v>
      </c>
      <c r="R486" s="208" t="s">
        <v>1542</v>
      </c>
    </row>
    <row r="487" spans="1:18" s="205" customFormat="1" x14ac:dyDescent="0.2">
      <c r="A487" s="205" t="s">
        <v>1963</v>
      </c>
      <c r="B487" s="205" t="s">
        <v>229</v>
      </c>
      <c r="C487" s="200">
        <v>45402</v>
      </c>
      <c r="D487" s="201" t="s">
        <v>152</v>
      </c>
      <c r="E487" s="206">
        <v>17315</v>
      </c>
      <c r="F487" s="206">
        <v>1732</v>
      </c>
      <c r="G487" s="206">
        <v>87</v>
      </c>
      <c r="H487" s="202">
        <f t="shared" si="7"/>
        <v>15670</v>
      </c>
      <c r="I487" s="205" t="s">
        <v>38</v>
      </c>
      <c r="J487" s="205" t="s">
        <v>23</v>
      </c>
      <c r="K487" s="201" t="s">
        <v>1028</v>
      </c>
      <c r="L487" s="205" t="s">
        <v>1964</v>
      </c>
      <c r="M487" s="201" t="s">
        <v>1030</v>
      </c>
      <c r="N487" s="205" t="s">
        <v>652</v>
      </c>
      <c r="O487" s="205" t="s">
        <v>652</v>
      </c>
      <c r="P487" s="207" t="s">
        <v>651</v>
      </c>
      <c r="Q487" s="208" t="s">
        <v>673</v>
      </c>
      <c r="R487" s="208" t="s">
        <v>1542</v>
      </c>
    </row>
    <row r="488" spans="1:18" s="205" customFormat="1" x14ac:dyDescent="0.2">
      <c r="A488" s="205" t="s">
        <v>1965</v>
      </c>
      <c r="B488" s="205" t="s">
        <v>229</v>
      </c>
      <c r="C488" s="200">
        <v>45402</v>
      </c>
      <c r="D488" s="201" t="s">
        <v>152</v>
      </c>
      <c r="E488" s="206">
        <v>27213</v>
      </c>
      <c r="F488" s="206">
        <v>2721</v>
      </c>
      <c r="G488" s="206">
        <v>136</v>
      </c>
      <c r="H488" s="202">
        <f t="shared" si="7"/>
        <v>24628</v>
      </c>
      <c r="I488" s="205" t="s">
        <v>38</v>
      </c>
      <c r="J488" s="205" t="s">
        <v>23</v>
      </c>
      <c r="K488" s="201" t="e">
        <v>#N/A</v>
      </c>
      <c r="L488" s="205" t="s">
        <v>1966</v>
      </c>
      <c r="M488" s="201"/>
      <c r="P488" s="215" t="s">
        <v>651</v>
      </c>
      <c r="Q488" s="216" t="s">
        <v>673</v>
      </c>
      <c r="R488" s="216" t="s">
        <v>1542</v>
      </c>
    </row>
    <row r="489" spans="1:18" s="205" customFormat="1" x14ac:dyDescent="0.2">
      <c r="A489" s="205" t="s">
        <v>1967</v>
      </c>
      <c r="B489" s="205" t="s">
        <v>229</v>
      </c>
      <c r="C489" s="200">
        <v>45402</v>
      </c>
      <c r="D489" s="201" t="s">
        <v>152</v>
      </c>
      <c r="E489" s="206">
        <v>27213</v>
      </c>
      <c r="F489" s="206">
        <v>2721</v>
      </c>
      <c r="G489" s="206">
        <v>136</v>
      </c>
      <c r="H489" s="202">
        <f t="shared" si="7"/>
        <v>24628</v>
      </c>
      <c r="I489" s="205" t="s">
        <v>38</v>
      </c>
      <c r="J489" s="205" t="s">
        <v>23</v>
      </c>
      <c r="K489" s="201" t="e">
        <v>#N/A</v>
      </c>
      <c r="L489" s="205" t="s">
        <v>1968</v>
      </c>
      <c r="M489" s="201"/>
      <c r="P489" s="215" t="s">
        <v>651</v>
      </c>
      <c r="Q489" s="216" t="s">
        <v>673</v>
      </c>
      <c r="R489" s="216" t="s">
        <v>1542</v>
      </c>
    </row>
    <row r="490" spans="1:18" s="205" customFormat="1" x14ac:dyDescent="0.2">
      <c r="A490" s="205" t="s">
        <v>1969</v>
      </c>
      <c r="B490" s="205" t="s">
        <v>229</v>
      </c>
      <c r="C490" s="200">
        <v>45402</v>
      </c>
      <c r="D490" s="201" t="s">
        <v>152</v>
      </c>
      <c r="E490" s="206">
        <v>59699</v>
      </c>
      <c r="F490" s="206">
        <v>5970</v>
      </c>
      <c r="G490" s="206">
        <v>299</v>
      </c>
      <c r="H490" s="202">
        <f t="shared" si="7"/>
        <v>54028</v>
      </c>
      <c r="I490" s="205" t="s">
        <v>38</v>
      </c>
      <c r="J490" s="205" t="s">
        <v>23</v>
      </c>
      <c r="K490" s="201" t="s">
        <v>1028</v>
      </c>
      <c r="L490" s="205" t="s">
        <v>1970</v>
      </c>
      <c r="M490" s="201" t="s">
        <v>1030</v>
      </c>
      <c r="N490" s="205" t="s">
        <v>652</v>
      </c>
      <c r="O490" s="205" t="s">
        <v>652</v>
      </c>
      <c r="P490" s="207" t="s">
        <v>651</v>
      </c>
      <c r="Q490" s="208" t="s">
        <v>673</v>
      </c>
      <c r="R490" s="208" t="s">
        <v>1542</v>
      </c>
    </row>
    <row r="491" spans="1:18" s="205" customFormat="1" x14ac:dyDescent="0.2">
      <c r="A491" s="205" t="s">
        <v>164</v>
      </c>
      <c r="B491" s="205" t="s">
        <v>301</v>
      </c>
      <c r="C491" s="200">
        <v>45402</v>
      </c>
      <c r="D491" s="201" t="s">
        <v>152</v>
      </c>
      <c r="E491" s="206">
        <v>89695</v>
      </c>
      <c r="F491" s="206">
        <v>0</v>
      </c>
      <c r="G491" s="206">
        <v>0</v>
      </c>
      <c r="H491" s="202">
        <f t="shared" si="7"/>
        <v>89695</v>
      </c>
      <c r="I491" s="205" t="s">
        <v>25</v>
      </c>
      <c r="J491" s="205" t="s">
        <v>214</v>
      </c>
      <c r="K491" s="201" t="s">
        <v>1042</v>
      </c>
      <c r="L491" s="205" t="s">
        <v>1971</v>
      </c>
      <c r="M491" s="201" t="s">
        <v>1030</v>
      </c>
      <c r="N491" s="205" t="s">
        <v>652</v>
      </c>
      <c r="O491" s="205" t="s">
        <v>652</v>
      </c>
      <c r="P491" s="207" t="s">
        <v>491</v>
      </c>
      <c r="Q491" s="208" t="s">
        <v>884</v>
      </c>
      <c r="R491" s="208" t="s">
        <v>1542</v>
      </c>
    </row>
    <row r="492" spans="1:18" s="205" customFormat="1" x14ac:dyDescent="0.2">
      <c r="A492" s="205" t="s">
        <v>315</v>
      </c>
      <c r="B492" s="205" t="s">
        <v>316</v>
      </c>
      <c r="C492" s="200">
        <v>45402</v>
      </c>
      <c r="D492" s="201" t="s">
        <v>152</v>
      </c>
      <c r="E492" s="206">
        <v>3326</v>
      </c>
      <c r="F492" s="206">
        <v>0</v>
      </c>
      <c r="G492" s="206">
        <v>0</v>
      </c>
      <c r="H492" s="202">
        <f t="shared" si="7"/>
        <v>3326</v>
      </c>
      <c r="I492" s="205" t="s">
        <v>25</v>
      </c>
      <c r="J492" s="205" t="s">
        <v>214</v>
      </c>
      <c r="K492" s="201" t="s">
        <v>1042</v>
      </c>
      <c r="L492" s="205" t="s">
        <v>1972</v>
      </c>
      <c r="M492" s="201" t="s">
        <v>1973</v>
      </c>
      <c r="N492" s="205" t="s">
        <v>1295</v>
      </c>
      <c r="O492" s="205" t="s">
        <v>1061</v>
      </c>
      <c r="P492" s="207" t="s">
        <v>696</v>
      </c>
      <c r="Q492" s="208" t="s">
        <v>697</v>
      </c>
      <c r="R492" s="208" t="s">
        <v>1542</v>
      </c>
    </row>
    <row r="493" spans="1:18" s="205" customFormat="1" x14ac:dyDescent="0.2">
      <c r="A493" s="205" t="s">
        <v>225</v>
      </c>
      <c r="B493" s="205" t="s">
        <v>287</v>
      </c>
      <c r="C493" s="200">
        <v>45402</v>
      </c>
      <c r="D493" s="201" t="s">
        <v>152</v>
      </c>
      <c r="E493" s="206">
        <v>8906</v>
      </c>
      <c r="F493" s="206">
        <v>0</v>
      </c>
      <c r="G493" s="206">
        <v>0</v>
      </c>
      <c r="H493" s="202">
        <f t="shared" si="7"/>
        <v>8906</v>
      </c>
      <c r="I493" s="205" t="s">
        <v>25</v>
      </c>
      <c r="J493" s="205" t="s">
        <v>214</v>
      </c>
      <c r="K493" s="201" t="s">
        <v>1042</v>
      </c>
      <c r="L493" s="205" t="s">
        <v>1974</v>
      </c>
      <c r="M493" s="201" t="s">
        <v>1030</v>
      </c>
      <c r="N493" s="205" t="s">
        <v>652</v>
      </c>
      <c r="O493" s="205" t="s">
        <v>652</v>
      </c>
      <c r="P493" s="207" t="s">
        <v>724</v>
      </c>
      <c r="Q493" s="208" t="s">
        <v>725</v>
      </c>
      <c r="R493" s="208" t="s">
        <v>1542</v>
      </c>
    </row>
    <row r="494" spans="1:18" s="205" customFormat="1" x14ac:dyDescent="0.2">
      <c r="A494" s="205" t="s">
        <v>1975</v>
      </c>
      <c r="B494" s="205" t="s">
        <v>1976</v>
      </c>
      <c r="C494" s="200">
        <v>45404</v>
      </c>
      <c r="D494" s="201" t="s">
        <v>152</v>
      </c>
      <c r="E494" s="206">
        <v>47456</v>
      </c>
      <c r="F494" s="206">
        <v>4746</v>
      </c>
      <c r="G494" s="206">
        <v>475</v>
      </c>
      <c r="H494" s="202">
        <f t="shared" si="7"/>
        <v>43185</v>
      </c>
      <c r="I494" s="205" t="s">
        <v>523</v>
      </c>
      <c r="J494" s="205" t="s">
        <v>29</v>
      </c>
      <c r="K494" s="201" t="s">
        <v>1028</v>
      </c>
      <c r="L494" s="205" t="s">
        <v>1977</v>
      </c>
      <c r="M494" s="201" t="s">
        <v>1030</v>
      </c>
      <c r="N494" s="205" t="s">
        <v>652</v>
      </c>
      <c r="O494" s="205" t="s">
        <v>652</v>
      </c>
      <c r="P494" s="207" t="s">
        <v>1978</v>
      </c>
      <c r="Q494" s="208" t="s">
        <v>1979</v>
      </c>
      <c r="R494" s="208" t="s">
        <v>1980</v>
      </c>
    </row>
    <row r="495" spans="1:18" s="205" customFormat="1" x14ac:dyDescent="0.2">
      <c r="A495" s="205" t="s">
        <v>1981</v>
      </c>
      <c r="B495" s="205" t="s">
        <v>1982</v>
      </c>
      <c r="C495" s="200">
        <v>45404</v>
      </c>
      <c r="D495" s="201" t="s">
        <v>152</v>
      </c>
      <c r="E495" s="206">
        <v>92576</v>
      </c>
      <c r="F495" s="206">
        <v>9258</v>
      </c>
      <c r="G495" s="206">
        <v>926</v>
      </c>
      <c r="H495" s="202">
        <f t="shared" si="7"/>
        <v>84244</v>
      </c>
      <c r="I495" s="205" t="s">
        <v>1983</v>
      </c>
      <c r="J495" s="205" t="s">
        <v>29</v>
      </c>
      <c r="K495" s="201" t="s">
        <v>1058</v>
      </c>
      <c r="L495" s="205" t="s">
        <v>1984</v>
      </c>
      <c r="M495" s="201" t="s">
        <v>1072</v>
      </c>
      <c r="N495" s="205" t="s">
        <v>652</v>
      </c>
      <c r="O495" s="205" t="s">
        <v>652</v>
      </c>
      <c r="P495" s="207" t="s">
        <v>1407</v>
      </c>
      <c r="Q495" s="208" t="s">
        <v>1408</v>
      </c>
      <c r="R495" s="208" t="s">
        <v>1980</v>
      </c>
    </row>
    <row r="496" spans="1:18" s="205" customFormat="1" x14ac:dyDescent="0.2">
      <c r="A496" s="205" t="s">
        <v>1011</v>
      </c>
      <c r="B496" s="205" t="s">
        <v>1985</v>
      </c>
      <c r="C496" s="200">
        <v>45404</v>
      </c>
      <c r="D496" s="201" t="s">
        <v>152</v>
      </c>
      <c r="E496" s="206">
        <v>64831</v>
      </c>
      <c r="F496" s="206">
        <v>6483</v>
      </c>
      <c r="G496" s="206">
        <v>324</v>
      </c>
      <c r="H496" s="202">
        <f t="shared" si="7"/>
        <v>58672</v>
      </c>
      <c r="I496" s="205" t="s">
        <v>138</v>
      </c>
      <c r="J496" s="205" t="s">
        <v>23</v>
      </c>
      <c r="K496" s="201" t="s">
        <v>1028</v>
      </c>
      <c r="L496" s="205" t="s">
        <v>1986</v>
      </c>
      <c r="M496" s="201" t="s">
        <v>1072</v>
      </c>
      <c r="N496" s="205" t="s">
        <v>652</v>
      </c>
      <c r="O496" s="205" t="s">
        <v>652</v>
      </c>
      <c r="P496" s="207" t="s">
        <v>1086</v>
      </c>
      <c r="Q496" s="208" t="s">
        <v>1360</v>
      </c>
      <c r="R496" s="208" t="s">
        <v>1980</v>
      </c>
    </row>
    <row r="497" spans="1:18" s="205" customFormat="1" x14ac:dyDescent="0.2">
      <c r="A497" s="205" t="s">
        <v>1987</v>
      </c>
      <c r="B497" s="205" t="s">
        <v>1988</v>
      </c>
      <c r="C497" s="200">
        <v>45404</v>
      </c>
      <c r="D497" s="201" t="s">
        <v>152</v>
      </c>
      <c r="E497" s="206">
        <v>124244</v>
      </c>
      <c r="F497" s="206">
        <v>12424</v>
      </c>
      <c r="G497" s="206">
        <v>621</v>
      </c>
      <c r="H497" s="202">
        <f t="shared" si="7"/>
        <v>112441</v>
      </c>
      <c r="I497" s="205" t="s">
        <v>138</v>
      </c>
      <c r="J497" s="205" t="s">
        <v>23</v>
      </c>
      <c r="K497" s="201" t="s">
        <v>1028</v>
      </c>
      <c r="L497" s="205" t="s">
        <v>1989</v>
      </c>
      <c r="M497" s="201" t="s">
        <v>1072</v>
      </c>
      <c r="N497" s="205" t="s">
        <v>652</v>
      </c>
      <c r="O497" s="205" t="s">
        <v>652</v>
      </c>
      <c r="P497" s="207" t="s">
        <v>987</v>
      </c>
      <c r="Q497" s="208" t="s">
        <v>988</v>
      </c>
      <c r="R497" s="208" t="s">
        <v>1980</v>
      </c>
    </row>
    <row r="498" spans="1:18" s="205" customFormat="1" x14ac:dyDescent="0.2">
      <c r="A498" s="205" t="s">
        <v>1201</v>
      </c>
      <c r="B498" s="205" t="s">
        <v>1202</v>
      </c>
      <c r="C498" s="200">
        <v>45404</v>
      </c>
      <c r="D498" s="201" t="s">
        <v>152</v>
      </c>
      <c r="E498" s="206">
        <v>31813</v>
      </c>
      <c r="F498" s="206">
        <v>3181</v>
      </c>
      <c r="G498" s="206">
        <v>159</v>
      </c>
      <c r="H498" s="202">
        <f t="shared" si="7"/>
        <v>28791</v>
      </c>
      <c r="I498" s="205" t="s">
        <v>81</v>
      </c>
      <c r="J498" s="205" t="s">
        <v>23</v>
      </c>
      <c r="K498" s="201" t="s">
        <v>1042</v>
      </c>
      <c r="L498" s="205" t="s">
        <v>1990</v>
      </c>
      <c r="M498" s="201" t="s">
        <v>1030</v>
      </c>
      <c r="N498" s="205" t="s">
        <v>1204</v>
      </c>
      <c r="O498" s="205" t="s">
        <v>1115</v>
      </c>
      <c r="P498" s="207" t="s">
        <v>987</v>
      </c>
      <c r="Q498" s="208" t="s">
        <v>988</v>
      </c>
      <c r="R498" s="208" t="s">
        <v>1980</v>
      </c>
    </row>
    <row r="499" spans="1:18" s="205" customFormat="1" x14ac:dyDescent="0.2">
      <c r="A499" s="205" t="s">
        <v>122</v>
      </c>
      <c r="B499" s="205" t="s">
        <v>966</v>
      </c>
      <c r="C499" s="200">
        <v>45404</v>
      </c>
      <c r="D499" s="201" t="s">
        <v>152</v>
      </c>
      <c r="E499" s="206">
        <v>3378</v>
      </c>
      <c r="F499" s="206">
        <v>338</v>
      </c>
      <c r="G499" s="206">
        <v>17</v>
      </c>
      <c r="H499" s="202">
        <f t="shared" si="7"/>
        <v>3057</v>
      </c>
      <c r="I499" s="205" t="s">
        <v>22</v>
      </c>
      <c r="J499" s="205" t="s">
        <v>23</v>
      </c>
      <c r="K499" s="201" t="s">
        <v>1151</v>
      </c>
      <c r="L499" s="205" t="s">
        <v>1991</v>
      </c>
      <c r="M499" s="201" t="s">
        <v>1030</v>
      </c>
      <c r="N499" s="205" t="s">
        <v>652</v>
      </c>
      <c r="O499" s="205" t="s">
        <v>652</v>
      </c>
      <c r="P499" s="207" t="s">
        <v>786</v>
      </c>
      <c r="Q499" s="208" t="s">
        <v>962</v>
      </c>
      <c r="R499" s="208" t="s">
        <v>1980</v>
      </c>
    </row>
    <row r="500" spans="1:18" s="205" customFormat="1" x14ac:dyDescent="0.2">
      <c r="A500" s="205" t="s">
        <v>403</v>
      </c>
      <c r="B500" s="205" t="s">
        <v>1992</v>
      </c>
      <c r="C500" s="200">
        <v>45404</v>
      </c>
      <c r="D500" s="201" t="s">
        <v>152</v>
      </c>
      <c r="E500" s="206">
        <v>1318024</v>
      </c>
      <c r="F500" s="206">
        <v>131802</v>
      </c>
      <c r="G500" s="206">
        <v>6590</v>
      </c>
      <c r="H500" s="202">
        <f t="shared" si="7"/>
        <v>1192812</v>
      </c>
      <c r="I500" s="205" t="s">
        <v>52</v>
      </c>
      <c r="J500" s="205" t="s">
        <v>23</v>
      </c>
      <c r="K500" s="201" t="s">
        <v>1028</v>
      </c>
      <c r="L500" s="205" t="s">
        <v>1993</v>
      </c>
      <c r="M500" s="201" t="s">
        <v>1030</v>
      </c>
      <c r="N500" s="205" t="s">
        <v>1994</v>
      </c>
      <c r="O500" s="205" t="s">
        <v>1286</v>
      </c>
      <c r="P500" s="207" t="s">
        <v>987</v>
      </c>
      <c r="Q500" s="208" t="s">
        <v>988</v>
      </c>
      <c r="R500" s="208" t="s">
        <v>1980</v>
      </c>
    </row>
    <row r="501" spans="1:18" s="205" customFormat="1" x14ac:dyDescent="0.2">
      <c r="A501" s="205" t="s">
        <v>1995</v>
      </c>
      <c r="B501" s="205" t="s">
        <v>229</v>
      </c>
      <c r="C501" s="200">
        <v>45404</v>
      </c>
      <c r="D501" s="201" t="s">
        <v>152</v>
      </c>
      <c r="E501" s="206">
        <v>27213</v>
      </c>
      <c r="F501" s="206">
        <v>2721</v>
      </c>
      <c r="G501" s="206">
        <v>136</v>
      </c>
      <c r="H501" s="202">
        <f t="shared" si="7"/>
        <v>24628</v>
      </c>
      <c r="I501" s="205" t="s">
        <v>38</v>
      </c>
      <c r="J501" s="205" t="s">
        <v>23</v>
      </c>
      <c r="K501" s="201" t="s">
        <v>1028</v>
      </c>
      <c r="L501" s="205" t="s">
        <v>1996</v>
      </c>
      <c r="M501" s="201" t="s">
        <v>1030</v>
      </c>
      <c r="N501" s="205" t="s">
        <v>652</v>
      </c>
      <c r="O501" s="205" t="s">
        <v>652</v>
      </c>
      <c r="P501" s="207" t="s">
        <v>651</v>
      </c>
      <c r="Q501" s="208" t="s">
        <v>673</v>
      </c>
      <c r="R501" s="208" t="s">
        <v>1980</v>
      </c>
    </row>
    <row r="502" spans="1:18" s="205" customFormat="1" x14ac:dyDescent="0.2">
      <c r="A502" s="205" t="s">
        <v>397</v>
      </c>
      <c r="B502" s="205" t="s">
        <v>1997</v>
      </c>
      <c r="C502" s="200">
        <v>45404</v>
      </c>
      <c r="D502" s="201" t="s">
        <v>152</v>
      </c>
      <c r="E502" s="206">
        <v>3603289</v>
      </c>
      <c r="F502" s="206">
        <v>360329</v>
      </c>
      <c r="G502" s="206">
        <v>18016</v>
      </c>
      <c r="H502" s="202">
        <f t="shared" si="7"/>
        <v>3260976</v>
      </c>
      <c r="I502" s="205" t="s">
        <v>1998</v>
      </c>
      <c r="J502" s="205" t="s">
        <v>23</v>
      </c>
      <c r="K502" s="201" t="s">
        <v>1028</v>
      </c>
      <c r="L502" s="205" t="s">
        <v>1999</v>
      </c>
      <c r="M502" s="201" t="s">
        <v>1030</v>
      </c>
      <c r="N502" s="205" t="s">
        <v>1382</v>
      </c>
      <c r="O502" s="205" t="s">
        <v>1382</v>
      </c>
      <c r="P502" s="207" t="s">
        <v>1035</v>
      </c>
      <c r="Q502" s="208" t="s">
        <v>1036</v>
      </c>
      <c r="R502" s="208" t="s">
        <v>1980</v>
      </c>
    </row>
    <row r="503" spans="1:18" s="205" customFormat="1" x14ac:dyDescent="0.2">
      <c r="A503" s="205" t="s">
        <v>476</v>
      </c>
      <c r="B503" s="205" t="s">
        <v>573</v>
      </c>
      <c r="C503" s="200">
        <v>45404</v>
      </c>
      <c r="D503" s="199" t="s">
        <v>166</v>
      </c>
      <c r="E503" s="206">
        <v>-22707</v>
      </c>
      <c r="F503" s="206">
        <v>-2271</v>
      </c>
      <c r="G503" s="206">
        <v>-114</v>
      </c>
      <c r="H503" s="202">
        <f t="shared" si="7"/>
        <v>-20550</v>
      </c>
      <c r="I503" s="205" t="s">
        <v>138</v>
      </c>
      <c r="J503" s="205" t="s">
        <v>23</v>
      </c>
      <c r="K503" s="201" t="s">
        <v>1068</v>
      </c>
      <c r="L503" s="205" t="s">
        <v>2000</v>
      </c>
      <c r="M503" s="201" t="s">
        <v>1030</v>
      </c>
      <c r="N503" s="205" t="s">
        <v>652</v>
      </c>
      <c r="O503" s="205" t="s">
        <v>652</v>
      </c>
      <c r="P503" s="207" t="s">
        <v>653</v>
      </c>
      <c r="Q503" s="208" t="s">
        <v>654</v>
      </c>
      <c r="R503" s="208" t="s">
        <v>1980</v>
      </c>
    </row>
    <row r="504" spans="1:18" s="205" customFormat="1" x14ac:dyDescent="0.2">
      <c r="A504" s="205" t="s">
        <v>2001</v>
      </c>
      <c r="B504" s="205" t="s">
        <v>227</v>
      </c>
      <c r="C504" s="200">
        <v>45405</v>
      </c>
      <c r="D504" s="201" t="s">
        <v>152</v>
      </c>
      <c r="E504" s="206">
        <v>45487</v>
      </c>
      <c r="F504" s="206">
        <v>4549</v>
      </c>
      <c r="G504" s="206">
        <v>455</v>
      </c>
      <c r="H504" s="202">
        <f t="shared" si="7"/>
        <v>41393</v>
      </c>
      <c r="I504" s="205" t="s">
        <v>31</v>
      </c>
      <c r="J504" s="205" t="s">
        <v>29</v>
      </c>
      <c r="K504" s="201" t="s">
        <v>1028</v>
      </c>
      <c r="L504" s="205" t="s">
        <v>2002</v>
      </c>
      <c r="M504" s="201" t="s">
        <v>1030</v>
      </c>
      <c r="N504" s="205" t="s">
        <v>652</v>
      </c>
      <c r="O504" s="205" t="s">
        <v>652</v>
      </c>
      <c r="P504" s="207" t="s">
        <v>651</v>
      </c>
      <c r="Q504" s="208" t="s">
        <v>673</v>
      </c>
      <c r="R504" s="208" t="s">
        <v>2003</v>
      </c>
    </row>
    <row r="505" spans="1:18" s="205" customFormat="1" x14ac:dyDescent="0.2">
      <c r="A505" s="205" t="s">
        <v>2004</v>
      </c>
      <c r="B505" s="205" t="s">
        <v>227</v>
      </c>
      <c r="C505" s="200">
        <v>45405</v>
      </c>
      <c r="D505" s="201" t="s">
        <v>152</v>
      </c>
      <c r="E505" s="206">
        <v>45487</v>
      </c>
      <c r="F505" s="206">
        <v>4549</v>
      </c>
      <c r="G505" s="206">
        <v>455</v>
      </c>
      <c r="H505" s="202">
        <f t="shared" si="7"/>
        <v>41393</v>
      </c>
      <c r="I505" s="205" t="s">
        <v>31</v>
      </c>
      <c r="J505" s="205" t="s">
        <v>29</v>
      </c>
      <c r="K505" s="201" t="s">
        <v>1028</v>
      </c>
      <c r="L505" s="205" t="s">
        <v>2005</v>
      </c>
      <c r="M505" s="201" t="s">
        <v>1030</v>
      </c>
      <c r="N505" s="205" t="s">
        <v>652</v>
      </c>
      <c r="O505" s="205" t="s">
        <v>652</v>
      </c>
      <c r="P505" s="207" t="s">
        <v>651</v>
      </c>
      <c r="Q505" s="208" t="s">
        <v>673</v>
      </c>
      <c r="R505" s="208" t="s">
        <v>2003</v>
      </c>
    </row>
    <row r="506" spans="1:18" s="205" customFormat="1" x14ac:dyDescent="0.2">
      <c r="A506" s="205" t="s">
        <v>2006</v>
      </c>
      <c r="B506" s="205" t="s">
        <v>227</v>
      </c>
      <c r="C506" s="200">
        <v>45405</v>
      </c>
      <c r="D506" s="201" t="s">
        <v>152</v>
      </c>
      <c r="E506" s="206">
        <v>40096</v>
      </c>
      <c r="F506" s="206">
        <v>4010</v>
      </c>
      <c r="G506" s="206">
        <v>401</v>
      </c>
      <c r="H506" s="202">
        <f t="shared" si="7"/>
        <v>36487</v>
      </c>
      <c r="I506" s="205" t="s">
        <v>31</v>
      </c>
      <c r="J506" s="205" t="s">
        <v>29</v>
      </c>
      <c r="K506" s="201" t="s">
        <v>1028</v>
      </c>
      <c r="L506" s="205" t="s">
        <v>2007</v>
      </c>
      <c r="M506" s="201" t="s">
        <v>1030</v>
      </c>
      <c r="N506" s="205" t="s">
        <v>652</v>
      </c>
      <c r="O506" s="205" t="s">
        <v>652</v>
      </c>
      <c r="P506" s="207" t="s">
        <v>651</v>
      </c>
      <c r="Q506" s="208" t="s">
        <v>673</v>
      </c>
      <c r="R506" s="208" t="s">
        <v>2003</v>
      </c>
    </row>
    <row r="507" spans="1:18" s="205" customFormat="1" x14ac:dyDescent="0.2">
      <c r="A507" s="205" t="s">
        <v>2008</v>
      </c>
      <c r="B507" s="205" t="s">
        <v>227</v>
      </c>
      <c r="C507" s="200">
        <v>45405</v>
      </c>
      <c r="D507" s="201" t="s">
        <v>152</v>
      </c>
      <c r="E507" s="206">
        <v>33694</v>
      </c>
      <c r="F507" s="206">
        <v>3369</v>
      </c>
      <c r="G507" s="206">
        <v>337</v>
      </c>
      <c r="H507" s="202">
        <f t="shared" si="7"/>
        <v>30662</v>
      </c>
      <c r="I507" s="205" t="s">
        <v>31</v>
      </c>
      <c r="J507" s="205" t="s">
        <v>29</v>
      </c>
      <c r="K507" s="201" t="s">
        <v>1028</v>
      </c>
      <c r="L507" s="205" t="s">
        <v>2009</v>
      </c>
      <c r="M507" s="201" t="s">
        <v>1030</v>
      </c>
      <c r="N507" s="205" t="s">
        <v>652</v>
      </c>
      <c r="O507" s="205" t="s">
        <v>652</v>
      </c>
      <c r="P507" s="207" t="s">
        <v>651</v>
      </c>
      <c r="Q507" s="208" t="s">
        <v>673</v>
      </c>
      <c r="R507" s="208" t="s">
        <v>2003</v>
      </c>
    </row>
    <row r="508" spans="1:18" s="205" customFormat="1" x14ac:dyDescent="0.2">
      <c r="A508" s="205" t="s">
        <v>2010</v>
      </c>
      <c r="B508" s="205" t="s">
        <v>120</v>
      </c>
      <c r="C508" s="200">
        <v>45405</v>
      </c>
      <c r="D508" s="201" t="s">
        <v>152</v>
      </c>
      <c r="E508" s="206">
        <v>51743</v>
      </c>
      <c r="F508" s="206">
        <v>5174</v>
      </c>
      <c r="G508" s="206">
        <v>517</v>
      </c>
      <c r="H508" s="202">
        <f t="shared" si="7"/>
        <v>47086</v>
      </c>
      <c r="I508" s="205" t="s">
        <v>31</v>
      </c>
      <c r="J508" s="205" t="s">
        <v>29</v>
      </c>
      <c r="K508" s="201" t="s">
        <v>1028</v>
      </c>
      <c r="L508" s="205" t="s">
        <v>2011</v>
      </c>
      <c r="M508" s="201" t="s">
        <v>1030</v>
      </c>
      <c r="N508" s="205" t="s">
        <v>652</v>
      </c>
      <c r="O508" s="205" t="s">
        <v>652</v>
      </c>
      <c r="P508" s="207" t="s">
        <v>987</v>
      </c>
      <c r="Q508" s="208" t="s">
        <v>988</v>
      </c>
      <c r="R508" s="208" t="s">
        <v>2003</v>
      </c>
    </row>
    <row r="509" spans="1:18" s="205" customFormat="1" x14ac:dyDescent="0.2">
      <c r="A509" s="205" t="s">
        <v>2012</v>
      </c>
      <c r="B509" s="205" t="s">
        <v>120</v>
      </c>
      <c r="C509" s="200">
        <v>45405</v>
      </c>
      <c r="D509" s="201" t="s">
        <v>152</v>
      </c>
      <c r="E509" s="206">
        <v>51743</v>
      </c>
      <c r="F509" s="206">
        <v>5174</v>
      </c>
      <c r="G509" s="206">
        <v>517</v>
      </c>
      <c r="H509" s="202">
        <f t="shared" si="7"/>
        <v>47086</v>
      </c>
      <c r="I509" s="205" t="s">
        <v>31</v>
      </c>
      <c r="J509" s="205" t="s">
        <v>29</v>
      </c>
      <c r="K509" s="201" t="s">
        <v>1028</v>
      </c>
      <c r="L509" s="205" t="s">
        <v>2013</v>
      </c>
      <c r="M509" s="201" t="s">
        <v>1030</v>
      </c>
      <c r="N509" s="205" t="s">
        <v>652</v>
      </c>
      <c r="O509" s="205" t="s">
        <v>652</v>
      </c>
      <c r="P509" s="207" t="s">
        <v>726</v>
      </c>
      <c r="Q509" s="208" t="s">
        <v>727</v>
      </c>
      <c r="R509" s="208" t="s">
        <v>2003</v>
      </c>
    </row>
    <row r="510" spans="1:18" s="205" customFormat="1" x14ac:dyDescent="0.2">
      <c r="A510" s="205" t="s">
        <v>2014</v>
      </c>
      <c r="B510" s="205" t="s">
        <v>120</v>
      </c>
      <c r="C510" s="200">
        <v>45405</v>
      </c>
      <c r="D510" s="201" t="s">
        <v>152</v>
      </c>
      <c r="E510" s="206">
        <v>69853</v>
      </c>
      <c r="F510" s="206">
        <v>6985</v>
      </c>
      <c r="G510" s="206">
        <v>699</v>
      </c>
      <c r="H510" s="202">
        <f t="shared" si="7"/>
        <v>63567</v>
      </c>
      <c r="I510" s="205" t="s">
        <v>31</v>
      </c>
      <c r="J510" s="205" t="s">
        <v>29</v>
      </c>
      <c r="K510" s="201" t="s">
        <v>1028</v>
      </c>
      <c r="L510" s="205" t="s">
        <v>2015</v>
      </c>
      <c r="M510" s="201" t="s">
        <v>1030</v>
      </c>
      <c r="N510" s="205" t="s">
        <v>652</v>
      </c>
      <c r="O510" s="205" t="s">
        <v>652</v>
      </c>
      <c r="P510" s="207" t="s">
        <v>987</v>
      </c>
      <c r="Q510" s="208" t="s">
        <v>988</v>
      </c>
      <c r="R510" s="216" t="s">
        <v>2003</v>
      </c>
    </row>
    <row r="511" spans="1:18" s="205" customFormat="1" x14ac:dyDescent="0.2">
      <c r="A511" s="205" t="s">
        <v>2016</v>
      </c>
      <c r="B511" s="205" t="s">
        <v>120</v>
      </c>
      <c r="C511" s="200">
        <v>45405</v>
      </c>
      <c r="D511" s="201" t="s">
        <v>152</v>
      </c>
      <c r="E511" s="206">
        <v>38699</v>
      </c>
      <c r="F511" s="206">
        <v>3870</v>
      </c>
      <c r="G511" s="206">
        <v>387</v>
      </c>
      <c r="H511" s="202">
        <f t="shared" si="7"/>
        <v>35216</v>
      </c>
      <c r="I511" s="205" t="s">
        <v>31</v>
      </c>
      <c r="J511" s="205" t="s">
        <v>29</v>
      </c>
      <c r="K511" s="201" t="s">
        <v>1028</v>
      </c>
      <c r="L511" s="205" t="s">
        <v>2017</v>
      </c>
      <c r="M511" s="201" t="s">
        <v>1030</v>
      </c>
      <c r="N511" s="205" t="s">
        <v>652</v>
      </c>
      <c r="O511" s="205" t="s">
        <v>652</v>
      </c>
      <c r="P511" s="207" t="s">
        <v>987</v>
      </c>
      <c r="Q511" s="208" t="s">
        <v>988</v>
      </c>
      <c r="R511" s="208" t="s">
        <v>2003</v>
      </c>
    </row>
    <row r="512" spans="1:18" s="205" customFormat="1" x14ac:dyDescent="0.2">
      <c r="A512" s="205" t="s">
        <v>2018</v>
      </c>
      <c r="B512" s="205" t="s">
        <v>120</v>
      </c>
      <c r="C512" s="200">
        <v>45405</v>
      </c>
      <c r="D512" s="201" t="s">
        <v>152</v>
      </c>
      <c r="E512" s="206">
        <v>168727</v>
      </c>
      <c r="F512" s="206">
        <v>16873</v>
      </c>
      <c r="G512" s="206">
        <v>1687</v>
      </c>
      <c r="H512" s="202">
        <f t="shared" si="7"/>
        <v>153541</v>
      </c>
      <c r="I512" s="205" t="s">
        <v>31</v>
      </c>
      <c r="J512" s="205" t="s">
        <v>29</v>
      </c>
      <c r="K512" s="201" t="s">
        <v>1028</v>
      </c>
      <c r="L512" s="205" t="s">
        <v>2019</v>
      </c>
      <c r="M512" s="201" t="s">
        <v>1030</v>
      </c>
      <c r="N512" s="205" t="s">
        <v>652</v>
      </c>
      <c r="O512" s="205" t="s">
        <v>652</v>
      </c>
      <c r="P512" s="207" t="s">
        <v>987</v>
      </c>
      <c r="Q512" s="208" t="s">
        <v>988</v>
      </c>
      <c r="R512" s="208" t="s">
        <v>2003</v>
      </c>
    </row>
    <row r="513" spans="1:18" s="205" customFormat="1" x14ac:dyDescent="0.2">
      <c r="A513" s="205" t="s">
        <v>2020</v>
      </c>
      <c r="B513" s="205" t="s">
        <v>120</v>
      </c>
      <c r="C513" s="200">
        <v>45405</v>
      </c>
      <c r="D513" s="201" t="s">
        <v>152</v>
      </c>
      <c r="E513" s="206">
        <v>38699</v>
      </c>
      <c r="F513" s="206">
        <v>3870</v>
      </c>
      <c r="G513" s="206">
        <v>387</v>
      </c>
      <c r="H513" s="202">
        <f t="shared" si="7"/>
        <v>35216</v>
      </c>
      <c r="I513" s="205" t="s">
        <v>31</v>
      </c>
      <c r="J513" s="205" t="s">
        <v>29</v>
      </c>
      <c r="K513" s="201" t="s">
        <v>1028</v>
      </c>
      <c r="L513" s="205" t="s">
        <v>2021</v>
      </c>
      <c r="M513" s="201" t="s">
        <v>1030</v>
      </c>
      <c r="N513" s="205" t="s">
        <v>652</v>
      </c>
      <c r="O513" s="205" t="s">
        <v>652</v>
      </c>
      <c r="P513" s="207" t="s">
        <v>987</v>
      </c>
      <c r="Q513" s="208" t="s">
        <v>988</v>
      </c>
      <c r="R513" s="208" t="s">
        <v>2003</v>
      </c>
    </row>
    <row r="514" spans="1:18" s="205" customFormat="1" x14ac:dyDescent="0.2">
      <c r="A514" s="205" t="s">
        <v>2022</v>
      </c>
      <c r="B514" s="205" t="s">
        <v>120</v>
      </c>
      <c r="C514" s="200">
        <v>45405</v>
      </c>
      <c r="D514" s="201" t="s">
        <v>152</v>
      </c>
      <c r="E514" s="206">
        <v>31983</v>
      </c>
      <c r="F514" s="206">
        <v>3198</v>
      </c>
      <c r="G514" s="206">
        <v>320</v>
      </c>
      <c r="H514" s="202">
        <f t="shared" ref="H514:H577" si="8">E514+G514-F514</f>
        <v>29105</v>
      </c>
      <c r="I514" s="205" t="s">
        <v>31</v>
      </c>
      <c r="J514" s="205" t="s">
        <v>29</v>
      </c>
      <c r="K514" s="201" t="s">
        <v>1028</v>
      </c>
      <c r="L514" s="205" t="s">
        <v>2023</v>
      </c>
      <c r="M514" s="201" t="s">
        <v>1030</v>
      </c>
      <c r="N514" s="205" t="s">
        <v>652</v>
      </c>
      <c r="O514" s="205" t="s">
        <v>652</v>
      </c>
      <c r="P514" s="207" t="s">
        <v>987</v>
      </c>
      <c r="Q514" s="208" t="s">
        <v>988</v>
      </c>
      <c r="R514" s="208" t="s">
        <v>2003</v>
      </c>
    </row>
    <row r="515" spans="1:18" s="205" customFormat="1" x14ac:dyDescent="0.2">
      <c r="A515" s="205" t="s">
        <v>2024</v>
      </c>
      <c r="B515" s="205" t="s">
        <v>120</v>
      </c>
      <c r="C515" s="200">
        <v>45405</v>
      </c>
      <c r="D515" s="201" t="s">
        <v>152</v>
      </c>
      <c r="E515" s="206">
        <v>40628</v>
      </c>
      <c r="F515" s="206">
        <v>4063</v>
      </c>
      <c r="G515" s="206">
        <v>406</v>
      </c>
      <c r="H515" s="202">
        <f t="shared" si="8"/>
        <v>36971</v>
      </c>
      <c r="I515" s="205" t="s">
        <v>31</v>
      </c>
      <c r="J515" s="205" t="s">
        <v>29</v>
      </c>
      <c r="K515" s="201" t="s">
        <v>1028</v>
      </c>
      <c r="L515" s="205" t="s">
        <v>2025</v>
      </c>
      <c r="M515" s="201" t="s">
        <v>1030</v>
      </c>
      <c r="N515" s="205" t="s">
        <v>652</v>
      </c>
      <c r="O515" s="205" t="s">
        <v>652</v>
      </c>
      <c r="P515" s="207" t="s">
        <v>987</v>
      </c>
      <c r="Q515" s="208" t="s">
        <v>988</v>
      </c>
      <c r="R515" s="208" t="s">
        <v>2003</v>
      </c>
    </row>
    <row r="516" spans="1:18" s="205" customFormat="1" x14ac:dyDescent="0.2">
      <c r="A516" s="205" t="s">
        <v>2026</v>
      </c>
      <c r="B516" s="205" t="s">
        <v>120</v>
      </c>
      <c r="C516" s="200">
        <v>45405</v>
      </c>
      <c r="D516" s="201" t="s">
        <v>152</v>
      </c>
      <c r="E516" s="206">
        <v>30095</v>
      </c>
      <c r="F516" s="206">
        <v>3010</v>
      </c>
      <c r="G516" s="206">
        <v>301</v>
      </c>
      <c r="H516" s="202">
        <f t="shared" si="8"/>
        <v>27386</v>
      </c>
      <c r="I516" s="205" t="s">
        <v>31</v>
      </c>
      <c r="J516" s="205" t="s">
        <v>29</v>
      </c>
      <c r="K516" s="201" t="s">
        <v>1028</v>
      </c>
      <c r="L516" s="205" t="s">
        <v>2027</v>
      </c>
      <c r="M516" s="201" t="s">
        <v>1030</v>
      </c>
      <c r="N516" s="205" t="s">
        <v>652</v>
      </c>
      <c r="O516" s="205" t="s">
        <v>652</v>
      </c>
      <c r="P516" s="207" t="s">
        <v>987</v>
      </c>
      <c r="Q516" s="208" t="s">
        <v>988</v>
      </c>
      <c r="R516" s="208" t="s">
        <v>2003</v>
      </c>
    </row>
    <row r="517" spans="1:18" s="205" customFormat="1" x14ac:dyDescent="0.2">
      <c r="A517" s="205" t="s">
        <v>2028</v>
      </c>
      <c r="B517" s="205" t="s">
        <v>120</v>
      </c>
      <c r="C517" s="200">
        <v>45405</v>
      </c>
      <c r="D517" s="201" t="s">
        <v>152</v>
      </c>
      <c r="E517" s="206">
        <v>84195</v>
      </c>
      <c r="F517" s="206">
        <v>8420</v>
      </c>
      <c r="G517" s="206">
        <v>842</v>
      </c>
      <c r="H517" s="202">
        <f t="shared" si="8"/>
        <v>76617</v>
      </c>
      <c r="I517" s="205" t="s">
        <v>31</v>
      </c>
      <c r="J517" s="205" t="s">
        <v>29</v>
      </c>
      <c r="K517" s="201" t="s">
        <v>1058</v>
      </c>
      <c r="L517" s="205" t="s">
        <v>2029</v>
      </c>
      <c r="M517" s="201" t="s">
        <v>1030</v>
      </c>
      <c r="N517" s="205" t="s">
        <v>652</v>
      </c>
      <c r="O517" s="205" t="s">
        <v>652</v>
      </c>
      <c r="P517" s="207" t="s">
        <v>987</v>
      </c>
      <c r="Q517" s="208" t="s">
        <v>988</v>
      </c>
      <c r="R517" s="208" t="s">
        <v>2003</v>
      </c>
    </row>
    <row r="518" spans="1:18" s="205" customFormat="1" x14ac:dyDescent="0.2">
      <c r="A518" s="205" t="s">
        <v>2030</v>
      </c>
      <c r="B518" s="205" t="s">
        <v>120</v>
      </c>
      <c r="C518" s="200">
        <v>45405</v>
      </c>
      <c r="D518" s="201" t="s">
        <v>152</v>
      </c>
      <c r="E518" s="206">
        <v>52243</v>
      </c>
      <c r="F518" s="206">
        <v>5224</v>
      </c>
      <c r="G518" s="206">
        <v>522</v>
      </c>
      <c r="H518" s="202">
        <f t="shared" si="8"/>
        <v>47541</v>
      </c>
      <c r="I518" s="205" t="s">
        <v>31</v>
      </c>
      <c r="J518" s="205" t="s">
        <v>29</v>
      </c>
      <c r="K518" s="201" t="s">
        <v>1058</v>
      </c>
      <c r="L518" s="205" t="s">
        <v>2031</v>
      </c>
      <c r="M518" s="201" t="s">
        <v>1030</v>
      </c>
      <c r="N518" s="205" t="s">
        <v>652</v>
      </c>
      <c r="O518" s="205" t="s">
        <v>652</v>
      </c>
      <c r="P518" s="207" t="s">
        <v>987</v>
      </c>
      <c r="Q518" s="208" t="s">
        <v>988</v>
      </c>
      <c r="R518" s="208" t="s">
        <v>2003</v>
      </c>
    </row>
    <row r="519" spans="1:18" s="205" customFormat="1" x14ac:dyDescent="0.2">
      <c r="A519" s="205" t="s">
        <v>2032</v>
      </c>
      <c r="B519" s="205" t="s">
        <v>120</v>
      </c>
      <c r="C519" s="200">
        <v>45405</v>
      </c>
      <c r="D519" s="201" t="s">
        <v>152</v>
      </c>
      <c r="E519" s="206">
        <v>65845</v>
      </c>
      <c r="F519" s="206">
        <v>6585</v>
      </c>
      <c r="G519" s="206">
        <v>658</v>
      </c>
      <c r="H519" s="202">
        <f t="shared" si="8"/>
        <v>59918</v>
      </c>
      <c r="I519" s="205" t="s">
        <v>31</v>
      </c>
      <c r="J519" s="205" t="s">
        <v>29</v>
      </c>
      <c r="K519" s="201" t="s">
        <v>1058</v>
      </c>
      <c r="L519" s="205" t="s">
        <v>2033</v>
      </c>
      <c r="M519" s="201" t="s">
        <v>1030</v>
      </c>
      <c r="N519" s="205" t="s">
        <v>652</v>
      </c>
      <c r="O519" s="205" t="s">
        <v>652</v>
      </c>
      <c r="P519" s="207" t="s">
        <v>987</v>
      </c>
      <c r="Q519" s="208" t="s">
        <v>988</v>
      </c>
      <c r="R519" s="208" t="s">
        <v>2003</v>
      </c>
    </row>
    <row r="520" spans="1:18" s="205" customFormat="1" x14ac:dyDescent="0.2">
      <c r="A520" s="205" t="s">
        <v>2034</v>
      </c>
      <c r="B520" s="205" t="s">
        <v>2035</v>
      </c>
      <c r="C520" s="200">
        <v>45405</v>
      </c>
      <c r="D520" s="201" t="s">
        <v>152</v>
      </c>
      <c r="E520" s="206">
        <v>951018</v>
      </c>
      <c r="F520" s="206">
        <v>95102</v>
      </c>
      <c r="G520" s="206">
        <v>9510</v>
      </c>
      <c r="H520" s="202">
        <f t="shared" si="8"/>
        <v>865426</v>
      </c>
      <c r="I520" s="205" t="s">
        <v>31</v>
      </c>
      <c r="J520" s="205" t="s">
        <v>29</v>
      </c>
      <c r="K520" s="201" t="s">
        <v>1058</v>
      </c>
      <c r="L520" s="205" t="s">
        <v>2036</v>
      </c>
      <c r="M520" s="201" t="s">
        <v>1030</v>
      </c>
      <c r="N520" s="205" t="s">
        <v>652</v>
      </c>
      <c r="O520" s="205" t="s">
        <v>652</v>
      </c>
      <c r="P520" s="207" t="s">
        <v>1475</v>
      </c>
      <c r="Q520" s="208" t="s">
        <v>2037</v>
      </c>
      <c r="R520" s="208" t="s">
        <v>2003</v>
      </c>
    </row>
    <row r="521" spans="1:18" s="205" customFormat="1" x14ac:dyDescent="0.2">
      <c r="A521" s="205" t="s">
        <v>2038</v>
      </c>
      <c r="B521" s="205" t="s">
        <v>2039</v>
      </c>
      <c r="C521" s="200">
        <v>45405</v>
      </c>
      <c r="D521" s="201" t="s">
        <v>152</v>
      </c>
      <c r="E521" s="206">
        <v>57345</v>
      </c>
      <c r="F521" s="206">
        <v>5735</v>
      </c>
      <c r="G521" s="206">
        <v>574</v>
      </c>
      <c r="H521" s="202">
        <f t="shared" si="8"/>
        <v>52184</v>
      </c>
      <c r="I521" s="205" t="s">
        <v>571</v>
      </c>
      <c r="J521" s="205" t="s">
        <v>29</v>
      </c>
      <c r="K521" s="201" t="s">
        <v>1058</v>
      </c>
      <c r="L521" s="205" t="s">
        <v>2040</v>
      </c>
      <c r="M521" s="201" t="s">
        <v>2041</v>
      </c>
      <c r="N521" s="205" t="s">
        <v>652</v>
      </c>
      <c r="O521" s="205" t="s">
        <v>652</v>
      </c>
      <c r="P521" s="207" t="s">
        <v>866</v>
      </c>
      <c r="Q521" s="208" t="s">
        <v>986</v>
      </c>
      <c r="R521" s="208" t="s">
        <v>2003</v>
      </c>
    </row>
    <row r="522" spans="1:18" s="205" customFormat="1" x14ac:dyDescent="0.2">
      <c r="A522" s="205" t="s">
        <v>457</v>
      </c>
      <c r="B522" s="205" t="s">
        <v>2042</v>
      </c>
      <c r="C522" s="200">
        <v>45405</v>
      </c>
      <c r="D522" s="201" t="s">
        <v>152</v>
      </c>
      <c r="E522" s="206">
        <v>1671055</v>
      </c>
      <c r="F522" s="206">
        <v>167106</v>
      </c>
      <c r="G522" s="206">
        <v>8355</v>
      </c>
      <c r="H522" s="202">
        <f t="shared" si="8"/>
        <v>1512304</v>
      </c>
      <c r="I522" s="205" t="s">
        <v>22</v>
      </c>
      <c r="J522" s="205" t="s">
        <v>23</v>
      </c>
      <c r="K522" s="201" t="s">
        <v>1028</v>
      </c>
      <c r="L522" s="205" t="s">
        <v>2043</v>
      </c>
      <c r="M522" s="201" t="s">
        <v>1030</v>
      </c>
      <c r="N522" s="205" t="s">
        <v>652</v>
      </c>
      <c r="O522" s="205" t="s">
        <v>652</v>
      </c>
      <c r="P522" s="207" t="s">
        <v>992</v>
      </c>
      <c r="Q522" s="208" t="s">
        <v>993</v>
      </c>
      <c r="R522" s="208" t="s">
        <v>2003</v>
      </c>
    </row>
    <row r="523" spans="1:18" s="205" customFormat="1" x14ac:dyDescent="0.2">
      <c r="A523" s="205" t="s">
        <v>465</v>
      </c>
      <c r="B523" s="205" t="s">
        <v>2044</v>
      </c>
      <c r="C523" s="200">
        <v>45405</v>
      </c>
      <c r="D523" s="201" t="s">
        <v>152</v>
      </c>
      <c r="E523" s="206">
        <v>707840</v>
      </c>
      <c r="F523" s="206">
        <v>70784</v>
      </c>
      <c r="G523" s="206">
        <v>3539</v>
      </c>
      <c r="H523" s="202">
        <f t="shared" si="8"/>
        <v>640595</v>
      </c>
      <c r="I523" s="205" t="s">
        <v>774</v>
      </c>
      <c r="J523" s="205" t="s">
        <v>23</v>
      </c>
      <c r="K523" s="201" t="s">
        <v>1028</v>
      </c>
      <c r="L523" s="205" t="s">
        <v>2045</v>
      </c>
      <c r="M523" s="201" t="s">
        <v>1030</v>
      </c>
      <c r="N523" s="205" t="s">
        <v>652</v>
      </c>
      <c r="O523" s="205" t="s">
        <v>652</v>
      </c>
      <c r="P523" s="207" t="s">
        <v>1980</v>
      </c>
      <c r="Q523" s="208" t="s">
        <v>2046</v>
      </c>
      <c r="R523" s="208" t="s">
        <v>2003</v>
      </c>
    </row>
    <row r="524" spans="1:18" s="205" customFormat="1" x14ac:dyDescent="0.2">
      <c r="A524" s="205" t="s">
        <v>2047</v>
      </c>
      <c r="B524" s="205" t="s">
        <v>2048</v>
      </c>
      <c r="C524" s="200">
        <v>45405</v>
      </c>
      <c r="D524" s="201" t="s">
        <v>152</v>
      </c>
      <c r="E524" s="206">
        <v>1944692</v>
      </c>
      <c r="F524" s="206">
        <v>194469</v>
      </c>
      <c r="G524" s="206">
        <v>9723</v>
      </c>
      <c r="H524" s="202">
        <f t="shared" si="8"/>
        <v>1759946</v>
      </c>
      <c r="I524" s="205" t="s">
        <v>52</v>
      </c>
      <c r="J524" s="205" t="s">
        <v>23</v>
      </c>
      <c r="K524" s="201" t="s">
        <v>1058</v>
      </c>
      <c r="L524" s="205" t="s">
        <v>2049</v>
      </c>
      <c r="M524" s="201" t="s">
        <v>1030</v>
      </c>
      <c r="N524" s="205" t="s">
        <v>2050</v>
      </c>
      <c r="O524" s="205" t="s">
        <v>1115</v>
      </c>
      <c r="P524" s="207" t="s">
        <v>992</v>
      </c>
      <c r="Q524" s="208" t="s">
        <v>993</v>
      </c>
      <c r="R524" s="208" t="s">
        <v>2003</v>
      </c>
    </row>
    <row r="525" spans="1:18" s="205" customFormat="1" x14ac:dyDescent="0.2">
      <c r="A525" s="205" t="s">
        <v>1670</v>
      </c>
      <c r="B525" s="205" t="s">
        <v>246</v>
      </c>
      <c r="C525" s="200">
        <v>45405</v>
      </c>
      <c r="D525" s="201" t="s">
        <v>152</v>
      </c>
      <c r="E525" s="206">
        <v>31332</v>
      </c>
      <c r="F525" s="206">
        <v>3133</v>
      </c>
      <c r="G525" s="206">
        <v>157</v>
      </c>
      <c r="H525" s="202">
        <f t="shared" si="8"/>
        <v>28356</v>
      </c>
      <c r="I525" s="205" t="s">
        <v>193</v>
      </c>
      <c r="J525" s="205" t="s">
        <v>23</v>
      </c>
      <c r="K525" s="201" t="s">
        <v>1042</v>
      </c>
      <c r="L525" s="205" t="s">
        <v>2051</v>
      </c>
      <c r="M525" s="201" t="s">
        <v>1030</v>
      </c>
      <c r="N525" s="205" t="s">
        <v>652</v>
      </c>
      <c r="O525" s="205" t="s">
        <v>652</v>
      </c>
      <c r="P525" s="207" t="s">
        <v>987</v>
      </c>
      <c r="Q525" s="208" t="s">
        <v>988</v>
      </c>
      <c r="R525" s="208" t="s">
        <v>2003</v>
      </c>
    </row>
    <row r="526" spans="1:18" s="205" customFormat="1" x14ac:dyDescent="0.2">
      <c r="A526" s="205" t="s">
        <v>261</v>
      </c>
      <c r="B526" s="205" t="s">
        <v>2052</v>
      </c>
      <c r="C526" s="200">
        <v>45405</v>
      </c>
      <c r="D526" s="201" t="s">
        <v>152</v>
      </c>
      <c r="E526" s="206">
        <v>1511600</v>
      </c>
      <c r="F526" s="206">
        <v>0</v>
      </c>
      <c r="G526" s="206">
        <v>0</v>
      </c>
      <c r="H526" s="202">
        <f t="shared" si="8"/>
        <v>1511600</v>
      </c>
      <c r="I526" s="205" t="s">
        <v>25</v>
      </c>
      <c r="J526" s="205" t="s">
        <v>214</v>
      </c>
      <c r="K526" s="201" t="s">
        <v>1028</v>
      </c>
      <c r="L526" s="205" t="s">
        <v>2053</v>
      </c>
      <c r="M526" s="201" t="s">
        <v>1030</v>
      </c>
      <c r="N526" s="205" t="s">
        <v>652</v>
      </c>
      <c r="O526" s="205" t="s">
        <v>652</v>
      </c>
      <c r="P526" s="207" t="s">
        <v>2054</v>
      </c>
      <c r="Q526" s="208" t="s">
        <v>2055</v>
      </c>
      <c r="R526" s="208" t="s">
        <v>2003</v>
      </c>
    </row>
    <row r="527" spans="1:18" s="205" customFormat="1" x14ac:dyDescent="0.2">
      <c r="A527" s="205" t="s">
        <v>148</v>
      </c>
      <c r="B527" s="205" t="s">
        <v>270</v>
      </c>
      <c r="C527" s="200">
        <v>45405</v>
      </c>
      <c r="D527" s="201" t="s">
        <v>152</v>
      </c>
      <c r="E527" s="206">
        <v>57795</v>
      </c>
      <c r="F527" s="206">
        <v>0</v>
      </c>
      <c r="G527" s="206">
        <v>0</v>
      </c>
      <c r="H527" s="202">
        <f t="shared" si="8"/>
        <v>57795</v>
      </c>
      <c r="I527" s="205" t="s">
        <v>25</v>
      </c>
      <c r="J527" s="205" t="s">
        <v>214</v>
      </c>
      <c r="K527" s="201" t="s">
        <v>1042</v>
      </c>
      <c r="L527" s="205" t="s">
        <v>2056</v>
      </c>
      <c r="M527" s="201" t="s">
        <v>652</v>
      </c>
      <c r="N527" s="205" t="s">
        <v>652</v>
      </c>
      <c r="O527" s="205" t="s">
        <v>652</v>
      </c>
      <c r="P527" s="207" t="s">
        <v>677</v>
      </c>
      <c r="Q527" s="208" t="s">
        <v>678</v>
      </c>
      <c r="R527" s="208" t="s">
        <v>2003</v>
      </c>
    </row>
    <row r="528" spans="1:18" s="205" customFormat="1" x14ac:dyDescent="0.2">
      <c r="A528" s="205" t="s">
        <v>2057</v>
      </c>
      <c r="B528" s="205" t="s">
        <v>2058</v>
      </c>
      <c r="C528" s="200">
        <v>45406</v>
      </c>
      <c r="D528" s="201" t="s">
        <v>152</v>
      </c>
      <c r="E528" s="206">
        <v>128289</v>
      </c>
      <c r="F528" s="206">
        <v>12829</v>
      </c>
      <c r="G528" s="206">
        <v>0</v>
      </c>
      <c r="H528" s="202">
        <f t="shared" si="8"/>
        <v>115460</v>
      </c>
      <c r="I528" s="205" t="s">
        <v>1082</v>
      </c>
      <c r="J528" s="205" t="s">
        <v>29</v>
      </c>
      <c r="K528" s="201" t="s">
        <v>1028</v>
      </c>
      <c r="L528" s="205" t="s">
        <v>2059</v>
      </c>
      <c r="M528" s="201" t="s">
        <v>1030</v>
      </c>
      <c r="N528" s="205" t="s">
        <v>652</v>
      </c>
      <c r="O528" s="205" t="s">
        <v>652</v>
      </c>
      <c r="P528" s="207" t="s">
        <v>1416</v>
      </c>
      <c r="Q528" s="208" t="s">
        <v>1417</v>
      </c>
      <c r="R528" s="208" t="s">
        <v>2003</v>
      </c>
    </row>
    <row r="529" spans="1:18" s="205" customFormat="1" x14ac:dyDescent="0.2">
      <c r="A529" s="205" t="s">
        <v>486</v>
      </c>
      <c r="B529" s="205" t="s">
        <v>2060</v>
      </c>
      <c r="C529" s="200">
        <v>45406</v>
      </c>
      <c r="D529" s="201" t="s">
        <v>152</v>
      </c>
      <c r="E529" s="206">
        <v>618300</v>
      </c>
      <c r="F529" s="206">
        <v>61830</v>
      </c>
      <c r="G529" s="206">
        <v>6183</v>
      </c>
      <c r="H529" s="202">
        <f t="shared" si="8"/>
        <v>562653</v>
      </c>
      <c r="I529" s="205" t="s">
        <v>481</v>
      </c>
      <c r="J529" s="205" t="s">
        <v>29</v>
      </c>
      <c r="K529" s="201" t="s">
        <v>1028</v>
      </c>
      <c r="L529" s="205" t="s">
        <v>2061</v>
      </c>
      <c r="M529" s="201" t="s">
        <v>1030</v>
      </c>
      <c r="N529" s="205" t="s">
        <v>652</v>
      </c>
      <c r="O529" s="205" t="s">
        <v>652</v>
      </c>
      <c r="P529" s="207" t="s">
        <v>1407</v>
      </c>
      <c r="Q529" s="208" t="s">
        <v>1408</v>
      </c>
      <c r="R529" s="208" t="s">
        <v>2062</v>
      </c>
    </row>
    <row r="530" spans="1:18" s="205" customFormat="1" x14ac:dyDescent="0.2">
      <c r="A530" s="205" t="s">
        <v>2063</v>
      </c>
      <c r="B530" s="205" t="s">
        <v>250</v>
      </c>
      <c r="C530" s="200">
        <v>45406</v>
      </c>
      <c r="D530" s="201" t="s">
        <v>152</v>
      </c>
      <c r="E530" s="206">
        <v>85607</v>
      </c>
      <c r="F530" s="206">
        <v>8561</v>
      </c>
      <c r="G530" s="206">
        <v>428</v>
      </c>
      <c r="H530" s="202">
        <f t="shared" si="8"/>
        <v>77474</v>
      </c>
      <c r="I530" s="205" t="s">
        <v>193</v>
      </c>
      <c r="J530" s="205" t="s">
        <v>23</v>
      </c>
      <c r="K530" s="201" t="s">
        <v>1042</v>
      </c>
      <c r="L530" s="205" t="s">
        <v>2064</v>
      </c>
      <c r="M530" s="201" t="s">
        <v>1030</v>
      </c>
      <c r="N530" s="205" t="s">
        <v>652</v>
      </c>
      <c r="O530" s="205" t="s">
        <v>652</v>
      </c>
      <c r="P530" s="207" t="s">
        <v>987</v>
      </c>
      <c r="Q530" s="208" t="s">
        <v>988</v>
      </c>
      <c r="R530" s="208" t="s">
        <v>2062</v>
      </c>
    </row>
    <row r="531" spans="1:18" s="205" customFormat="1" x14ac:dyDescent="0.2">
      <c r="A531" s="205" t="s">
        <v>2065</v>
      </c>
      <c r="B531" s="205" t="s">
        <v>250</v>
      </c>
      <c r="C531" s="200">
        <v>45406</v>
      </c>
      <c r="D531" s="201" t="s">
        <v>152</v>
      </c>
      <c r="E531" s="206">
        <v>85607</v>
      </c>
      <c r="F531" s="206">
        <v>8561</v>
      </c>
      <c r="G531" s="206">
        <v>428</v>
      </c>
      <c r="H531" s="202">
        <f t="shared" si="8"/>
        <v>77474</v>
      </c>
      <c r="I531" s="205" t="s">
        <v>193</v>
      </c>
      <c r="J531" s="205" t="s">
        <v>23</v>
      </c>
      <c r="K531" s="201" t="s">
        <v>1042</v>
      </c>
      <c r="L531" s="205" t="s">
        <v>2066</v>
      </c>
      <c r="M531" s="209" t="s">
        <v>1030</v>
      </c>
      <c r="N531" s="205" t="s">
        <v>652</v>
      </c>
      <c r="O531" s="205" t="s">
        <v>652</v>
      </c>
      <c r="P531" s="207" t="s">
        <v>987</v>
      </c>
      <c r="Q531" s="208" t="s">
        <v>988</v>
      </c>
      <c r="R531" s="208" t="s">
        <v>2062</v>
      </c>
    </row>
    <row r="532" spans="1:18" s="205" customFormat="1" x14ac:dyDescent="0.2">
      <c r="A532" s="205" t="s">
        <v>2067</v>
      </c>
      <c r="B532" s="205" t="s">
        <v>282</v>
      </c>
      <c r="C532" s="200">
        <v>45406</v>
      </c>
      <c r="D532" s="201" t="s">
        <v>152</v>
      </c>
      <c r="E532" s="206">
        <v>82085</v>
      </c>
      <c r="F532" s="206">
        <v>8209</v>
      </c>
      <c r="G532" s="206">
        <v>410</v>
      </c>
      <c r="H532" s="202">
        <f t="shared" si="8"/>
        <v>74286</v>
      </c>
      <c r="I532" s="205" t="s">
        <v>193</v>
      </c>
      <c r="J532" s="205" t="s">
        <v>23</v>
      </c>
      <c r="K532" s="201" t="s">
        <v>1042</v>
      </c>
      <c r="L532" s="205" t="s">
        <v>2068</v>
      </c>
      <c r="M532" s="201" t="s">
        <v>1030</v>
      </c>
      <c r="N532" s="205" t="s">
        <v>652</v>
      </c>
      <c r="O532" s="205" t="s">
        <v>652</v>
      </c>
      <c r="P532" s="207" t="s">
        <v>987</v>
      </c>
      <c r="Q532" s="208" t="s">
        <v>988</v>
      </c>
      <c r="R532" s="208" t="s">
        <v>2062</v>
      </c>
    </row>
    <row r="533" spans="1:18" s="205" customFormat="1" x14ac:dyDescent="0.2">
      <c r="A533" s="205" t="s">
        <v>2069</v>
      </c>
      <c r="B533" s="205" t="s">
        <v>1837</v>
      </c>
      <c r="C533" s="200">
        <v>45406</v>
      </c>
      <c r="D533" s="201" t="s">
        <v>152</v>
      </c>
      <c r="E533" s="206">
        <v>55394</v>
      </c>
      <c r="F533" s="206">
        <v>5539</v>
      </c>
      <c r="G533" s="206">
        <v>277</v>
      </c>
      <c r="H533" s="202">
        <f t="shared" si="8"/>
        <v>50132</v>
      </c>
      <c r="I533" s="205" t="s">
        <v>193</v>
      </c>
      <c r="J533" s="205" t="s">
        <v>23</v>
      </c>
      <c r="K533" s="201" t="s">
        <v>1058</v>
      </c>
      <c r="L533" s="205" t="s">
        <v>2070</v>
      </c>
      <c r="M533" s="201" t="s">
        <v>1030</v>
      </c>
      <c r="N533" s="205" t="s">
        <v>652</v>
      </c>
      <c r="O533" s="205" t="s">
        <v>652</v>
      </c>
      <c r="P533" s="207" t="s">
        <v>987</v>
      </c>
      <c r="Q533" s="208" t="s">
        <v>988</v>
      </c>
      <c r="R533" s="208" t="s">
        <v>2062</v>
      </c>
    </row>
    <row r="534" spans="1:18" s="205" customFormat="1" x14ac:dyDescent="0.2">
      <c r="A534" s="205" t="s">
        <v>2071</v>
      </c>
      <c r="B534" s="205" t="s">
        <v>1837</v>
      </c>
      <c r="C534" s="200">
        <v>45406</v>
      </c>
      <c r="D534" s="201" t="s">
        <v>152</v>
      </c>
      <c r="E534" s="206">
        <v>55394</v>
      </c>
      <c r="F534" s="206">
        <v>5539</v>
      </c>
      <c r="G534" s="206">
        <v>277</v>
      </c>
      <c r="H534" s="202">
        <f t="shared" si="8"/>
        <v>50132</v>
      </c>
      <c r="I534" s="205" t="s">
        <v>193</v>
      </c>
      <c r="J534" s="205" t="s">
        <v>23</v>
      </c>
      <c r="K534" s="201" t="s">
        <v>1058</v>
      </c>
      <c r="L534" s="205" t="s">
        <v>2072</v>
      </c>
      <c r="M534" s="201" t="s">
        <v>1030</v>
      </c>
      <c r="N534" s="205" t="s">
        <v>652</v>
      </c>
      <c r="O534" s="205" t="s">
        <v>652</v>
      </c>
      <c r="P534" s="207" t="s">
        <v>987</v>
      </c>
      <c r="Q534" s="208" t="s">
        <v>988</v>
      </c>
      <c r="R534" s="208" t="s">
        <v>2062</v>
      </c>
    </row>
    <row r="535" spans="1:18" s="205" customFormat="1" x14ac:dyDescent="0.2">
      <c r="A535" s="205" t="s">
        <v>2073</v>
      </c>
      <c r="B535" s="205" t="s">
        <v>2074</v>
      </c>
      <c r="C535" s="200">
        <v>45406</v>
      </c>
      <c r="D535" s="201" t="s">
        <v>152</v>
      </c>
      <c r="E535" s="206">
        <v>92501</v>
      </c>
      <c r="F535" s="206">
        <v>9250</v>
      </c>
      <c r="G535" s="206">
        <v>463</v>
      </c>
      <c r="H535" s="202">
        <f t="shared" si="8"/>
        <v>83714</v>
      </c>
      <c r="I535" s="205" t="s">
        <v>568</v>
      </c>
      <c r="J535" s="205" t="s">
        <v>23</v>
      </c>
      <c r="K535" s="201" t="s">
        <v>1058</v>
      </c>
      <c r="L535" s="205" t="s">
        <v>2075</v>
      </c>
      <c r="M535" s="201" t="s">
        <v>1072</v>
      </c>
      <c r="N535" s="205" t="s">
        <v>652</v>
      </c>
      <c r="O535" s="205" t="s">
        <v>652</v>
      </c>
      <c r="P535" s="207" t="s">
        <v>1980</v>
      </c>
      <c r="Q535" s="208" t="s">
        <v>2046</v>
      </c>
      <c r="R535" s="208" t="s">
        <v>2062</v>
      </c>
    </row>
    <row r="536" spans="1:18" s="205" customFormat="1" x14ac:dyDescent="0.2">
      <c r="A536" s="205" t="s">
        <v>2076</v>
      </c>
      <c r="B536" s="205" t="s">
        <v>246</v>
      </c>
      <c r="C536" s="200">
        <v>45406</v>
      </c>
      <c r="D536" s="201" t="s">
        <v>152</v>
      </c>
      <c r="E536" s="206">
        <v>38001</v>
      </c>
      <c r="F536" s="206">
        <v>3800</v>
      </c>
      <c r="G536" s="206">
        <v>190</v>
      </c>
      <c r="H536" s="202">
        <f t="shared" si="8"/>
        <v>34391</v>
      </c>
      <c r="I536" s="205" t="s">
        <v>193</v>
      </c>
      <c r="J536" s="205" t="s">
        <v>23</v>
      </c>
      <c r="K536" s="201" t="s">
        <v>1042</v>
      </c>
      <c r="L536" s="205" t="s">
        <v>2077</v>
      </c>
      <c r="M536" s="201" t="s">
        <v>1030</v>
      </c>
      <c r="N536" s="205" t="s">
        <v>652</v>
      </c>
      <c r="O536" s="205" t="s">
        <v>652</v>
      </c>
      <c r="P536" s="207" t="s">
        <v>987</v>
      </c>
      <c r="Q536" s="208" t="s">
        <v>988</v>
      </c>
      <c r="R536" s="208" t="s">
        <v>2062</v>
      </c>
    </row>
    <row r="537" spans="1:18" s="205" customFormat="1" x14ac:dyDescent="0.2">
      <c r="A537" s="205" t="s">
        <v>159</v>
      </c>
      <c r="B537" s="205" t="s">
        <v>288</v>
      </c>
      <c r="C537" s="200">
        <v>45406</v>
      </c>
      <c r="D537" s="201" t="s">
        <v>152</v>
      </c>
      <c r="E537" s="206">
        <v>7602</v>
      </c>
      <c r="F537" s="206">
        <v>760</v>
      </c>
      <c r="G537" s="206">
        <v>38</v>
      </c>
      <c r="H537" s="202">
        <f t="shared" si="8"/>
        <v>6880</v>
      </c>
      <c r="I537" s="205" t="s">
        <v>289</v>
      </c>
      <c r="J537" s="205" t="s">
        <v>23</v>
      </c>
      <c r="K537" s="201" t="s">
        <v>1042</v>
      </c>
      <c r="L537" s="205" t="s">
        <v>2078</v>
      </c>
      <c r="M537" s="209" t="s">
        <v>1030</v>
      </c>
      <c r="N537" s="205" t="s">
        <v>652</v>
      </c>
      <c r="O537" s="205" t="s">
        <v>652</v>
      </c>
      <c r="P537" s="207" t="s">
        <v>881</v>
      </c>
      <c r="Q537" s="208" t="s">
        <v>882</v>
      </c>
      <c r="R537" s="208" t="s">
        <v>2062</v>
      </c>
    </row>
    <row r="538" spans="1:18" s="205" customFormat="1" x14ac:dyDescent="0.2">
      <c r="A538" s="205" t="s">
        <v>122</v>
      </c>
      <c r="B538" s="205" t="s">
        <v>966</v>
      </c>
      <c r="C538" s="200">
        <v>45406</v>
      </c>
      <c r="D538" s="199" t="s">
        <v>166</v>
      </c>
      <c r="E538" s="206">
        <v>-30144</v>
      </c>
      <c r="F538" s="206">
        <v>-3014</v>
      </c>
      <c r="G538" s="206">
        <v>-151</v>
      </c>
      <c r="H538" s="202">
        <f t="shared" si="8"/>
        <v>-27281</v>
      </c>
      <c r="I538" s="205" t="s">
        <v>22</v>
      </c>
      <c r="J538" s="205" t="s">
        <v>23</v>
      </c>
      <c r="K538" s="201" t="s">
        <v>1068</v>
      </c>
      <c r="L538" s="205" t="s">
        <v>2079</v>
      </c>
      <c r="M538" s="201" t="s">
        <v>1030</v>
      </c>
      <c r="N538" s="205" t="s">
        <v>652</v>
      </c>
      <c r="O538" s="205" t="s">
        <v>652</v>
      </c>
      <c r="P538" s="207" t="s">
        <v>786</v>
      </c>
      <c r="Q538" s="208" t="s">
        <v>962</v>
      </c>
      <c r="R538" s="208" t="s">
        <v>2062</v>
      </c>
    </row>
    <row r="539" spans="1:18" s="205" customFormat="1" x14ac:dyDescent="0.2">
      <c r="A539" s="205" t="s">
        <v>204</v>
      </c>
      <c r="B539" s="205" t="s">
        <v>343</v>
      </c>
      <c r="C539" s="200">
        <v>45406</v>
      </c>
      <c r="D539" s="201" t="s">
        <v>152</v>
      </c>
      <c r="E539" s="206">
        <v>136862</v>
      </c>
      <c r="F539" s="206">
        <v>0</v>
      </c>
      <c r="G539" s="206">
        <v>0</v>
      </c>
      <c r="H539" s="202">
        <f t="shared" si="8"/>
        <v>136862</v>
      </c>
      <c r="I539" s="205" t="s">
        <v>25</v>
      </c>
      <c r="J539" s="205" t="s">
        <v>214</v>
      </c>
      <c r="K539" s="201" t="s">
        <v>1042</v>
      </c>
      <c r="L539" s="205" t="s">
        <v>2080</v>
      </c>
      <c r="M539" s="201" t="s">
        <v>1030</v>
      </c>
      <c r="N539" s="205" t="s">
        <v>652</v>
      </c>
      <c r="O539" s="205" t="s">
        <v>652</v>
      </c>
      <c r="P539" s="207" t="s">
        <v>696</v>
      </c>
      <c r="Q539" s="208" t="s">
        <v>697</v>
      </c>
      <c r="R539" s="208" t="s">
        <v>2062</v>
      </c>
    </row>
    <row r="540" spans="1:18" s="205" customFormat="1" x14ac:dyDescent="0.2">
      <c r="A540" s="205" t="s">
        <v>204</v>
      </c>
      <c r="B540" s="205" t="s">
        <v>343</v>
      </c>
      <c r="C540" s="200">
        <v>45406</v>
      </c>
      <c r="D540" s="201" t="s">
        <v>152</v>
      </c>
      <c r="E540" s="206">
        <v>10311</v>
      </c>
      <c r="F540" s="206">
        <v>0</v>
      </c>
      <c r="G540" s="206">
        <v>0</v>
      </c>
      <c r="H540" s="202">
        <f t="shared" si="8"/>
        <v>10311</v>
      </c>
      <c r="I540" s="205" t="s">
        <v>25</v>
      </c>
      <c r="J540" s="205" t="s">
        <v>214</v>
      </c>
      <c r="K540" s="201" t="s">
        <v>1042</v>
      </c>
      <c r="L540" s="205" t="s">
        <v>2081</v>
      </c>
      <c r="M540" s="201" t="s">
        <v>1030</v>
      </c>
      <c r="N540" s="205" t="s">
        <v>652</v>
      </c>
      <c r="O540" s="205" t="s">
        <v>652</v>
      </c>
      <c r="P540" s="207" t="s">
        <v>696</v>
      </c>
      <c r="Q540" s="208" t="s">
        <v>697</v>
      </c>
      <c r="R540" s="208" t="s">
        <v>2062</v>
      </c>
    </row>
    <row r="541" spans="1:18" s="205" customFormat="1" x14ac:dyDescent="0.2">
      <c r="A541" s="205" t="s">
        <v>2082</v>
      </c>
      <c r="B541" s="205" t="s">
        <v>126</v>
      </c>
      <c r="C541" s="200">
        <v>45407</v>
      </c>
      <c r="D541" s="201" t="s">
        <v>152</v>
      </c>
      <c r="E541" s="206">
        <v>40628</v>
      </c>
      <c r="F541" s="206">
        <v>4063</v>
      </c>
      <c r="G541" s="206">
        <v>406</v>
      </c>
      <c r="H541" s="202">
        <f t="shared" si="8"/>
        <v>36971</v>
      </c>
      <c r="I541" s="205" t="s">
        <v>31</v>
      </c>
      <c r="J541" s="205" t="s">
        <v>29</v>
      </c>
      <c r="K541" s="201" t="s">
        <v>1028</v>
      </c>
      <c r="L541" s="205" t="s">
        <v>2083</v>
      </c>
      <c r="M541" s="201" t="s">
        <v>1030</v>
      </c>
      <c r="N541" s="205" t="s">
        <v>652</v>
      </c>
      <c r="O541" s="205" t="s">
        <v>652</v>
      </c>
      <c r="P541" s="207" t="s">
        <v>987</v>
      </c>
      <c r="Q541" s="208" t="s">
        <v>988</v>
      </c>
      <c r="R541" s="208" t="s">
        <v>848</v>
      </c>
    </row>
    <row r="542" spans="1:18" s="205" customFormat="1" x14ac:dyDescent="0.2">
      <c r="A542" s="205" t="s">
        <v>2084</v>
      </c>
      <c r="B542" s="205" t="s">
        <v>126</v>
      </c>
      <c r="C542" s="200">
        <v>45407</v>
      </c>
      <c r="D542" s="201" t="s">
        <v>152</v>
      </c>
      <c r="E542" s="206">
        <v>37225</v>
      </c>
      <c r="F542" s="206">
        <v>3723</v>
      </c>
      <c r="G542" s="206">
        <v>372</v>
      </c>
      <c r="H542" s="202">
        <f t="shared" si="8"/>
        <v>33874</v>
      </c>
      <c r="I542" s="205" t="s">
        <v>31</v>
      </c>
      <c r="J542" s="205" t="s">
        <v>29</v>
      </c>
      <c r="K542" s="201" t="s">
        <v>1028</v>
      </c>
      <c r="L542" s="205" t="s">
        <v>2085</v>
      </c>
      <c r="M542" s="201" t="s">
        <v>1030</v>
      </c>
      <c r="N542" s="205" t="s">
        <v>652</v>
      </c>
      <c r="O542" s="205" t="s">
        <v>652</v>
      </c>
      <c r="P542" s="207" t="s">
        <v>987</v>
      </c>
      <c r="Q542" s="208" t="s">
        <v>988</v>
      </c>
      <c r="R542" s="208" t="s">
        <v>848</v>
      </c>
    </row>
    <row r="543" spans="1:18" s="205" customFormat="1" x14ac:dyDescent="0.2">
      <c r="A543" s="205" t="s">
        <v>2086</v>
      </c>
      <c r="B543" s="205" t="s">
        <v>126</v>
      </c>
      <c r="C543" s="200">
        <v>45407</v>
      </c>
      <c r="D543" s="201" t="s">
        <v>152</v>
      </c>
      <c r="E543" s="206">
        <v>70163</v>
      </c>
      <c r="F543" s="206">
        <v>7016</v>
      </c>
      <c r="G543" s="206">
        <v>702</v>
      </c>
      <c r="H543" s="202">
        <f t="shared" si="8"/>
        <v>63849</v>
      </c>
      <c r="I543" s="205" t="s">
        <v>31</v>
      </c>
      <c r="J543" s="205" t="s">
        <v>29</v>
      </c>
      <c r="K543" s="201" t="s">
        <v>1042</v>
      </c>
      <c r="L543" s="205" t="s">
        <v>2087</v>
      </c>
      <c r="M543" s="201" t="s">
        <v>1030</v>
      </c>
      <c r="N543" s="205" t="s">
        <v>652</v>
      </c>
      <c r="O543" s="205" t="s">
        <v>652</v>
      </c>
      <c r="P543" s="207" t="s">
        <v>987</v>
      </c>
      <c r="Q543" s="208" t="s">
        <v>988</v>
      </c>
      <c r="R543" s="208" t="s">
        <v>848</v>
      </c>
    </row>
    <row r="544" spans="1:18" s="205" customFormat="1" x14ac:dyDescent="0.2">
      <c r="A544" s="205" t="s">
        <v>2088</v>
      </c>
      <c r="B544" s="205" t="s">
        <v>126</v>
      </c>
      <c r="C544" s="200">
        <v>45407</v>
      </c>
      <c r="D544" s="201" t="s">
        <v>152</v>
      </c>
      <c r="E544" s="206">
        <v>27574</v>
      </c>
      <c r="F544" s="206">
        <v>2757</v>
      </c>
      <c r="G544" s="206">
        <v>276</v>
      </c>
      <c r="H544" s="202">
        <f t="shared" si="8"/>
        <v>25093</v>
      </c>
      <c r="I544" s="205" t="s">
        <v>31</v>
      </c>
      <c r="J544" s="205" t="s">
        <v>29</v>
      </c>
      <c r="K544" s="201" t="s">
        <v>1042</v>
      </c>
      <c r="L544" s="205" t="s">
        <v>2089</v>
      </c>
      <c r="M544" s="201" t="s">
        <v>1030</v>
      </c>
      <c r="N544" s="205" t="s">
        <v>652</v>
      </c>
      <c r="O544" s="205" t="s">
        <v>652</v>
      </c>
      <c r="P544" s="207" t="s">
        <v>987</v>
      </c>
      <c r="Q544" s="208" t="s">
        <v>988</v>
      </c>
      <c r="R544" s="208" t="s">
        <v>848</v>
      </c>
    </row>
    <row r="545" spans="1:18" s="205" customFormat="1" x14ac:dyDescent="0.2">
      <c r="A545" s="205" t="s">
        <v>2090</v>
      </c>
      <c r="B545" s="205" t="s">
        <v>126</v>
      </c>
      <c r="C545" s="200">
        <v>45407</v>
      </c>
      <c r="D545" s="201" t="s">
        <v>152</v>
      </c>
      <c r="E545" s="206">
        <v>83824</v>
      </c>
      <c r="F545" s="206">
        <v>8382</v>
      </c>
      <c r="G545" s="206">
        <v>838</v>
      </c>
      <c r="H545" s="202">
        <f t="shared" si="8"/>
        <v>76280</v>
      </c>
      <c r="I545" s="205" t="s">
        <v>31</v>
      </c>
      <c r="J545" s="205" t="s">
        <v>29</v>
      </c>
      <c r="K545" s="201" t="s">
        <v>1028</v>
      </c>
      <c r="L545" s="205" t="s">
        <v>2091</v>
      </c>
      <c r="M545" s="201" t="s">
        <v>1030</v>
      </c>
      <c r="N545" s="205" t="s">
        <v>652</v>
      </c>
      <c r="O545" s="205" t="s">
        <v>652</v>
      </c>
      <c r="P545" s="207" t="s">
        <v>987</v>
      </c>
      <c r="Q545" s="208" t="s">
        <v>988</v>
      </c>
      <c r="R545" s="208" t="s">
        <v>848</v>
      </c>
    </row>
    <row r="546" spans="1:18" s="205" customFormat="1" x14ac:dyDescent="0.2">
      <c r="A546" s="205" t="s">
        <v>2092</v>
      </c>
      <c r="B546" s="205" t="s">
        <v>2093</v>
      </c>
      <c r="C546" s="200">
        <v>45407</v>
      </c>
      <c r="D546" s="201" t="s">
        <v>152</v>
      </c>
      <c r="E546" s="206">
        <v>166112</v>
      </c>
      <c r="F546" s="206">
        <v>16611</v>
      </c>
      <c r="G546" s="206">
        <v>1661</v>
      </c>
      <c r="H546" s="202">
        <f t="shared" si="8"/>
        <v>151162</v>
      </c>
      <c r="I546" s="205" t="s">
        <v>31</v>
      </c>
      <c r="J546" s="205" t="s">
        <v>29</v>
      </c>
      <c r="K546" s="201" t="s">
        <v>1058</v>
      </c>
      <c r="L546" s="205" t="s">
        <v>2094</v>
      </c>
      <c r="M546" s="201" t="s">
        <v>1030</v>
      </c>
      <c r="N546" s="205" t="s">
        <v>652</v>
      </c>
      <c r="O546" s="205" t="s">
        <v>652</v>
      </c>
      <c r="P546" s="207" t="s">
        <v>987</v>
      </c>
      <c r="Q546" s="208" t="s">
        <v>988</v>
      </c>
      <c r="R546" s="208" t="s">
        <v>848</v>
      </c>
    </row>
    <row r="547" spans="1:18" s="205" customFormat="1" x14ac:dyDescent="0.2">
      <c r="A547" s="205" t="s">
        <v>64</v>
      </c>
      <c r="B547" s="205" t="s">
        <v>514</v>
      </c>
      <c r="C547" s="200">
        <v>45407</v>
      </c>
      <c r="D547" s="201" t="s">
        <v>152</v>
      </c>
      <c r="E547" s="206">
        <v>247152</v>
      </c>
      <c r="F547" s="206">
        <v>24715</v>
      </c>
      <c r="G547" s="206">
        <v>2472</v>
      </c>
      <c r="H547" s="202">
        <f t="shared" si="8"/>
        <v>224909</v>
      </c>
      <c r="I547" s="205" t="s">
        <v>31</v>
      </c>
      <c r="J547" s="205" t="s">
        <v>29</v>
      </c>
      <c r="K547" s="201" t="s">
        <v>1042</v>
      </c>
      <c r="L547" s="205" t="s">
        <v>2095</v>
      </c>
      <c r="M547" s="201" t="s">
        <v>1030</v>
      </c>
      <c r="N547" s="205" t="s">
        <v>652</v>
      </c>
      <c r="O547" s="205" t="s">
        <v>652</v>
      </c>
      <c r="P547" s="207" t="s">
        <v>653</v>
      </c>
      <c r="Q547" s="208" t="s">
        <v>654</v>
      </c>
      <c r="R547" s="208" t="s">
        <v>848</v>
      </c>
    </row>
    <row r="548" spans="1:18" s="205" customFormat="1" x14ac:dyDescent="0.2">
      <c r="A548" s="205" t="s">
        <v>178</v>
      </c>
      <c r="B548" s="205" t="s">
        <v>526</v>
      </c>
      <c r="C548" s="200">
        <v>45407</v>
      </c>
      <c r="D548" s="201" t="s">
        <v>152</v>
      </c>
      <c r="E548" s="206">
        <v>19997</v>
      </c>
      <c r="F548" s="206">
        <v>2000</v>
      </c>
      <c r="G548" s="206">
        <v>200</v>
      </c>
      <c r="H548" s="202">
        <f t="shared" si="8"/>
        <v>18197</v>
      </c>
      <c r="I548" s="205" t="s">
        <v>179</v>
      </c>
      <c r="J548" s="205" t="s">
        <v>29</v>
      </c>
      <c r="K548" s="201" t="s">
        <v>1042</v>
      </c>
      <c r="L548" s="205" t="s">
        <v>2096</v>
      </c>
      <c r="M548" s="199" t="s">
        <v>1030</v>
      </c>
      <c r="N548" s="205" t="s">
        <v>652</v>
      </c>
      <c r="O548" s="205" t="s">
        <v>652</v>
      </c>
      <c r="P548" s="207" t="s">
        <v>718</v>
      </c>
      <c r="Q548" s="208" t="s">
        <v>719</v>
      </c>
      <c r="R548" s="208" t="s">
        <v>848</v>
      </c>
    </row>
    <row r="549" spans="1:18" s="205" customFormat="1" x14ac:dyDescent="0.2">
      <c r="A549" s="205" t="s">
        <v>2097</v>
      </c>
      <c r="B549" s="205" t="s">
        <v>2098</v>
      </c>
      <c r="C549" s="200">
        <v>45407</v>
      </c>
      <c r="D549" s="201" t="s">
        <v>152</v>
      </c>
      <c r="E549" s="206">
        <v>69003</v>
      </c>
      <c r="F549" s="206">
        <v>6900</v>
      </c>
      <c r="G549" s="206">
        <v>690</v>
      </c>
      <c r="H549" s="202">
        <f t="shared" si="8"/>
        <v>62793</v>
      </c>
      <c r="I549" s="205" t="s">
        <v>913</v>
      </c>
      <c r="J549" s="205" t="s">
        <v>29</v>
      </c>
      <c r="K549" s="201" t="s">
        <v>1028</v>
      </c>
      <c r="L549" s="205" t="s">
        <v>2099</v>
      </c>
      <c r="M549" s="199" t="s">
        <v>1072</v>
      </c>
      <c r="N549" s="205" t="s">
        <v>652</v>
      </c>
      <c r="O549" s="205" t="s">
        <v>652</v>
      </c>
      <c r="P549" s="207" t="s">
        <v>856</v>
      </c>
      <c r="Q549" s="208" t="s">
        <v>2100</v>
      </c>
      <c r="R549" s="208" t="s">
        <v>848</v>
      </c>
    </row>
    <row r="550" spans="1:18" s="205" customFormat="1" x14ac:dyDescent="0.2">
      <c r="A550" s="205" t="s">
        <v>45</v>
      </c>
      <c r="B550" s="205" t="s">
        <v>527</v>
      </c>
      <c r="C550" s="200">
        <v>45407</v>
      </c>
      <c r="D550" s="201" t="s">
        <v>152</v>
      </c>
      <c r="E550" s="206">
        <v>74263</v>
      </c>
      <c r="F550" s="206">
        <v>7426</v>
      </c>
      <c r="G550" s="206">
        <v>743</v>
      </c>
      <c r="H550" s="202">
        <f t="shared" si="8"/>
        <v>67580</v>
      </c>
      <c r="I550" s="205" t="s">
        <v>28</v>
      </c>
      <c r="J550" s="205" t="s">
        <v>29</v>
      </c>
      <c r="K550" s="201" t="s">
        <v>1042</v>
      </c>
      <c r="L550" s="205" t="s">
        <v>2101</v>
      </c>
      <c r="M550" s="209" t="s">
        <v>1030</v>
      </c>
      <c r="N550" s="205" t="s">
        <v>652</v>
      </c>
      <c r="O550" s="205" t="s">
        <v>652</v>
      </c>
      <c r="P550" s="207" t="s">
        <v>718</v>
      </c>
      <c r="Q550" s="208" t="s">
        <v>719</v>
      </c>
      <c r="R550" s="208" t="s">
        <v>848</v>
      </c>
    </row>
    <row r="551" spans="1:18" s="205" customFormat="1" x14ac:dyDescent="0.2">
      <c r="A551" s="205" t="s">
        <v>974</v>
      </c>
      <c r="B551" s="205" t="s">
        <v>975</v>
      </c>
      <c r="C551" s="200">
        <v>45407</v>
      </c>
      <c r="D551" s="201" t="s">
        <v>152</v>
      </c>
      <c r="E551" s="206">
        <v>14054</v>
      </c>
      <c r="F551" s="206">
        <v>1405</v>
      </c>
      <c r="G551" s="206">
        <v>141</v>
      </c>
      <c r="H551" s="202">
        <f t="shared" si="8"/>
        <v>12790</v>
      </c>
      <c r="I551" s="205" t="s">
        <v>562</v>
      </c>
      <c r="J551" s="205" t="s">
        <v>29</v>
      </c>
      <c r="K551" s="201" t="s">
        <v>1042</v>
      </c>
      <c r="L551" s="205" t="s">
        <v>2102</v>
      </c>
      <c r="M551" s="201" t="s">
        <v>1030</v>
      </c>
      <c r="N551" s="205" t="s">
        <v>1994</v>
      </c>
      <c r="O551" s="205" t="s">
        <v>1286</v>
      </c>
      <c r="P551" s="207" t="s">
        <v>875</v>
      </c>
      <c r="Q551" s="208" t="s">
        <v>976</v>
      </c>
      <c r="R551" s="208" t="s">
        <v>848</v>
      </c>
    </row>
    <row r="552" spans="1:18" s="205" customFormat="1" x14ac:dyDescent="0.2">
      <c r="A552" s="205" t="s">
        <v>384</v>
      </c>
      <c r="B552" s="205" t="s">
        <v>383</v>
      </c>
      <c r="C552" s="200">
        <v>45407</v>
      </c>
      <c r="D552" s="201" t="s">
        <v>152</v>
      </c>
      <c r="E552" s="206">
        <v>48326</v>
      </c>
      <c r="F552" s="206">
        <v>4833</v>
      </c>
      <c r="G552" s="206">
        <v>483</v>
      </c>
      <c r="H552" s="202">
        <f t="shared" si="8"/>
        <v>43976</v>
      </c>
      <c r="I552" s="205" t="s">
        <v>32</v>
      </c>
      <c r="J552" s="205" t="s">
        <v>29</v>
      </c>
      <c r="K552" s="201" t="s">
        <v>1042</v>
      </c>
      <c r="L552" s="205" t="s">
        <v>2103</v>
      </c>
      <c r="M552" s="201" t="s">
        <v>1030</v>
      </c>
      <c r="N552" s="205" t="s">
        <v>2104</v>
      </c>
      <c r="O552" s="205" t="s">
        <v>1115</v>
      </c>
      <c r="P552" s="207" t="s">
        <v>889</v>
      </c>
      <c r="Q552" s="208" t="s">
        <v>890</v>
      </c>
      <c r="R552" s="208" t="s">
        <v>848</v>
      </c>
    </row>
    <row r="553" spans="1:18" s="205" customFormat="1" x14ac:dyDescent="0.2">
      <c r="A553" s="205" t="s">
        <v>64</v>
      </c>
      <c r="B553" s="205" t="s">
        <v>514</v>
      </c>
      <c r="C553" s="200">
        <v>45407</v>
      </c>
      <c r="D553" s="201" t="s">
        <v>152</v>
      </c>
      <c r="E553" s="206">
        <v>38648</v>
      </c>
      <c r="F553" s="206">
        <v>3865</v>
      </c>
      <c r="G553" s="206">
        <v>386</v>
      </c>
      <c r="H553" s="202">
        <f t="shared" si="8"/>
        <v>35169</v>
      </c>
      <c r="I553" s="205" t="s">
        <v>31</v>
      </c>
      <c r="J553" s="205" t="s">
        <v>29</v>
      </c>
      <c r="K553" s="201" t="s">
        <v>1141</v>
      </c>
      <c r="L553" s="205" t="s">
        <v>2105</v>
      </c>
      <c r="M553" s="201" t="s">
        <v>1030</v>
      </c>
      <c r="N553" s="205" t="s">
        <v>652</v>
      </c>
      <c r="O553" s="205" t="s">
        <v>652</v>
      </c>
      <c r="P553" s="207" t="s">
        <v>653</v>
      </c>
      <c r="Q553" s="208" t="s">
        <v>654</v>
      </c>
      <c r="R553" s="208" t="s">
        <v>848</v>
      </c>
    </row>
    <row r="554" spans="1:18" s="205" customFormat="1" x14ac:dyDescent="0.2">
      <c r="A554" s="205" t="s">
        <v>429</v>
      </c>
      <c r="B554" s="205" t="s">
        <v>577</v>
      </c>
      <c r="C554" s="200">
        <v>45407</v>
      </c>
      <c r="D554" s="201" t="s">
        <v>152</v>
      </c>
      <c r="E554" s="206">
        <v>28730</v>
      </c>
      <c r="F554" s="206">
        <v>2873</v>
      </c>
      <c r="G554" s="206">
        <v>287</v>
      </c>
      <c r="H554" s="202">
        <f t="shared" si="8"/>
        <v>26144</v>
      </c>
      <c r="I554" s="205" t="s">
        <v>31</v>
      </c>
      <c r="J554" s="205" t="s">
        <v>29</v>
      </c>
      <c r="K554" s="201" t="s">
        <v>1042</v>
      </c>
      <c r="L554" s="205" t="s">
        <v>2106</v>
      </c>
      <c r="M554" s="199" t="s">
        <v>1030</v>
      </c>
      <c r="N554" s="205" t="s">
        <v>652</v>
      </c>
      <c r="O554" s="205" t="s">
        <v>652</v>
      </c>
      <c r="P554" s="215" t="s">
        <v>653</v>
      </c>
      <c r="Q554" s="216" t="s">
        <v>654</v>
      </c>
      <c r="R554" s="216" t="s">
        <v>848</v>
      </c>
    </row>
    <row r="555" spans="1:18" s="205" customFormat="1" x14ac:dyDescent="0.2">
      <c r="A555" s="205" t="s">
        <v>75</v>
      </c>
      <c r="B555" s="205" t="s">
        <v>592</v>
      </c>
      <c r="C555" s="200">
        <v>45407</v>
      </c>
      <c r="D555" s="201" t="s">
        <v>152</v>
      </c>
      <c r="E555" s="206">
        <v>19664</v>
      </c>
      <c r="F555" s="206">
        <v>0</v>
      </c>
      <c r="G555" s="206">
        <v>0</v>
      </c>
      <c r="H555" s="202">
        <f t="shared" si="8"/>
        <v>19664</v>
      </c>
      <c r="I555" s="205" t="s">
        <v>76</v>
      </c>
      <c r="J555" s="205" t="s">
        <v>29</v>
      </c>
      <c r="K555" s="201" t="s">
        <v>1042</v>
      </c>
      <c r="L555" s="205" t="s">
        <v>2107</v>
      </c>
      <c r="M555" s="209" t="s">
        <v>1030</v>
      </c>
      <c r="N555" s="205" t="s">
        <v>652</v>
      </c>
      <c r="O555" s="205" t="s">
        <v>652</v>
      </c>
      <c r="P555" s="207" t="s">
        <v>653</v>
      </c>
      <c r="Q555" s="208" t="s">
        <v>654</v>
      </c>
      <c r="R555" s="208" t="s">
        <v>848</v>
      </c>
    </row>
    <row r="556" spans="1:18" s="205" customFormat="1" x14ac:dyDescent="0.2">
      <c r="A556" s="205" t="s">
        <v>1183</v>
      </c>
      <c r="B556" s="205" t="s">
        <v>1184</v>
      </c>
      <c r="C556" s="200">
        <v>45407</v>
      </c>
      <c r="D556" s="201" t="s">
        <v>152</v>
      </c>
      <c r="E556" s="206">
        <v>26409</v>
      </c>
      <c r="F556" s="206">
        <v>2641</v>
      </c>
      <c r="G556" s="206">
        <v>264</v>
      </c>
      <c r="H556" s="202">
        <f t="shared" si="8"/>
        <v>24032</v>
      </c>
      <c r="I556" s="205" t="s">
        <v>90</v>
      </c>
      <c r="J556" s="205" t="s">
        <v>29</v>
      </c>
      <c r="K556" s="201" t="s">
        <v>1042</v>
      </c>
      <c r="L556" s="205" t="s">
        <v>2108</v>
      </c>
      <c r="M556" s="209" t="s">
        <v>1030</v>
      </c>
      <c r="N556" s="205" t="s">
        <v>1186</v>
      </c>
      <c r="O556" s="205" t="s">
        <v>1187</v>
      </c>
      <c r="P556" s="207" t="s">
        <v>987</v>
      </c>
      <c r="Q556" s="208" t="s">
        <v>988</v>
      </c>
      <c r="R556" s="208" t="s">
        <v>848</v>
      </c>
    </row>
    <row r="557" spans="1:18" s="205" customFormat="1" x14ac:dyDescent="0.2">
      <c r="A557" s="205" t="s">
        <v>2109</v>
      </c>
      <c r="B557" s="205" t="s">
        <v>2110</v>
      </c>
      <c r="C557" s="200">
        <v>45407</v>
      </c>
      <c r="D557" s="201" t="s">
        <v>152</v>
      </c>
      <c r="E557" s="206">
        <v>179994</v>
      </c>
      <c r="F557" s="206">
        <v>17999</v>
      </c>
      <c r="G557" s="206">
        <v>1800</v>
      </c>
      <c r="H557" s="202">
        <f t="shared" si="8"/>
        <v>163795</v>
      </c>
      <c r="I557" s="205" t="s">
        <v>49</v>
      </c>
      <c r="J557" s="205" t="s">
        <v>29</v>
      </c>
      <c r="K557" s="201" t="s">
        <v>1028</v>
      </c>
      <c r="L557" s="205" t="s">
        <v>2111</v>
      </c>
      <c r="M557" s="201" t="s">
        <v>1030</v>
      </c>
      <c r="N557" s="205" t="s">
        <v>652</v>
      </c>
      <c r="O557" s="205" t="s">
        <v>652</v>
      </c>
      <c r="P557" s="207" t="s">
        <v>987</v>
      </c>
      <c r="Q557" s="208" t="s">
        <v>988</v>
      </c>
      <c r="R557" s="208" t="s">
        <v>848</v>
      </c>
    </row>
    <row r="558" spans="1:18" s="205" customFormat="1" x14ac:dyDescent="0.2">
      <c r="A558" s="205" t="s">
        <v>191</v>
      </c>
      <c r="B558" s="205" t="s">
        <v>286</v>
      </c>
      <c r="C558" s="200">
        <v>45407</v>
      </c>
      <c r="D558" s="199" t="s">
        <v>166</v>
      </c>
      <c r="E558" s="206">
        <v>-8017</v>
      </c>
      <c r="F558" s="206">
        <v>-802</v>
      </c>
      <c r="G558" s="206">
        <v>-80</v>
      </c>
      <c r="H558" s="202">
        <f t="shared" si="8"/>
        <v>-7295</v>
      </c>
      <c r="I558" s="205" t="s">
        <v>31</v>
      </c>
      <c r="J558" s="205" t="s">
        <v>29</v>
      </c>
      <c r="K558" s="201" t="s">
        <v>1068</v>
      </c>
      <c r="L558" s="205" t="s">
        <v>2112</v>
      </c>
      <c r="M558" s="201" t="s">
        <v>1030</v>
      </c>
      <c r="N558" s="205" t="s">
        <v>652</v>
      </c>
      <c r="O558" s="205" t="s">
        <v>652</v>
      </c>
      <c r="P558" s="207" t="s">
        <v>724</v>
      </c>
      <c r="Q558" s="208" t="s">
        <v>725</v>
      </c>
      <c r="R558" s="208" t="s">
        <v>848</v>
      </c>
    </row>
    <row r="559" spans="1:18" s="205" customFormat="1" x14ac:dyDescent="0.2">
      <c r="A559" s="205" t="s">
        <v>263</v>
      </c>
      <c r="B559" s="205" t="s">
        <v>2113</v>
      </c>
      <c r="C559" s="200">
        <v>45407</v>
      </c>
      <c r="D559" s="201" t="s">
        <v>152</v>
      </c>
      <c r="E559" s="206">
        <v>2798251</v>
      </c>
      <c r="F559" s="206">
        <v>279825</v>
      </c>
      <c r="G559" s="206">
        <v>13991</v>
      </c>
      <c r="H559" s="202">
        <f t="shared" si="8"/>
        <v>2532417</v>
      </c>
      <c r="I559" s="205" t="s">
        <v>360</v>
      </c>
      <c r="J559" s="205" t="s">
        <v>23</v>
      </c>
      <c r="K559" s="201" t="s">
        <v>1028</v>
      </c>
      <c r="L559" s="205" t="s">
        <v>2114</v>
      </c>
      <c r="M559" s="201" t="s">
        <v>1030</v>
      </c>
      <c r="N559" s="205" t="s">
        <v>652</v>
      </c>
      <c r="O559" s="205" t="s">
        <v>652</v>
      </c>
      <c r="P559" s="207" t="s">
        <v>992</v>
      </c>
      <c r="Q559" s="208" t="s">
        <v>993</v>
      </c>
      <c r="R559" s="208" t="s">
        <v>2062</v>
      </c>
    </row>
    <row r="560" spans="1:18" s="205" customFormat="1" x14ac:dyDescent="0.2">
      <c r="A560" s="205" t="s">
        <v>2115</v>
      </c>
      <c r="B560" s="205" t="s">
        <v>229</v>
      </c>
      <c r="C560" s="200">
        <v>45407</v>
      </c>
      <c r="D560" s="201" t="s">
        <v>152</v>
      </c>
      <c r="E560" s="206">
        <v>51322</v>
      </c>
      <c r="F560" s="206">
        <v>5132</v>
      </c>
      <c r="G560" s="206">
        <v>257</v>
      </c>
      <c r="H560" s="202">
        <f t="shared" si="8"/>
        <v>46447</v>
      </c>
      <c r="I560" s="205" t="s">
        <v>38</v>
      </c>
      <c r="J560" s="205" t="s">
        <v>23</v>
      </c>
      <c r="K560" s="201" t="s">
        <v>1042</v>
      </c>
      <c r="L560" s="205" t="s">
        <v>2116</v>
      </c>
      <c r="M560" s="201" t="s">
        <v>1030</v>
      </c>
      <c r="N560" s="205" t="s">
        <v>652</v>
      </c>
      <c r="O560" s="205" t="s">
        <v>652</v>
      </c>
      <c r="P560" s="207" t="s">
        <v>987</v>
      </c>
      <c r="Q560" s="208" t="s">
        <v>988</v>
      </c>
      <c r="R560" s="208" t="s">
        <v>848</v>
      </c>
    </row>
    <row r="561" spans="1:18" s="205" customFormat="1" x14ac:dyDescent="0.2">
      <c r="A561" s="205" t="s">
        <v>159</v>
      </c>
      <c r="B561" s="205" t="s">
        <v>288</v>
      </c>
      <c r="C561" s="200">
        <v>45407</v>
      </c>
      <c r="D561" s="201" t="s">
        <v>152</v>
      </c>
      <c r="E561" s="206">
        <v>3000</v>
      </c>
      <c r="F561" s="206">
        <v>300</v>
      </c>
      <c r="G561" s="206">
        <v>15</v>
      </c>
      <c r="H561" s="202">
        <f t="shared" si="8"/>
        <v>2715</v>
      </c>
      <c r="I561" s="205" t="s">
        <v>289</v>
      </c>
      <c r="J561" s="205" t="s">
        <v>23</v>
      </c>
      <c r="K561" s="201" t="s">
        <v>1042</v>
      </c>
      <c r="L561" s="205" t="s">
        <v>2117</v>
      </c>
      <c r="M561" s="201" t="s">
        <v>1030</v>
      </c>
      <c r="N561" s="205" t="s">
        <v>652</v>
      </c>
      <c r="O561" s="205" t="s">
        <v>652</v>
      </c>
      <c r="P561" s="207" t="s">
        <v>881</v>
      </c>
      <c r="Q561" s="208" t="s">
        <v>882</v>
      </c>
      <c r="R561" s="216" t="s">
        <v>848</v>
      </c>
    </row>
    <row r="562" spans="1:18" s="205" customFormat="1" x14ac:dyDescent="0.2">
      <c r="A562" s="205" t="s">
        <v>2118</v>
      </c>
      <c r="B562" s="205" t="s">
        <v>2119</v>
      </c>
      <c r="C562" s="200">
        <v>45407</v>
      </c>
      <c r="D562" s="201" t="s">
        <v>152</v>
      </c>
      <c r="E562" s="206">
        <v>51703</v>
      </c>
      <c r="F562" s="206">
        <v>5170</v>
      </c>
      <c r="G562" s="206">
        <v>259</v>
      </c>
      <c r="H562" s="202">
        <f t="shared" si="8"/>
        <v>46792</v>
      </c>
      <c r="I562" s="205" t="s">
        <v>373</v>
      </c>
      <c r="J562" s="205" t="s">
        <v>23</v>
      </c>
      <c r="K562" s="201" t="s">
        <v>1058</v>
      </c>
      <c r="L562" s="205" t="s">
        <v>2120</v>
      </c>
      <c r="M562" s="201" t="s">
        <v>1030</v>
      </c>
      <c r="N562" s="205" t="s">
        <v>652</v>
      </c>
      <c r="O562" s="205" t="s">
        <v>652</v>
      </c>
      <c r="P562" s="207" t="s">
        <v>987</v>
      </c>
      <c r="Q562" s="208" t="s">
        <v>988</v>
      </c>
      <c r="R562" s="208" t="s">
        <v>848</v>
      </c>
    </row>
    <row r="563" spans="1:18" s="205" customFormat="1" x14ac:dyDescent="0.2">
      <c r="A563" s="205" t="s">
        <v>275</v>
      </c>
      <c r="B563" s="205" t="s">
        <v>1753</v>
      </c>
      <c r="C563" s="200">
        <v>45407</v>
      </c>
      <c r="D563" s="201" t="s">
        <v>152</v>
      </c>
      <c r="E563" s="206">
        <v>180018</v>
      </c>
      <c r="F563" s="206">
        <v>18002</v>
      </c>
      <c r="G563" s="206">
        <v>900</v>
      </c>
      <c r="H563" s="202">
        <f t="shared" si="8"/>
        <v>162916</v>
      </c>
      <c r="I563" s="205" t="s">
        <v>22</v>
      </c>
      <c r="J563" s="205" t="s">
        <v>23</v>
      </c>
      <c r="K563" s="201" t="s">
        <v>1042</v>
      </c>
      <c r="L563" s="205" t="s">
        <v>2121</v>
      </c>
      <c r="M563" s="201" t="s">
        <v>1030</v>
      </c>
      <c r="N563" s="205" t="s">
        <v>1278</v>
      </c>
      <c r="O563" s="205" t="s">
        <v>1187</v>
      </c>
      <c r="P563" s="207" t="s">
        <v>1035</v>
      </c>
      <c r="Q563" s="208" t="s">
        <v>1036</v>
      </c>
      <c r="R563" s="208" t="s">
        <v>848</v>
      </c>
    </row>
    <row r="564" spans="1:18" s="205" customFormat="1" x14ac:dyDescent="0.2">
      <c r="A564" s="205" t="s">
        <v>380</v>
      </c>
      <c r="B564" s="205" t="s">
        <v>379</v>
      </c>
      <c r="C564" s="200">
        <v>45407</v>
      </c>
      <c r="D564" s="201" t="s">
        <v>152</v>
      </c>
      <c r="E564" s="206">
        <v>53199</v>
      </c>
      <c r="F564" s="206">
        <v>5320</v>
      </c>
      <c r="G564" s="206">
        <v>266</v>
      </c>
      <c r="H564" s="202">
        <f t="shared" si="8"/>
        <v>48145</v>
      </c>
      <c r="I564" s="205" t="s">
        <v>38</v>
      </c>
      <c r="J564" s="205" t="s">
        <v>23</v>
      </c>
      <c r="K564" s="201" t="s">
        <v>1042</v>
      </c>
      <c r="L564" s="205" t="s">
        <v>2122</v>
      </c>
      <c r="M564" s="201" t="s">
        <v>1030</v>
      </c>
      <c r="N564" s="205" t="s">
        <v>1190</v>
      </c>
      <c r="O564" s="205" t="s">
        <v>1191</v>
      </c>
      <c r="P564" s="207" t="s">
        <v>498</v>
      </c>
      <c r="Q564" s="208" t="s">
        <v>828</v>
      </c>
      <c r="R564" s="216" t="s">
        <v>848</v>
      </c>
    </row>
    <row r="565" spans="1:18" s="205" customFormat="1" x14ac:dyDescent="0.2">
      <c r="A565" s="205" t="s">
        <v>2123</v>
      </c>
      <c r="B565" s="205" t="s">
        <v>2124</v>
      </c>
      <c r="C565" s="200">
        <v>45407</v>
      </c>
      <c r="D565" s="201" t="s">
        <v>152</v>
      </c>
      <c r="E565" s="206">
        <v>115261</v>
      </c>
      <c r="F565" s="206">
        <v>11526</v>
      </c>
      <c r="G565" s="206">
        <v>576</v>
      </c>
      <c r="H565" s="202">
        <f t="shared" si="8"/>
        <v>104311</v>
      </c>
      <c r="I565" s="205" t="s">
        <v>138</v>
      </c>
      <c r="J565" s="205" t="s">
        <v>23</v>
      </c>
      <c r="K565" s="201" t="s">
        <v>1028</v>
      </c>
      <c r="L565" s="205" t="s">
        <v>2125</v>
      </c>
      <c r="M565" s="209" t="s">
        <v>1072</v>
      </c>
      <c r="N565" s="205" t="s">
        <v>652</v>
      </c>
      <c r="O565" s="205" t="s">
        <v>652</v>
      </c>
      <c r="P565" s="207" t="s">
        <v>987</v>
      </c>
      <c r="Q565" s="208" t="s">
        <v>988</v>
      </c>
      <c r="R565" s="208" t="s">
        <v>848</v>
      </c>
    </row>
    <row r="566" spans="1:18" s="205" customFormat="1" x14ac:dyDescent="0.2">
      <c r="A566" s="205" t="s">
        <v>100</v>
      </c>
      <c r="B566" s="205" t="s">
        <v>608</v>
      </c>
      <c r="C566" s="200">
        <v>45407</v>
      </c>
      <c r="D566" s="201" t="s">
        <v>152</v>
      </c>
      <c r="E566" s="206">
        <v>22533</v>
      </c>
      <c r="F566" s="206">
        <v>2253</v>
      </c>
      <c r="G566" s="206">
        <v>113</v>
      </c>
      <c r="H566" s="202">
        <f t="shared" si="8"/>
        <v>20393</v>
      </c>
      <c r="I566" s="205" t="s">
        <v>101</v>
      </c>
      <c r="J566" s="205" t="s">
        <v>23</v>
      </c>
      <c r="K566" s="201" t="s">
        <v>1042</v>
      </c>
      <c r="L566" s="205" t="s">
        <v>2126</v>
      </c>
      <c r="M566" s="209" t="s">
        <v>1030</v>
      </c>
      <c r="N566" s="205" t="s">
        <v>652</v>
      </c>
      <c r="O566" s="205" t="s">
        <v>652</v>
      </c>
      <c r="P566" s="207" t="s">
        <v>653</v>
      </c>
      <c r="Q566" s="208" t="s">
        <v>654</v>
      </c>
      <c r="R566" s="208" t="s">
        <v>848</v>
      </c>
    </row>
    <row r="567" spans="1:18" s="205" customFormat="1" x14ac:dyDescent="0.2">
      <c r="A567" s="205" t="s">
        <v>1376</v>
      </c>
      <c r="B567" s="205" t="s">
        <v>1377</v>
      </c>
      <c r="C567" s="200">
        <v>45407</v>
      </c>
      <c r="D567" s="201" t="s">
        <v>152</v>
      </c>
      <c r="E567" s="206">
        <v>125066</v>
      </c>
      <c r="F567" s="206">
        <v>12507</v>
      </c>
      <c r="G567" s="206">
        <v>625</v>
      </c>
      <c r="H567" s="202">
        <f t="shared" si="8"/>
        <v>113184</v>
      </c>
      <c r="I567" s="205" t="s">
        <v>52</v>
      </c>
      <c r="J567" s="205" t="s">
        <v>23</v>
      </c>
      <c r="K567" s="201" t="s">
        <v>1042</v>
      </c>
      <c r="L567" s="205" t="s">
        <v>2127</v>
      </c>
      <c r="M567" s="201" t="s">
        <v>1030</v>
      </c>
      <c r="N567" s="205" t="s">
        <v>652</v>
      </c>
      <c r="O567" s="205" t="s">
        <v>652</v>
      </c>
      <c r="P567" s="207" t="s">
        <v>696</v>
      </c>
      <c r="Q567" s="208" t="s">
        <v>697</v>
      </c>
      <c r="R567" s="208" t="s">
        <v>848</v>
      </c>
    </row>
    <row r="568" spans="1:18" s="205" customFormat="1" x14ac:dyDescent="0.2">
      <c r="A568" s="205" t="s">
        <v>438</v>
      </c>
      <c r="B568" s="205" t="s">
        <v>598</v>
      </c>
      <c r="C568" s="200">
        <v>45407</v>
      </c>
      <c r="D568" s="201" t="s">
        <v>152</v>
      </c>
      <c r="E568" s="206">
        <v>105090</v>
      </c>
      <c r="F568" s="206">
        <v>10509</v>
      </c>
      <c r="G568" s="206">
        <v>525</v>
      </c>
      <c r="H568" s="202">
        <f t="shared" si="8"/>
        <v>95106</v>
      </c>
      <c r="I568" s="205" t="s">
        <v>52</v>
      </c>
      <c r="J568" s="205" t="s">
        <v>23</v>
      </c>
      <c r="K568" s="201" t="s">
        <v>1042</v>
      </c>
      <c r="L568" s="205" t="s">
        <v>2128</v>
      </c>
      <c r="M568" s="201" t="s">
        <v>1030</v>
      </c>
      <c r="N568" s="205" t="s">
        <v>652</v>
      </c>
      <c r="O568" s="205" t="s">
        <v>652</v>
      </c>
      <c r="P568" s="207" t="s">
        <v>653</v>
      </c>
      <c r="Q568" s="208" t="s">
        <v>654</v>
      </c>
      <c r="R568" s="208" t="s">
        <v>848</v>
      </c>
    </row>
    <row r="569" spans="1:18" s="205" customFormat="1" x14ac:dyDescent="0.2">
      <c r="A569" s="205" t="s">
        <v>520</v>
      </c>
      <c r="B569" s="205" t="s">
        <v>521</v>
      </c>
      <c r="C569" s="200">
        <v>45407</v>
      </c>
      <c r="D569" s="201" t="s">
        <v>152</v>
      </c>
      <c r="E569" s="206">
        <v>16775</v>
      </c>
      <c r="F569" s="206">
        <v>1678</v>
      </c>
      <c r="G569" s="206">
        <v>84</v>
      </c>
      <c r="H569" s="202">
        <f t="shared" si="8"/>
        <v>15181</v>
      </c>
      <c r="I569" s="205" t="s">
        <v>522</v>
      </c>
      <c r="J569" s="205" t="s">
        <v>23</v>
      </c>
      <c r="K569" s="201" t="s">
        <v>1042</v>
      </c>
      <c r="L569" s="205" t="s">
        <v>2129</v>
      </c>
      <c r="M569" s="209" t="s">
        <v>1756</v>
      </c>
      <c r="N569" s="205" t="s">
        <v>1757</v>
      </c>
      <c r="O569" s="205" t="s">
        <v>1066</v>
      </c>
      <c r="P569" s="207" t="s">
        <v>756</v>
      </c>
      <c r="Q569" s="208" t="s">
        <v>757</v>
      </c>
      <c r="R569" s="208" t="s">
        <v>848</v>
      </c>
    </row>
    <row r="570" spans="1:18" s="205" customFormat="1" x14ac:dyDescent="0.2">
      <c r="A570" s="205" t="s">
        <v>1271</v>
      </c>
      <c r="B570" s="205" t="s">
        <v>1272</v>
      </c>
      <c r="C570" s="200">
        <v>45407</v>
      </c>
      <c r="D570" s="201" t="s">
        <v>152</v>
      </c>
      <c r="E570" s="206">
        <v>15040</v>
      </c>
      <c r="F570" s="206">
        <v>1504</v>
      </c>
      <c r="G570" s="206">
        <v>75</v>
      </c>
      <c r="H570" s="202">
        <f t="shared" si="8"/>
        <v>13611</v>
      </c>
      <c r="I570" s="205" t="s">
        <v>22</v>
      </c>
      <c r="J570" s="205" t="s">
        <v>23</v>
      </c>
      <c r="K570" s="201" t="s">
        <v>1042</v>
      </c>
      <c r="L570" s="205" t="s">
        <v>2130</v>
      </c>
      <c r="M570" s="209" t="s">
        <v>1030</v>
      </c>
      <c r="N570" s="205" t="s">
        <v>1274</v>
      </c>
      <c r="O570" s="205" t="s">
        <v>1111</v>
      </c>
      <c r="P570" s="207" t="s">
        <v>987</v>
      </c>
      <c r="Q570" s="208" t="s">
        <v>988</v>
      </c>
      <c r="R570" s="208" t="s">
        <v>848</v>
      </c>
    </row>
    <row r="571" spans="1:18" s="205" customFormat="1" x14ac:dyDescent="0.2">
      <c r="A571" s="205" t="s">
        <v>537</v>
      </c>
      <c r="B571" s="205" t="s">
        <v>538</v>
      </c>
      <c r="C571" s="200">
        <v>45407</v>
      </c>
      <c r="D571" s="201" t="s">
        <v>152</v>
      </c>
      <c r="E571" s="206">
        <v>6081</v>
      </c>
      <c r="F571" s="206">
        <v>608</v>
      </c>
      <c r="G571" s="206">
        <v>30</v>
      </c>
      <c r="H571" s="202">
        <f t="shared" si="8"/>
        <v>5503</v>
      </c>
      <c r="I571" s="205" t="s">
        <v>344</v>
      </c>
      <c r="J571" s="205" t="s">
        <v>23</v>
      </c>
      <c r="K571" s="201" t="s">
        <v>1042</v>
      </c>
      <c r="L571" s="205" t="s">
        <v>2131</v>
      </c>
      <c r="M571" s="201" t="s">
        <v>1030</v>
      </c>
      <c r="N571" s="205" t="s">
        <v>1065</v>
      </c>
      <c r="O571" s="205" t="s">
        <v>1066</v>
      </c>
      <c r="P571" s="207" t="s">
        <v>688</v>
      </c>
      <c r="Q571" s="208" t="s">
        <v>689</v>
      </c>
      <c r="R571" s="208" t="s">
        <v>848</v>
      </c>
    </row>
    <row r="572" spans="1:18" s="205" customFormat="1" x14ac:dyDescent="0.2">
      <c r="A572" s="205" t="s">
        <v>116</v>
      </c>
      <c r="B572" s="205" t="s">
        <v>524</v>
      </c>
      <c r="C572" s="200">
        <v>45407</v>
      </c>
      <c r="D572" s="199" t="s">
        <v>166</v>
      </c>
      <c r="E572" s="206">
        <v>-38885</v>
      </c>
      <c r="F572" s="206">
        <v>-3888</v>
      </c>
      <c r="G572" s="206">
        <v>-194</v>
      </c>
      <c r="H572" s="202">
        <f t="shared" si="8"/>
        <v>-35191</v>
      </c>
      <c r="I572" s="205" t="s">
        <v>44</v>
      </c>
      <c r="J572" s="205" t="s">
        <v>23</v>
      </c>
      <c r="K572" s="201" t="s">
        <v>1068</v>
      </c>
      <c r="L572" s="205" t="s">
        <v>2132</v>
      </c>
      <c r="M572" s="201" t="s">
        <v>1030</v>
      </c>
      <c r="N572" s="205" t="s">
        <v>652</v>
      </c>
      <c r="O572" s="205" t="s">
        <v>652</v>
      </c>
      <c r="P572" s="207" t="s">
        <v>666</v>
      </c>
      <c r="Q572" s="208" t="s">
        <v>667</v>
      </c>
      <c r="R572" s="208" t="s">
        <v>848</v>
      </c>
    </row>
    <row r="573" spans="1:18" s="205" customFormat="1" ht="12.75" customHeight="1" x14ac:dyDescent="0.2">
      <c r="A573" s="205" t="s">
        <v>225</v>
      </c>
      <c r="B573" s="205" t="s">
        <v>287</v>
      </c>
      <c r="C573" s="200">
        <v>45407</v>
      </c>
      <c r="D573" s="201" t="s">
        <v>152</v>
      </c>
      <c r="E573" s="206">
        <v>9313</v>
      </c>
      <c r="F573" s="206">
        <v>0</v>
      </c>
      <c r="G573" s="206">
        <v>0</v>
      </c>
      <c r="H573" s="202">
        <f t="shared" si="8"/>
        <v>9313</v>
      </c>
      <c r="I573" s="205" t="s">
        <v>25</v>
      </c>
      <c r="J573" s="205" t="s">
        <v>214</v>
      </c>
      <c r="K573" s="201" t="s">
        <v>1042</v>
      </c>
      <c r="L573" s="205" t="s">
        <v>2133</v>
      </c>
      <c r="M573" s="209" t="s">
        <v>1030</v>
      </c>
      <c r="N573" s="205" t="s">
        <v>652</v>
      </c>
      <c r="O573" s="205" t="s">
        <v>652</v>
      </c>
      <c r="P573" s="207" t="s">
        <v>724</v>
      </c>
      <c r="Q573" s="208" t="s">
        <v>725</v>
      </c>
      <c r="R573" s="208" t="s">
        <v>848</v>
      </c>
    </row>
    <row r="574" spans="1:18" s="205" customFormat="1" x14ac:dyDescent="0.2">
      <c r="A574" s="205" t="s">
        <v>156</v>
      </c>
      <c r="B574" s="205" t="s">
        <v>648</v>
      </c>
      <c r="C574" s="200">
        <v>45407</v>
      </c>
      <c r="D574" s="201" t="s">
        <v>152</v>
      </c>
      <c r="E574" s="206">
        <v>18430</v>
      </c>
      <c r="F574" s="206">
        <v>0</v>
      </c>
      <c r="G574" s="206">
        <v>0</v>
      </c>
      <c r="H574" s="202">
        <f t="shared" si="8"/>
        <v>18430</v>
      </c>
      <c r="I574" s="205" t="s">
        <v>25</v>
      </c>
      <c r="J574" s="205" t="s">
        <v>214</v>
      </c>
      <c r="K574" s="201" t="s">
        <v>1042</v>
      </c>
      <c r="L574" s="205" t="s">
        <v>2134</v>
      </c>
      <c r="M574" s="201" t="s">
        <v>1030</v>
      </c>
      <c r="N574" s="205" t="s">
        <v>1190</v>
      </c>
      <c r="O574" s="205" t="s">
        <v>1191</v>
      </c>
      <c r="P574" s="207" t="s">
        <v>778</v>
      </c>
      <c r="Q574" s="208" t="s">
        <v>779</v>
      </c>
      <c r="R574" s="208" t="s">
        <v>848</v>
      </c>
    </row>
    <row r="575" spans="1:18" s="205" customFormat="1" x14ac:dyDescent="0.2">
      <c r="A575" s="205" t="s">
        <v>325</v>
      </c>
      <c r="B575" s="205" t="s">
        <v>326</v>
      </c>
      <c r="C575" s="200">
        <v>45407</v>
      </c>
      <c r="D575" s="201" t="s">
        <v>152</v>
      </c>
      <c r="E575" s="206">
        <v>5338</v>
      </c>
      <c r="F575" s="206">
        <v>0</v>
      </c>
      <c r="G575" s="206">
        <v>0</v>
      </c>
      <c r="H575" s="202">
        <f t="shared" si="8"/>
        <v>5338</v>
      </c>
      <c r="I575" s="205" t="s">
        <v>25</v>
      </c>
      <c r="J575" s="205" t="s">
        <v>214</v>
      </c>
      <c r="K575" s="201" t="s">
        <v>1042</v>
      </c>
      <c r="L575" s="205" t="s">
        <v>2135</v>
      </c>
      <c r="M575" s="201" t="s">
        <v>1393</v>
      </c>
      <c r="N575" s="205" t="s">
        <v>1190</v>
      </c>
      <c r="O575" s="205" t="s">
        <v>1191</v>
      </c>
      <c r="P575" s="207" t="s">
        <v>669</v>
      </c>
      <c r="Q575" s="208" t="s">
        <v>670</v>
      </c>
      <c r="R575" s="208" t="s">
        <v>848</v>
      </c>
    </row>
    <row r="576" spans="1:18" s="205" customFormat="1" x14ac:dyDescent="0.2">
      <c r="A576" s="205" t="s">
        <v>996</v>
      </c>
      <c r="B576" s="205" t="s">
        <v>2136</v>
      </c>
      <c r="C576" s="200">
        <v>45407</v>
      </c>
      <c r="D576" s="201" t="s">
        <v>152</v>
      </c>
      <c r="E576" s="206">
        <v>131256</v>
      </c>
      <c r="F576" s="206">
        <v>0</v>
      </c>
      <c r="G576" s="206">
        <v>0</v>
      </c>
      <c r="H576" s="202">
        <f t="shared" si="8"/>
        <v>131256</v>
      </c>
      <c r="I576" s="205" t="s">
        <v>25</v>
      </c>
      <c r="J576" s="205" t="s">
        <v>214</v>
      </c>
      <c r="K576" s="201" t="s">
        <v>1042</v>
      </c>
      <c r="L576" s="205" t="s">
        <v>2137</v>
      </c>
      <c r="M576" s="201" t="s">
        <v>2138</v>
      </c>
      <c r="N576" s="205" t="s">
        <v>1190</v>
      </c>
      <c r="O576" s="205" t="s">
        <v>1191</v>
      </c>
      <c r="P576" s="207" t="s">
        <v>2139</v>
      </c>
      <c r="Q576" s="208" t="s">
        <v>2140</v>
      </c>
      <c r="R576" s="208" t="s">
        <v>848</v>
      </c>
    </row>
    <row r="577" spans="1:18" s="205" customFormat="1" x14ac:dyDescent="0.2">
      <c r="A577" s="205" t="s">
        <v>55</v>
      </c>
      <c r="B577" s="205" t="s">
        <v>519</v>
      </c>
      <c r="C577" s="200">
        <v>45407</v>
      </c>
      <c r="D577" s="201" t="s">
        <v>152</v>
      </c>
      <c r="E577" s="206">
        <v>17546</v>
      </c>
      <c r="F577" s="206">
        <v>0</v>
      </c>
      <c r="G577" s="206">
        <v>0</v>
      </c>
      <c r="H577" s="202">
        <f t="shared" si="8"/>
        <v>17546</v>
      </c>
      <c r="I577" s="205" t="s">
        <v>25</v>
      </c>
      <c r="J577" s="205" t="s">
        <v>214</v>
      </c>
      <c r="K577" s="201" t="s">
        <v>1042</v>
      </c>
      <c r="L577" s="205" t="s">
        <v>2141</v>
      </c>
      <c r="M577" s="201" t="s">
        <v>1030</v>
      </c>
      <c r="N577" s="205" t="s">
        <v>652</v>
      </c>
      <c r="O577" s="205" t="s">
        <v>652</v>
      </c>
      <c r="P577" s="207" t="s">
        <v>653</v>
      </c>
      <c r="Q577" s="208" t="s">
        <v>697</v>
      </c>
      <c r="R577" s="208" t="s">
        <v>848</v>
      </c>
    </row>
    <row r="578" spans="1:18" s="205" customFormat="1" x14ac:dyDescent="0.2">
      <c r="A578" s="205" t="s">
        <v>319</v>
      </c>
      <c r="B578" s="205" t="s">
        <v>320</v>
      </c>
      <c r="C578" s="200">
        <v>45407</v>
      </c>
      <c r="D578" s="201" t="s">
        <v>152</v>
      </c>
      <c r="E578" s="206">
        <v>8002</v>
      </c>
      <c r="F578" s="206">
        <v>0</v>
      </c>
      <c r="G578" s="206">
        <v>0</v>
      </c>
      <c r="H578" s="202">
        <f t="shared" ref="H578:H641" si="9">E578+G578-F578</f>
        <v>8002</v>
      </c>
      <c r="I578" s="205" t="s">
        <v>25</v>
      </c>
      <c r="J578" s="205" t="s">
        <v>214</v>
      </c>
      <c r="K578" s="201" t="s">
        <v>1042</v>
      </c>
      <c r="L578" s="205" t="s">
        <v>2142</v>
      </c>
      <c r="M578" s="201" t="s">
        <v>1565</v>
      </c>
      <c r="N578" s="205" t="s">
        <v>1295</v>
      </c>
      <c r="O578" s="205" t="s">
        <v>1061</v>
      </c>
      <c r="P578" s="207" t="s">
        <v>669</v>
      </c>
      <c r="Q578" s="208" t="s">
        <v>670</v>
      </c>
      <c r="R578" s="208" t="s">
        <v>848</v>
      </c>
    </row>
    <row r="579" spans="1:18" s="205" customFormat="1" x14ac:dyDescent="0.2">
      <c r="A579" s="205" t="s">
        <v>153</v>
      </c>
      <c r="B579" s="205" t="s">
        <v>304</v>
      </c>
      <c r="C579" s="200">
        <v>45407</v>
      </c>
      <c r="D579" s="201" t="s">
        <v>152</v>
      </c>
      <c r="E579" s="206">
        <v>31983</v>
      </c>
      <c r="F579" s="206">
        <v>0</v>
      </c>
      <c r="G579" s="206">
        <v>0</v>
      </c>
      <c r="H579" s="202">
        <f t="shared" si="9"/>
        <v>31983</v>
      </c>
      <c r="I579" s="205" t="s">
        <v>25</v>
      </c>
      <c r="J579" s="205" t="s">
        <v>214</v>
      </c>
      <c r="K579" s="201" t="s">
        <v>1042</v>
      </c>
      <c r="L579" s="205" t="s">
        <v>2143</v>
      </c>
      <c r="M579" s="201" t="s">
        <v>1030</v>
      </c>
      <c r="N579" s="205" t="s">
        <v>652</v>
      </c>
      <c r="O579" s="205" t="s">
        <v>652</v>
      </c>
      <c r="P579" s="207" t="s">
        <v>724</v>
      </c>
      <c r="Q579" s="208" t="s">
        <v>725</v>
      </c>
      <c r="R579" s="208" t="s">
        <v>848</v>
      </c>
    </row>
    <row r="580" spans="1:18" s="205" customFormat="1" x14ac:dyDescent="0.2">
      <c r="A580" s="205" t="s">
        <v>68</v>
      </c>
      <c r="B580" s="205" t="s">
        <v>600</v>
      </c>
      <c r="C580" s="200">
        <v>45407</v>
      </c>
      <c r="D580" s="201" t="s">
        <v>152</v>
      </c>
      <c r="E580" s="206">
        <v>44092</v>
      </c>
      <c r="F580" s="206">
        <v>0</v>
      </c>
      <c r="G580" s="206">
        <v>0</v>
      </c>
      <c r="H580" s="202">
        <f t="shared" si="9"/>
        <v>44092</v>
      </c>
      <c r="I580" s="205" t="s">
        <v>25</v>
      </c>
      <c r="J580" s="205" t="s">
        <v>214</v>
      </c>
      <c r="K580" s="201" t="s">
        <v>1042</v>
      </c>
      <c r="L580" s="205" t="s">
        <v>2144</v>
      </c>
      <c r="M580" s="201" t="s">
        <v>1030</v>
      </c>
      <c r="N580" s="205" t="s">
        <v>652</v>
      </c>
      <c r="O580" s="205" t="s">
        <v>652</v>
      </c>
      <c r="P580" s="207" t="s">
        <v>653</v>
      </c>
      <c r="Q580" s="208" t="s">
        <v>654</v>
      </c>
      <c r="R580" s="208" t="s">
        <v>848</v>
      </c>
    </row>
    <row r="581" spans="1:18" s="205" customFormat="1" x14ac:dyDescent="0.2">
      <c r="A581" s="205" t="s">
        <v>2145</v>
      </c>
      <c r="B581" s="205" t="s">
        <v>2146</v>
      </c>
      <c r="C581" s="200">
        <v>45408</v>
      </c>
      <c r="D581" s="201" t="s">
        <v>152</v>
      </c>
      <c r="E581" s="206">
        <v>121202</v>
      </c>
      <c r="F581" s="206">
        <v>12120</v>
      </c>
      <c r="G581" s="206">
        <v>1212</v>
      </c>
      <c r="H581" s="202">
        <f t="shared" si="9"/>
        <v>110294</v>
      </c>
      <c r="I581" s="205" t="s">
        <v>46</v>
      </c>
      <c r="J581" s="205" t="s">
        <v>29</v>
      </c>
      <c r="K581" s="201" t="s">
        <v>1058</v>
      </c>
      <c r="L581" s="205" t="s">
        <v>2147</v>
      </c>
      <c r="M581" s="201" t="s">
        <v>1182</v>
      </c>
      <c r="N581" s="205" t="s">
        <v>652</v>
      </c>
      <c r="O581" s="205" t="s">
        <v>652</v>
      </c>
      <c r="P581" s="207" t="s">
        <v>1475</v>
      </c>
      <c r="Q581" s="208" t="s">
        <v>2037</v>
      </c>
      <c r="R581" s="208" t="s">
        <v>848</v>
      </c>
    </row>
    <row r="582" spans="1:18" s="205" customFormat="1" x14ac:dyDescent="0.2">
      <c r="A582" s="205" t="s">
        <v>2148</v>
      </c>
      <c r="B582" s="205" t="s">
        <v>2149</v>
      </c>
      <c r="C582" s="200">
        <v>45408</v>
      </c>
      <c r="D582" s="201" t="s">
        <v>152</v>
      </c>
      <c r="E582" s="206">
        <v>30055</v>
      </c>
      <c r="F582" s="206">
        <v>3006</v>
      </c>
      <c r="G582" s="206">
        <v>301</v>
      </c>
      <c r="H582" s="202">
        <f t="shared" si="9"/>
        <v>27350</v>
      </c>
      <c r="I582" s="205" t="s">
        <v>41</v>
      </c>
      <c r="J582" s="205" t="s">
        <v>29</v>
      </c>
      <c r="K582" s="201" t="e">
        <v>#N/A</v>
      </c>
      <c r="L582" s="205" t="s">
        <v>2150</v>
      </c>
      <c r="M582" s="201"/>
      <c r="P582" s="215" t="s">
        <v>742</v>
      </c>
      <c r="Q582" s="216" t="s">
        <v>1482</v>
      </c>
      <c r="R582" s="216" t="s">
        <v>2054</v>
      </c>
    </row>
    <row r="583" spans="1:18" s="205" customFormat="1" x14ac:dyDescent="0.2">
      <c r="A583" s="205" t="s">
        <v>2151</v>
      </c>
      <c r="B583" s="205" t="s">
        <v>2152</v>
      </c>
      <c r="C583" s="200">
        <v>45408</v>
      </c>
      <c r="D583" s="201" t="s">
        <v>152</v>
      </c>
      <c r="E583" s="206">
        <v>52204</v>
      </c>
      <c r="F583" s="206">
        <v>5220</v>
      </c>
      <c r="G583" s="206">
        <v>522</v>
      </c>
      <c r="H583" s="202">
        <f t="shared" si="9"/>
        <v>47506</v>
      </c>
      <c r="I583" s="205" t="s">
        <v>41</v>
      </c>
      <c r="J583" s="205" t="s">
        <v>29</v>
      </c>
      <c r="K583" s="201" t="s">
        <v>1028</v>
      </c>
      <c r="L583" s="205" t="s">
        <v>2153</v>
      </c>
      <c r="M583" s="201" t="s">
        <v>1030</v>
      </c>
      <c r="N583" s="205" t="s">
        <v>652</v>
      </c>
      <c r="O583" s="205" t="s">
        <v>652</v>
      </c>
      <c r="P583" s="207" t="s">
        <v>1407</v>
      </c>
      <c r="Q583" s="208" t="s">
        <v>1408</v>
      </c>
      <c r="R583" s="208" t="s">
        <v>2054</v>
      </c>
    </row>
    <row r="584" spans="1:18" s="205" customFormat="1" x14ac:dyDescent="0.2">
      <c r="A584" s="205" t="s">
        <v>437</v>
      </c>
      <c r="B584" s="205" t="s">
        <v>2154</v>
      </c>
      <c r="C584" s="200">
        <v>45408</v>
      </c>
      <c r="D584" s="201" t="s">
        <v>152</v>
      </c>
      <c r="E584" s="206">
        <v>1871268</v>
      </c>
      <c r="F584" s="206">
        <v>187127</v>
      </c>
      <c r="G584" s="206">
        <v>18713</v>
      </c>
      <c r="H584" s="202">
        <f t="shared" si="9"/>
        <v>1702854</v>
      </c>
      <c r="I584" s="205" t="s">
        <v>31</v>
      </c>
      <c r="J584" s="205" t="s">
        <v>29</v>
      </c>
      <c r="K584" s="201" t="s">
        <v>1028</v>
      </c>
      <c r="L584" s="205" t="s">
        <v>2155</v>
      </c>
      <c r="M584" s="201" t="s">
        <v>1030</v>
      </c>
      <c r="N584" s="205" t="s">
        <v>652</v>
      </c>
      <c r="O584" s="205" t="s">
        <v>652</v>
      </c>
      <c r="P584" s="207" t="s">
        <v>1978</v>
      </c>
      <c r="Q584" s="208" t="s">
        <v>1979</v>
      </c>
      <c r="R584" s="208" t="s">
        <v>2054</v>
      </c>
    </row>
    <row r="585" spans="1:18" s="205" customFormat="1" x14ac:dyDescent="0.2">
      <c r="A585" s="205" t="s">
        <v>53</v>
      </c>
      <c r="B585" s="205" t="s">
        <v>586</v>
      </c>
      <c r="C585" s="200">
        <v>45408</v>
      </c>
      <c r="D585" s="201" t="s">
        <v>152</v>
      </c>
      <c r="E585" s="206">
        <v>90550</v>
      </c>
      <c r="F585" s="206">
        <v>9055</v>
      </c>
      <c r="G585" s="206">
        <v>906</v>
      </c>
      <c r="H585" s="202">
        <f t="shared" si="9"/>
        <v>82401</v>
      </c>
      <c r="I585" s="205" t="s">
        <v>173</v>
      </c>
      <c r="J585" s="205" t="s">
        <v>29</v>
      </c>
      <c r="K585" s="201" t="s">
        <v>1042</v>
      </c>
      <c r="L585" s="205" t="s">
        <v>2156</v>
      </c>
      <c r="M585" s="201" t="s">
        <v>1030</v>
      </c>
      <c r="N585" s="205" t="s">
        <v>652</v>
      </c>
      <c r="O585" s="205" t="s">
        <v>652</v>
      </c>
      <c r="P585" s="207" t="s">
        <v>653</v>
      </c>
      <c r="Q585" s="208" t="s">
        <v>654</v>
      </c>
      <c r="R585" s="208" t="s">
        <v>2054</v>
      </c>
    </row>
    <row r="586" spans="1:18" s="205" customFormat="1" x14ac:dyDescent="0.2">
      <c r="A586" s="205" t="s">
        <v>2157</v>
      </c>
      <c r="B586" s="205" t="s">
        <v>2158</v>
      </c>
      <c r="C586" s="200">
        <v>45408</v>
      </c>
      <c r="D586" s="201" t="s">
        <v>152</v>
      </c>
      <c r="E586" s="206">
        <v>3345468</v>
      </c>
      <c r="F586" s="206">
        <v>334547</v>
      </c>
      <c r="G586" s="206">
        <v>33455</v>
      </c>
      <c r="H586" s="202">
        <f t="shared" si="9"/>
        <v>3044376</v>
      </c>
      <c r="I586" s="205" t="s">
        <v>2159</v>
      </c>
      <c r="J586" s="205" t="s">
        <v>29</v>
      </c>
      <c r="K586" s="201" t="s">
        <v>1058</v>
      </c>
      <c r="L586" s="205" t="s">
        <v>2160</v>
      </c>
      <c r="M586" s="201" t="s">
        <v>1030</v>
      </c>
      <c r="N586" s="205" t="s">
        <v>2161</v>
      </c>
      <c r="O586" s="205" t="s">
        <v>1191</v>
      </c>
      <c r="P586" s="207" t="s">
        <v>1031</v>
      </c>
      <c r="Q586" s="208" t="s">
        <v>1329</v>
      </c>
      <c r="R586" s="208" t="s">
        <v>2054</v>
      </c>
    </row>
    <row r="587" spans="1:18" s="205" customFormat="1" x14ac:dyDescent="0.2">
      <c r="A587" s="205" t="s">
        <v>64</v>
      </c>
      <c r="B587" s="205" t="s">
        <v>514</v>
      </c>
      <c r="C587" s="200">
        <v>45408</v>
      </c>
      <c r="D587" s="201" t="s">
        <v>152</v>
      </c>
      <c r="E587" s="206">
        <v>1830555</v>
      </c>
      <c r="F587" s="206">
        <v>183056</v>
      </c>
      <c r="G587" s="206">
        <v>18306</v>
      </c>
      <c r="H587" s="202">
        <f t="shared" si="9"/>
        <v>1665805</v>
      </c>
      <c r="I587" s="205" t="s">
        <v>31</v>
      </c>
      <c r="J587" s="205" t="s">
        <v>29</v>
      </c>
      <c r="K587" s="201" t="s">
        <v>1151</v>
      </c>
      <c r="L587" s="205" t="s">
        <v>2162</v>
      </c>
      <c r="M587" s="201" t="s">
        <v>1030</v>
      </c>
      <c r="N587" s="205" t="s">
        <v>652</v>
      </c>
      <c r="O587" s="205" t="s">
        <v>652</v>
      </c>
      <c r="P587" s="207" t="s">
        <v>653</v>
      </c>
      <c r="Q587" s="208" t="s">
        <v>654</v>
      </c>
      <c r="R587" s="208" t="s">
        <v>2054</v>
      </c>
    </row>
    <row r="588" spans="1:18" s="205" customFormat="1" x14ac:dyDescent="0.2">
      <c r="A588" s="205" t="s">
        <v>187</v>
      </c>
      <c r="B588" s="205" t="s">
        <v>961</v>
      </c>
      <c r="C588" s="200">
        <v>45408</v>
      </c>
      <c r="D588" s="201" t="s">
        <v>152</v>
      </c>
      <c r="E588" s="206">
        <v>104030</v>
      </c>
      <c r="F588" s="206">
        <v>10403</v>
      </c>
      <c r="G588" s="206">
        <v>1040</v>
      </c>
      <c r="H588" s="202">
        <f t="shared" si="9"/>
        <v>94667</v>
      </c>
      <c r="I588" s="205" t="s">
        <v>188</v>
      </c>
      <c r="J588" s="205" t="s">
        <v>29</v>
      </c>
      <c r="K588" s="201" t="s">
        <v>1141</v>
      </c>
      <c r="L588" s="205" t="s">
        <v>2163</v>
      </c>
      <c r="M588" s="201" t="s">
        <v>1030</v>
      </c>
      <c r="N588" s="205" t="s">
        <v>652</v>
      </c>
      <c r="O588" s="205" t="s">
        <v>652</v>
      </c>
      <c r="P588" s="207" t="s">
        <v>691</v>
      </c>
      <c r="Q588" s="208" t="s">
        <v>960</v>
      </c>
      <c r="R588" s="208" t="s">
        <v>2054</v>
      </c>
    </row>
    <row r="589" spans="1:18" s="205" customFormat="1" x14ac:dyDescent="0.2">
      <c r="A589" s="205" t="s">
        <v>2157</v>
      </c>
      <c r="B589" s="205" t="s">
        <v>2164</v>
      </c>
      <c r="C589" s="200">
        <v>45408</v>
      </c>
      <c r="D589" s="201" t="s">
        <v>152</v>
      </c>
      <c r="E589" s="206">
        <v>3345467</v>
      </c>
      <c r="F589" s="206">
        <v>334547</v>
      </c>
      <c r="G589" s="206">
        <v>33455</v>
      </c>
      <c r="H589" s="202">
        <f t="shared" si="9"/>
        <v>3044375</v>
      </c>
      <c r="I589" s="205" t="s">
        <v>2159</v>
      </c>
      <c r="J589" s="205" t="s">
        <v>29</v>
      </c>
      <c r="K589" s="201" t="e">
        <v>#N/A</v>
      </c>
      <c r="L589" s="205" t="s">
        <v>2165</v>
      </c>
      <c r="M589" s="201"/>
      <c r="P589" s="215" t="s">
        <v>1031</v>
      </c>
      <c r="Q589" s="216" t="s">
        <v>1329</v>
      </c>
      <c r="R589" s="216" t="s">
        <v>2062</v>
      </c>
    </row>
    <row r="590" spans="1:18" s="205" customFormat="1" x14ac:dyDescent="0.2">
      <c r="A590" s="205" t="s">
        <v>2148</v>
      </c>
      <c r="B590" s="205" t="s">
        <v>2149</v>
      </c>
      <c r="C590" s="200">
        <v>45408</v>
      </c>
      <c r="D590" s="199" t="s">
        <v>166</v>
      </c>
      <c r="E590" s="206">
        <v>-30055</v>
      </c>
      <c r="F590" s="206">
        <v>-3006</v>
      </c>
      <c r="G590" s="206">
        <v>-301</v>
      </c>
      <c r="H590" s="202">
        <f t="shared" si="9"/>
        <v>-27350</v>
      </c>
      <c r="I590" s="205" t="s">
        <v>41</v>
      </c>
      <c r="J590" s="205" t="s">
        <v>29</v>
      </c>
      <c r="K590" s="201" t="e">
        <v>#N/A</v>
      </c>
      <c r="L590" s="205" t="s">
        <v>2166</v>
      </c>
      <c r="M590" s="201"/>
      <c r="P590" s="215" t="s">
        <v>742</v>
      </c>
      <c r="Q590" s="216" t="s">
        <v>1482</v>
      </c>
      <c r="R590" s="216" t="s">
        <v>2054</v>
      </c>
    </row>
    <row r="591" spans="1:18" s="205" customFormat="1" x14ac:dyDescent="0.2">
      <c r="A591" s="205" t="s">
        <v>2157</v>
      </c>
      <c r="B591" s="205" t="s">
        <v>2164</v>
      </c>
      <c r="C591" s="200">
        <v>45408</v>
      </c>
      <c r="D591" s="199" t="s">
        <v>166</v>
      </c>
      <c r="E591" s="206">
        <v>-3345467</v>
      </c>
      <c r="F591" s="206">
        <v>-334547</v>
      </c>
      <c r="G591" s="206">
        <v>-33455</v>
      </c>
      <c r="H591" s="202">
        <f t="shared" si="9"/>
        <v>-3044375</v>
      </c>
      <c r="I591" s="205" t="s">
        <v>2159</v>
      </c>
      <c r="J591" s="205" t="s">
        <v>29</v>
      </c>
      <c r="K591" s="201" t="e">
        <v>#N/A</v>
      </c>
      <c r="L591" s="205" t="s">
        <v>2167</v>
      </c>
      <c r="M591" s="201"/>
      <c r="P591" s="207" t="s">
        <v>1031</v>
      </c>
      <c r="Q591" s="208" t="s">
        <v>1329</v>
      </c>
      <c r="R591" s="208" t="s">
        <v>2062</v>
      </c>
    </row>
    <row r="592" spans="1:18" s="205" customFormat="1" x14ac:dyDescent="0.2">
      <c r="A592" s="205" t="s">
        <v>2168</v>
      </c>
      <c r="B592" s="205" t="s">
        <v>252</v>
      </c>
      <c r="C592" s="200">
        <v>45408</v>
      </c>
      <c r="D592" s="201" t="s">
        <v>152</v>
      </c>
      <c r="E592" s="206">
        <v>84531</v>
      </c>
      <c r="F592" s="206">
        <v>8453</v>
      </c>
      <c r="G592" s="206">
        <v>423</v>
      </c>
      <c r="H592" s="202">
        <f t="shared" si="9"/>
        <v>76501</v>
      </c>
      <c r="I592" s="205" t="s">
        <v>104</v>
      </c>
      <c r="J592" s="205" t="s">
        <v>23</v>
      </c>
      <c r="K592" s="201" t="s">
        <v>1058</v>
      </c>
      <c r="L592" s="205" t="s">
        <v>2169</v>
      </c>
      <c r="M592" s="199" t="s">
        <v>1072</v>
      </c>
      <c r="N592" s="205" t="s">
        <v>652</v>
      </c>
      <c r="O592" s="205" t="s">
        <v>652</v>
      </c>
      <c r="P592" s="207" t="s">
        <v>722</v>
      </c>
      <c r="Q592" s="208" t="s">
        <v>723</v>
      </c>
      <c r="R592" s="208" t="s">
        <v>2054</v>
      </c>
    </row>
    <row r="593" spans="1:18" s="205" customFormat="1" x14ac:dyDescent="0.2">
      <c r="A593" s="205" t="s">
        <v>349</v>
      </c>
      <c r="B593" s="205" t="s">
        <v>2170</v>
      </c>
      <c r="C593" s="200">
        <v>45408</v>
      </c>
      <c r="D593" s="201" t="s">
        <v>152</v>
      </c>
      <c r="E593" s="206">
        <v>34040</v>
      </c>
      <c r="F593" s="206">
        <v>3404</v>
      </c>
      <c r="G593" s="206">
        <v>170</v>
      </c>
      <c r="H593" s="202">
        <f t="shared" si="9"/>
        <v>30806</v>
      </c>
      <c r="I593" s="205" t="s">
        <v>52</v>
      </c>
      <c r="J593" s="205" t="s">
        <v>23</v>
      </c>
      <c r="K593" s="201" t="s">
        <v>1042</v>
      </c>
      <c r="L593" s="205" t="s">
        <v>2171</v>
      </c>
      <c r="M593" s="201" t="s">
        <v>1030</v>
      </c>
      <c r="N593" s="205" t="s">
        <v>652</v>
      </c>
      <c r="O593" s="205" t="s">
        <v>652</v>
      </c>
      <c r="P593" s="207" t="s">
        <v>696</v>
      </c>
      <c r="Q593" s="208" t="s">
        <v>697</v>
      </c>
      <c r="R593" s="208" t="s">
        <v>2054</v>
      </c>
    </row>
    <row r="594" spans="1:18" s="205" customFormat="1" x14ac:dyDescent="0.2">
      <c r="A594" s="205" t="s">
        <v>313</v>
      </c>
      <c r="B594" s="205" t="s">
        <v>758</v>
      </c>
      <c r="C594" s="200">
        <v>45408</v>
      </c>
      <c r="D594" s="201" t="s">
        <v>152</v>
      </c>
      <c r="E594" s="206">
        <v>989948</v>
      </c>
      <c r="F594" s="206">
        <v>98995</v>
      </c>
      <c r="G594" s="206">
        <v>4950</v>
      </c>
      <c r="H594" s="202">
        <f t="shared" si="9"/>
        <v>895903</v>
      </c>
      <c r="I594" s="205" t="s">
        <v>22</v>
      </c>
      <c r="J594" s="205" t="s">
        <v>23</v>
      </c>
      <c r="K594" s="201" t="s">
        <v>1042</v>
      </c>
      <c r="L594" s="205" t="s">
        <v>2172</v>
      </c>
      <c r="M594" s="201" t="s">
        <v>1030</v>
      </c>
      <c r="N594" s="205" t="s">
        <v>1382</v>
      </c>
      <c r="O594" s="205" t="s">
        <v>1382</v>
      </c>
      <c r="P594" s="207" t="s">
        <v>651</v>
      </c>
      <c r="Q594" s="208" t="s">
        <v>673</v>
      </c>
      <c r="R594" s="208" t="s">
        <v>2054</v>
      </c>
    </row>
    <row r="595" spans="1:18" s="205" customFormat="1" x14ac:dyDescent="0.2">
      <c r="A595" s="205" t="s">
        <v>207</v>
      </c>
      <c r="B595" s="205" t="s">
        <v>916</v>
      </c>
      <c r="C595" s="200">
        <v>45408</v>
      </c>
      <c r="D595" s="201" t="s">
        <v>152</v>
      </c>
      <c r="E595" s="206">
        <v>118936</v>
      </c>
      <c r="F595" s="206">
        <v>11894</v>
      </c>
      <c r="G595" s="206">
        <v>595</v>
      </c>
      <c r="H595" s="202">
        <f t="shared" si="9"/>
        <v>107637</v>
      </c>
      <c r="I595" s="205" t="s">
        <v>44</v>
      </c>
      <c r="J595" s="205" t="s">
        <v>23</v>
      </c>
      <c r="K595" s="201" t="s">
        <v>1141</v>
      </c>
      <c r="L595" s="205" t="s">
        <v>2173</v>
      </c>
      <c r="M595" s="201" t="s">
        <v>1030</v>
      </c>
      <c r="N595" s="205" t="s">
        <v>652</v>
      </c>
      <c r="O595" s="205" t="s">
        <v>652</v>
      </c>
      <c r="P595" s="207" t="s">
        <v>663</v>
      </c>
      <c r="Q595" s="208" t="s">
        <v>745</v>
      </c>
      <c r="R595" s="208" t="s">
        <v>2054</v>
      </c>
    </row>
    <row r="596" spans="1:18" s="205" customFormat="1" x14ac:dyDescent="0.2">
      <c r="A596" s="205" t="s">
        <v>438</v>
      </c>
      <c r="B596" s="205" t="s">
        <v>598</v>
      </c>
      <c r="C596" s="200">
        <v>45408</v>
      </c>
      <c r="D596" s="201" t="s">
        <v>152</v>
      </c>
      <c r="E596" s="206">
        <v>35329</v>
      </c>
      <c r="F596" s="206">
        <v>3533</v>
      </c>
      <c r="G596" s="206">
        <v>177</v>
      </c>
      <c r="H596" s="202">
        <f t="shared" si="9"/>
        <v>31973</v>
      </c>
      <c r="I596" s="205" t="s">
        <v>52</v>
      </c>
      <c r="J596" s="205" t="s">
        <v>23</v>
      </c>
      <c r="K596" s="201" t="s">
        <v>1141</v>
      </c>
      <c r="L596" s="205" t="s">
        <v>2174</v>
      </c>
      <c r="M596" s="199" t="s">
        <v>1030</v>
      </c>
      <c r="N596" s="205" t="s">
        <v>652</v>
      </c>
      <c r="O596" s="205" t="s">
        <v>652</v>
      </c>
      <c r="P596" s="207" t="s">
        <v>653</v>
      </c>
      <c r="Q596" s="208" t="s">
        <v>654</v>
      </c>
      <c r="R596" s="208" t="s">
        <v>2054</v>
      </c>
    </row>
    <row r="597" spans="1:18" s="205" customFormat="1" x14ac:dyDescent="0.2">
      <c r="A597" s="205" t="s">
        <v>350</v>
      </c>
      <c r="B597" s="205" t="s">
        <v>2175</v>
      </c>
      <c r="C597" s="200">
        <v>45408</v>
      </c>
      <c r="D597" s="201" t="s">
        <v>152</v>
      </c>
      <c r="E597" s="206">
        <v>12161</v>
      </c>
      <c r="F597" s="206">
        <v>1216</v>
      </c>
      <c r="G597" s="206">
        <v>61</v>
      </c>
      <c r="H597" s="202">
        <f t="shared" si="9"/>
        <v>11006</v>
      </c>
      <c r="I597" s="205" t="s">
        <v>52</v>
      </c>
      <c r="J597" s="205" t="s">
        <v>23</v>
      </c>
      <c r="K597" s="201" t="s">
        <v>1042</v>
      </c>
      <c r="L597" s="205" t="s">
        <v>2176</v>
      </c>
      <c r="M597" s="201" t="s">
        <v>1030</v>
      </c>
      <c r="N597" s="205" t="s">
        <v>652</v>
      </c>
      <c r="O597" s="205" t="s">
        <v>652</v>
      </c>
      <c r="P597" s="207" t="s">
        <v>696</v>
      </c>
      <c r="Q597" s="208" t="s">
        <v>697</v>
      </c>
      <c r="R597" s="208" t="s">
        <v>2054</v>
      </c>
    </row>
    <row r="598" spans="1:18" s="205" customFormat="1" x14ac:dyDescent="0.2">
      <c r="A598" s="205" t="s">
        <v>56</v>
      </c>
      <c r="B598" s="205" t="s">
        <v>230</v>
      </c>
      <c r="C598" s="200">
        <v>45408</v>
      </c>
      <c r="D598" s="199" t="s">
        <v>166</v>
      </c>
      <c r="E598" s="206">
        <v>-17426</v>
      </c>
      <c r="F598" s="206">
        <v>-1743</v>
      </c>
      <c r="G598" s="206">
        <v>-87</v>
      </c>
      <c r="H598" s="202">
        <f t="shared" si="9"/>
        <v>-15770</v>
      </c>
      <c r="I598" s="205" t="s">
        <v>22</v>
      </c>
      <c r="J598" s="205" t="s">
        <v>23</v>
      </c>
      <c r="K598" s="201" t="s">
        <v>1068</v>
      </c>
      <c r="L598" s="205" t="s">
        <v>2177</v>
      </c>
      <c r="M598" s="201" t="s">
        <v>1030</v>
      </c>
      <c r="N598" s="205" t="s">
        <v>652</v>
      </c>
      <c r="O598" s="205" t="s">
        <v>652</v>
      </c>
      <c r="P598" s="207" t="s">
        <v>831</v>
      </c>
      <c r="Q598" s="208" t="s">
        <v>832</v>
      </c>
      <c r="R598" s="208" t="s">
        <v>2054</v>
      </c>
    </row>
    <row r="599" spans="1:18" s="205" customFormat="1" x14ac:dyDescent="0.2">
      <c r="A599" s="205" t="s">
        <v>273</v>
      </c>
      <c r="B599" s="205" t="s">
        <v>2178</v>
      </c>
      <c r="C599" s="200">
        <v>45408</v>
      </c>
      <c r="D599" s="199" t="s">
        <v>166</v>
      </c>
      <c r="E599" s="206">
        <v>-31017</v>
      </c>
      <c r="F599" s="206">
        <v>-3102</v>
      </c>
      <c r="G599" s="206">
        <v>-155</v>
      </c>
      <c r="H599" s="202">
        <f t="shared" si="9"/>
        <v>-28070</v>
      </c>
      <c r="I599" s="205" t="s">
        <v>52</v>
      </c>
      <c r="J599" s="205" t="s">
        <v>23</v>
      </c>
      <c r="K599" s="201" t="s">
        <v>1068</v>
      </c>
      <c r="L599" s="205" t="s">
        <v>2179</v>
      </c>
      <c r="M599" s="201" t="s">
        <v>1030</v>
      </c>
      <c r="N599" s="205" t="s">
        <v>652</v>
      </c>
      <c r="O599" s="205" t="s">
        <v>652</v>
      </c>
      <c r="P599" s="207" t="s">
        <v>2180</v>
      </c>
      <c r="Q599" s="208" t="s">
        <v>2181</v>
      </c>
      <c r="R599" s="208" t="s">
        <v>2054</v>
      </c>
    </row>
    <row r="600" spans="1:18" s="205" customFormat="1" x14ac:dyDescent="0.2">
      <c r="A600" s="205" t="s">
        <v>335</v>
      </c>
      <c r="B600" s="205" t="s">
        <v>1839</v>
      </c>
      <c r="C600" s="200">
        <v>45408</v>
      </c>
      <c r="D600" s="199" t="s">
        <v>166</v>
      </c>
      <c r="E600" s="206">
        <v>-54927</v>
      </c>
      <c r="F600" s="206">
        <v>-5493</v>
      </c>
      <c r="G600" s="206">
        <v>-275</v>
      </c>
      <c r="H600" s="202">
        <f t="shared" si="9"/>
        <v>-49709</v>
      </c>
      <c r="I600" s="205" t="s">
        <v>22</v>
      </c>
      <c r="J600" s="205" t="s">
        <v>23</v>
      </c>
      <c r="K600" s="201" t="s">
        <v>1068</v>
      </c>
      <c r="L600" s="205" t="s">
        <v>2182</v>
      </c>
      <c r="M600" s="201" t="s">
        <v>1030</v>
      </c>
      <c r="N600" s="205" t="s">
        <v>652</v>
      </c>
      <c r="O600" s="205" t="s">
        <v>652</v>
      </c>
      <c r="P600" s="207" t="s">
        <v>696</v>
      </c>
      <c r="Q600" s="208" t="s">
        <v>697</v>
      </c>
      <c r="R600" s="208" t="s">
        <v>2054</v>
      </c>
    </row>
    <row r="601" spans="1:18" s="205" customFormat="1" x14ac:dyDescent="0.2">
      <c r="A601" s="205" t="s">
        <v>24</v>
      </c>
      <c r="B601" s="205" t="s">
        <v>622</v>
      </c>
      <c r="C601" s="200">
        <v>45408</v>
      </c>
      <c r="D601" s="201" t="s">
        <v>152</v>
      </c>
      <c r="E601" s="206">
        <v>21346</v>
      </c>
      <c r="F601" s="206">
        <v>0</v>
      </c>
      <c r="G601" s="206">
        <v>0</v>
      </c>
      <c r="H601" s="202">
        <f t="shared" si="9"/>
        <v>21346</v>
      </c>
      <c r="I601" s="205" t="s">
        <v>25</v>
      </c>
      <c r="J601" s="205" t="s">
        <v>214</v>
      </c>
      <c r="K601" s="201" t="s">
        <v>1042</v>
      </c>
      <c r="L601" s="205" t="s">
        <v>2183</v>
      </c>
      <c r="M601" s="201" t="s">
        <v>1030</v>
      </c>
      <c r="N601" s="205" t="s">
        <v>652</v>
      </c>
      <c r="O601" s="205" t="s">
        <v>652</v>
      </c>
      <c r="P601" s="207" t="s">
        <v>653</v>
      </c>
      <c r="Q601" s="208" t="s">
        <v>654</v>
      </c>
      <c r="R601" s="208" t="s">
        <v>2054</v>
      </c>
    </row>
    <row r="602" spans="1:18" s="205" customFormat="1" x14ac:dyDescent="0.2">
      <c r="A602" s="205" t="s">
        <v>225</v>
      </c>
      <c r="B602" s="205" t="s">
        <v>295</v>
      </c>
      <c r="C602" s="200">
        <v>45408</v>
      </c>
      <c r="D602" s="201" t="s">
        <v>152</v>
      </c>
      <c r="E602" s="206">
        <v>3000</v>
      </c>
      <c r="F602" s="206">
        <v>0</v>
      </c>
      <c r="G602" s="206">
        <v>0</v>
      </c>
      <c r="H602" s="202">
        <f t="shared" si="9"/>
        <v>3000</v>
      </c>
      <c r="I602" s="205" t="s">
        <v>25</v>
      </c>
      <c r="J602" s="205" t="s">
        <v>214</v>
      </c>
      <c r="K602" s="201" t="s">
        <v>1042</v>
      </c>
      <c r="L602" s="205" t="s">
        <v>2184</v>
      </c>
      <c r="M602" s="201" t="s">
        <v>1030</v>
      </c>
      <c r="N602" s="205" t="s">
        <v>652</v>
      </c>
      <c r="O602" s="205" t="s">
        <v>652</v>
      </c>
      <c r="P602" s="207" t="s">
        <v>724</v>
      </c>
      <c r="Q602" s="208" t="s">
        <v>725</v>
      </c>
      <c r="R602" s="208" t="s">
        <v>2054</v>
      </c>
    </row>
    <row r="603" spans="1:18" s="205" customFormat="1" x14ac:dyDescent="0.2">
      <c r="A603" s="205" t="s">
        <v>420</v>
      </c>
      <c r="B603" s="205" t="s">
        <v>640</v>
      </c>
      <c r="C603" s="200">
        <v>45408</v>
      </c>
      <c r="D603" s="201" t="s">
        <v>152</v>
      </c>
      <c r="E603" s="206">
        <v>797775</v>
      </c>
      <c r="F603" s="206">
        <v>0</v>
      </c>
      <c r="G603" s="206">
        <v>0</v>
      </c>
      <c r="H603" s="202">
        <f t="shared" si="9"/>
        <v>797775</v>
      </c>
      <c r="I603" s="205" t="s">
        <v>25</v>
      </c>
      <c r="J603" s="205" t="s">
        <v>214</v>
      </c>
      <c r="K603" s="201" t="s">
        <v>1042</v>
      </c>
      <c r="L603" s="205" t="s">
        <v>2185</v>
      </c>
      <c r="M603" s="201" t="s">
        <v>1030</v>
      </c>
      <c r="N603" s="205" t="s">
        <v>652</v>
      </c>
      <c r="O603" s="205" t="s">
        <v>652</v>
      </c>
      <c r="P603" s="207" t="s">
        <v>2186</v>
      </c>
      <c r="Q603" s="208" t="s">
        <v>2187</v>
      </c>
      <c r="R603" s="208" t="s">
        <v>2054</v>
      </c>
    </row>
    <row r="604" spans="1:18" s="205" customFormat="1" x14ac:dyDescent="0.2">
      <c r="A604" s="205" t="s">
        <v>2148</v>
      </c>
      <c r="B604" s="205" t="s">
        <v>2149</v>
      </c>
      <c r="C604" s="200">
        <v>45409</v>
      </c>
      <c r="D604" s="201" t="s">
        <v>152</v>
      </c>
      <c r="E604" s="206">
        <v>30055</v>
      </c>
      <c r="F604" s="206">
        <v>3006</v>
      </c>
      <c r="G604" s="206">
        <v>301</v>
      </c>
      <c r="H604" s="202">
        <f t="shared" si="9"/>
        <v>27350</v>
      </c>
      <c r="I604" s="205" t="s">
        <v>41</v>
      </c>
      <c r="J604" s="205" t="s">
        <v>29</v>
      </c>
      <c r="K604" s="201" t="s">
        <v>1058</v>
      </c>
      <c r="L604" s="205" t="s">
        <v>2188</v>
      </c>
      <c r="M604" s="201" t="s">
        <v>1030</v>
      </c>
      <c r="N604" s="205" t="s">
        <v>652</v>
      </c>
      <c r="O604" s="205" t="s">
        <v>652</v>
      </c>
      <c r="P604" s="207" t="s">
        <v>742</v>
      </c>
      <c r="Q604" s="208" t="s">
        <v>1482</v>
      </c>
      <c r="R604" s="208" t="s">
        <v>2054</v>
      </c>
    </row>
    <row r="605" spans="1:18" s="205" customFormat="1" x14ac:dyDescent="0.2">
      <c r="A605" s="205" t="s">
        <v>2189</v>
      </c>
      <c r="B605" s="205" t="s">
        <v>229</v>
      </c>
      <c r="C605" s="200">
        <v>45409</v>
      </c>
      <c r="D605" s="201" t="s">
        <v>152</v>
      </c>
      <c r="E605" s="206">
        <v>123845</v>
      </c>
      <c r="F605" s="206">
        <v>12385</v>
      </c>
      <c r="G605" s="206">
        <v>619</v>
      </c>
      <c r="H605" s="202">
        <f t="shared" si="9"/>
        <v>112079</v>
      </c>
      <c r="I605" s="205" t="s">
        <v>38</v>
      </c>
      <c r="J605" s="205" t="s">
        <v>23</v>
      </c>
      <c r="K605" s="201" t="s">
        <v>1028</v>
      </c>
      <c r="L605" s="205" t="s">
        <v>2190</v>
      </c>
      <c r="M605" s="209" t="s">
        <v>1030</v>
      </c>
      <c r="N605" s="205" t="s">
        <v>652</v>
      </c>
      <c r="O605" s="205" t="s">
        <v>652</v>
      </c>
      <c r="P605" s="207" t="s">
        <v>2191</v>
      </c>
      <c r="Q605" s="208" t="s">
        <v>2192</v>
      </c>
      <c r="R605" s="208" t="s">
        <v>792</v>
      </c>
    </row>
    <row r="606" spans="1:18" s="205" customFormat="1" x14ac:dyDescent="0.2">
      <c r="A606" s="205" t="s">
        <v>2193</v>
      </c>
      <c r="B606" s="205" t="s">
        <v>229</v>
      </c>
      <c r="C606" s="200">
        <v>45409</v>
      </c>
      <c r="D606" s="201" t="s">
        <v>152</v>
      </c>
      <c r="E606" s="206">
        <v>69284</v>
      </c>
      <c r="F606" s="206">
        <v>6928</v>
      </c>
      <c r="G606" s="206">
        <v>346</v>
      </c>
      <c r="H606" s="202">
        <f t="shared" si="9"/>
        <v>62702</v>
      </c>
      <c r="I606" s="205" t="s">
        <v>38</v>
      </c>
      <c r="J606" s="205" t="s">
        <v>23</v>
      </c>
      <c r="K606" s="201" t="s">
        <v>1028</v>
      </c>
      <c r="L606" s="205" t="s">
        <v>2194</v>
      </c>
      <c r="M606" s="209" t="s">
        <v>1030</v>
      </c>
      <c r="N606" s="205" t="s">
        <v>652</v>
      </c>
      <c r="O606" s="205" t="s">
        <v>652</v>
      </c>
      <c r="P606" s="207" t="s">
        <v>987</v>
      </c>
      <c r="Q606" s="208" t="s">
        <v>988</v>
      </c>
      <c r="R606" s="208" t="s">
        <v>792</v>
      </c>
    </row>
    <row r="607" spans="1:18" s="205" customFormat="1" x14ac:dyDescent="0.2">
      <c r="A607" s="205" t="s">
        <v>2195</v>
      </c>
      <c r="B607" s="205" t="s">
        <v>229</v>
      </c>
      <c r="C607" s="200">
        <v>45409</v>
      </c>
      <c r="D607" s="201" t="s">
        <v>152</v>
      </c>
      <c r="E607" s="206">
        <v>95814</v>
      </c>
      <c r="F607" s="206">
        <v>9581</v>
      </c>
      <c r="G607" s="206">
        <v>479</v>
      </c>
      <c r="H607" s="202">
        <f t="shared" si="9"/>
        <v>86712</v>
      </c>
      <c r="I607" s="205" t="s">
        <v>38</v>
      </c>
      <c r="J607" s="205" t="s">
        <v>23</v>
      </c>
      <c r="K607" s="201" t="s">
        <v>1028</v>
      </c>
      <c r="L607" s="205" t="s">
        <v>2196</v>
      </c>
      <c r="M607" s="201" t="s">
        <v>1030</v>
      </c>
      <c r="N607" s="205" t="s">
        <v>652</v>
      </c>
      <c r="O607" s="205" t="s">
        <v>652</v>
      </c>
      <c r="P607" s="207" t="s">
        <v>987</v>
      </c>
      <c r="Q607" s="208" t="s">
        <v>988</v>
      </c>
      <c r="R607" s="208" t="s">
        <v>792</v>
      </c>
    </row>
    <row r="608" spans="1:18" s="205" customFormat="1" x14ac:dyDescent="0.2">
      <c r="A608" s="205" t="s">
        <v>2197</v>
      </c>
      <c r="B608" s="205" t="s">
        <v>229</v>
      </c>
      <c r="C608" s="200">
        <v>45409</v>
      </c>
      <c r="D608" s="201" t="s">
        <v>152</v>
      </c>
      <c r="E608" s="206">
        <v>42202</v>
      </c>
      <c r="F608" s="206">
        <v>4220</v>
      </c>
      <c r="G608" s="206">
        <v>211</v>
      </c>
      <c r="H608" s="202">
        <f t="shared" si="9"/>
        <v>38193</v>
      </c>
      <c r="I608" s="205" t="s">
        <v>38</v>
      </c>
      <c r="J608" s="205" t="s">
        <v>23</v>
      </c>
      <c r="K608" s="201" t="s">
        <v>1028</v>
      </c>
      <c r="L608" s="205" t="s">
        <v>2198</v>
      </c>
      <c r="M608" s="201" t="s">
        <v>1030</v>
      </c>
      <c r="N608" s="205" t="s">
        <v>652</v>
      </c>
      <c r="O608" s="205" t="s">
        <v>652</v>
      </c>
      <c r="P608" s="207" t="s">
        <v>987</v>
      </c>
      <c r="Q608" s="208" t="s">
        <v>988</v>
      </c>
      <c r="R608" s="208" t="s">
        <v>792</v>
      </c>
    </row>
    <row r="609" spans="1:18" s="205" customFormat="1" x14ac:dyDescent="0.2">
      <c r="A609" s="205" t="s">
        <v>2199</v>
      </c>
      <c r="B609" s="205" t="s">
        <v>229</v>
      </c>
      <c r="C609" s="200">
        <v>45409</v>
      </c>
      <c r="D609" s="201" t="s">
        <v>152</v>
      </c>
      <c r="E609" s="206">
        <v>76212</v>
      </c>
      <c r="F609" s="206">
        <v>7621</v>
      </c>
      <c r="G609" s="206">
        <v>381</v>
      </c>
      <c r="H609" s="202">
        <f t="shared" si="9"/>
        <v>68972</v>
      </c>
      <c r="I609" s="205" t="s">
        <v>38</v>
      </c>
      <c r="J609" s="205" t="s">
        <v>23</v>
      </c>
      <c r="K609" s="201" t="s">
        <v>1028</v>
      </c>
      <c r="L609" s="205" t="s">
        <v>2200</v>
      </c>
      <c r="M609" s="201" t="s">
        <v>1030</v>
      </c>
      <c r="N609" s="205" t="s">
        <v>652</v>
      </c>
      <c r="O609" s="205" t="s">
        <v>652</v>
      </c>
      <c r="P609" s="207" t="s">
        <v>987</v>
      </c>
      <c r="Q609" s="208" t="s">
        <v>988</v>
      </c>
      <c r="R609" s="208" t="s">
        <v>792</v>
      </c>
    </row>
    <row r="610" spans="1:18" s="205" customFormat="1" x14ac:dyDescent="0.2">
      <c r="A610" s="205" t="s">
        <v>2201</v>
      </c>
      <c r="B610" s="205" t="s">
        <v>229</v>
      </c>
      <c r="C610" s="200">
        <v>45409</v>
      </c>
      <c r="D610" s="201" t="s">
        <v>152</v>
      </c>
      <c r="E610" s="206">
        <v>47759</v>
      </c>
      <c r="F610" s="206">
        <v>4776</v>
      </c>
      <c r="G610" s="206">
        <v>239</v>
      </c>
      <c r="H610" s="202">
        <f t="shared" si="9"/>
        <v>43222</v>
      </c>
      <c r="I610" s="205" t="s">
        <v>38</v>
      </c>
      <c r="J610" s="205" t="s">
        <v>23</v>
      </c>
      <c r="K610" s="201" t="s">
        <v>1028</v>
      </c>
      <c r="L610" s="205" t="s">
        <v>2202</v>
      </c>
      <c r="M610" s="201" t="s">
        <v>1030</v>
      </c>
      <c r="N610" s="205" t="s">
        <v>652</v>
      </c>
      <c r="O610" s="205" t="s">
        <v>652</v>
      </c>
      <c r="P610" s="207" t="s">
        <v>987</v>
      </c>
      <c r="Q610" s="208" t="s">
        <v>988</v>
      </c>
      <c r="R610" s="208" t="s">
        <v>792</v>
      </c>
    </row>
    <row r="611" spans="1:18" s="205" customFormat="1" x14ac:dyDescent="0.2">
      <c r="A611" s="205" t="s">
        <v>2203</v>
      </c>
      <c r="B611" s="205" t="s">
        <v>229</v>
      </c>
      <c r="C611" s="200">
        <v>45409</v>
      </c>
      <c r="D611" s="201" t="s">
        <v>152</v>
      </c>
      <c r="E611" s="206">
        <v>27213</v>
      </c>
      <c r="F611" s="206">
        <v>2721</v>
      </c>
      <c r="G611" s="206">
        <v>136</v>
      </c>
      <c r="H611" s="202">
        <f t="shared" si="9"/>
        <v>24628</v>
      </c>
      <c r="I611" s="205" t="s">
        <v>38</v>
      </c>
      <c r="J611" s="205" t="s">
        <v>23</v>
      </c>
      <c r="K611" s="201" t="s">
        <v>1028</v>
      </c>
      <c r="L611" s="205" t="s">
        <v>2204</v>
      </c>
      <c r="M611" s="209" t="s">
        <v>1030</v>
      </c>
      <c r="N611" s="205" t="s">
        <v>652</v>
      </c>
      <c r="O611" s="205" t="s">
        <v>652</v>
      </c>
      <c r="P611" s="207" t="s">
        <v>987</v>
      </c>
      <c r="Q611" s="208" t="s">
        <v>988</v>
      </c>
      <c r="R611" s="208" t="s">
        <v>792</v>
      </c>
    </row>
    <row r="612" spans="1:18" s="205" customFormat="1" x14ac:dyDescent="0.2">
      <c r="A612" s="205" t="s">
        <v>2205</v>
      </c>
      <c r="B612" s="205" t="s">
        <v>229</v>
      </c>
      <c r="C612" s="200">
        <v>45409</v>
      </c>
      <c r="D612" s="201" t="s">
        <v>152</v>
      </c>
      <c r="E612" s="206">
        <v>125411</v>
      </c>
      <c r="F612" s="206">
        <v>12541</v>
      </c>
      <c r="G612" s="206">
        <v>627</v>
      </c>
      <c r="H612" s="202">
        <f t="shared" si="9"/>
        <v>113497</v>
      </c>
      <c r="I612" s="205" t="s">
        <v>38</v>
      </c>
      <c r="J612" s="205" t="s">
        <v>23</v>
      </c>
      <c r="K612" s="201" t="s">
        <v>1028</v>
      </c>
      <c r="L612" s="205" t="s">
        <v>2206</v>
      </c>
      <c r="M612" s="201" t="s">
        <v>1030</v>
      </c>
      <c r="N612" s="205" t="s">
        <v>652</v>
      </c>
      <c r="O612" s="205" t="s">
        <v>652</v>
      </c>
      <c r="P612" s="207" t="s">
        <v>987</v>
      </c>
      <c r="Q612" s="208" t="s">
        <v>988</v>
      </c>
      <c r="R612" s="216" t="s">
        <v>792</v>
      </c>
    </row>
    <row r="613" spans="1:18" s="205" customFormat="1" x14ac:dyDescent="0.2">
      <c r="A613" s="205" t="s">
        <v>2207</v>
      </c>
      <c r="B613" s="205" t="s">
        <v>229</v>
      </c>
      <c r="C613" s="200">
        <v>45409</v>
      </c>
      <c r="D613" s="201" t="s">
        <v>152</v>
      </c>
      <c r="E613" s="206">
        <v>92541</v>
      </c>
      <c r="F613" s="206">
        <v>9254</v>
      </c>
      <c r="G613" s="206">
        <v>463</v>
      </c>
      <c r="H613" s="202">
        <f t="shared" si="9"/>
        <v>83750</v>
      </c>
      <c r="I613" s="205" t="s">
        <v>38</v>
      </c>
      <c r="J613" s="205" t="s">
        <v>23</v>
      </c>
      <c r="K613" s="201" t="s">
        <v>1028</v>
      </c>
      <c r="L613" s="205" t="s">
        <v>2208</v>
      </c>
      <c r="M613" s="201" t="s">
        <v>1030</v>
      </c>
      <c r="N613" s="205" t="s">
        <v>652</v>
      </c>
      <c r="O613" s="205" t="s">
        <v>652</v>
      </c>
      <c r="P613" s="207" t="s">
        <v>987</v>
      </c>
      <c r="Q613" s="208" t="s">
        <v>988</v>
      </c>
      <c r="R613" s="208" t="s">
        <v>792</v>
      </c>
    </row>
    <row r="614" spans="1:18" s="205" customFormat="1" x14ac:dyDescent="0.2">
      <c r="A614" s="205" t="s">
        <v>2209</v>
      </c>
      <c r="B614" s="205" t="s">
        <v>229</v>
      </c>
      <c r="C614" s="200">
        <v>45409</v>
      </c>
      <c r="D614" s="201" t="s">
        <v>152</v>
      </c>
      <c r="E614" s="206">
        <v>27213</v>
      </c>
      <c r="F614" s="206">
        <v>2721</v>
      </c>
      <c r="G614" s="206">
        <v>136</v>
      </c>
      <c r="H614" s="202">
        <f t="shared" si="9"/>
        <v>24628</v>
      </c>
      <c r="I614" s="205" t="s">
        <v>38</v>
      </c>
      <c r="J614" s="205" t="s">
        <v>23</v>
      </c>
      <c r="K614" s="201" t="s">
        <v>1028</v>
      </c>
      <c r="L614" s="205" t="s">
        <v>2210</v>
      </c>
      <c r="M614" s="201" t="s">
        <v>1030</v>
      </c>
      <c r="N614" s="205" t="s">
        <v>652</v>
      </c>
      <c r="O614" s="205" t="s">
        <v>652</v>
      </c>
      <c r="P614" s="207" t="s">
        <v>987</v>
      </c>
      <c r="Q614" s="208" t="s">
        <v>988</v>
      </c>
      <c r="R614" s="208" t="s">
        <v>792</v>
      </c>
    </row>
    <row r="615" spans="1:18" s="205" customFormat="1" x14ac:dyDescent="0.2">
      <c r="A615" s="205" t="s">
        <v>2211</v>
      </c>
      <c r="B615" s="205" t="s">
        <v>229</v>
      </c>
      <c r="C615" s="200">
        <v>45409</v>
      </c>
      <c r="D615" s="201" t="s">
        <v>152</v>
      </c>
      <c r="E615" s="206">
        <v>27213</v>
      </c>
      <c r="F615" s="206">
        <v>2721</v>
      </c>
      <c r="G615" s="206">
        <v>136</v>
      </c>
      <c r="H615" s="202">
        <f t="shared" si="9"/>
        <v>24628</v>
      </c>
      <c r="I615" s="205" t="s">
        <v>38</v>
      </c>
      <c r="J615" s="205" t="s">
        <v>23</v>
      </c>
      <c r="K615" s="201" t="s">
        <v>1028</v>
      </c>
      <c r="L615" s="205" t="s">
        <v>2212</v>
      </c>
      <c r="M615" s="201" t="s">
        <v>1030</v>
      </c>
      <c r="N615" s="205" t="s">
        <v>652</v>
      </c>
      <c r="O615" s="205" t="s">
        <v>652</v>
      </c>
      <c r="P615" s="207" t="s">
        <v>987</v>
      </c>
      <c r="Q615" s="208" t="s">
        <v>988</v>
      </c>
      <c r="R615" s="208" t="s">
        <v>792</v>
      </c>
    </row>
    <row r="616" spans="1:18" s="205" customFormat="1" x14ac:dyDescent="0.2">
      <c r="A616" s="205" t="s">
        <v>2213</v>
      </c>
      <c r="B616" s="205" t="s">
        <v>229</v>
      </c>
      <c r="C616" s="200">
        <v>45409</v>
      </c>
      <c r="D616" s="201" t="s">
        <v>152</v>
      </c>
      <c r="E616" s="206">
        <v>182670</v>
      </c>
      <c r="F616" s="206">
        <v>18267</v>
      </c>
      <c r="G616" s="206">
        <v>913</v>
      </c>
      <c r="H616" s="202">
        <f t="shared" si="9"/>
        <v>165316</v>
      </c>
      <c r="I616" s="205" t="s">
        <v>38</v>
      </c>
      <c r="J616" s="205" t="s">
        <v>23</v>
      </c>
      <c r="K616" s="201" t="s">
        <v>1028</v>
      </c>
      <c r="L616" s="205" t="s">
        <v>2214</v>
      </c>
      <c r="M616" s="201" t="s">
        <v>1030</v>
      </c>
      <c r="N616" s="205" t="s">
        <v>652</v>
      </c>
      <c r="O616" s="205" t="s">
        <v>652</v>
      </c>
      <c r="P616" s="207" t="s">
        <v>987</v>
      </c>
      <c r="Q616" s="208" t="s">
        <v>988</v>
      </c>
      <c r="R616" s="208" t="s">
        <v>792</v>
      </c>
    </row>
    <row r="617" spans="1:18" s="205" customFormat="1" x14ac:dyDescent="0.2">
      <c r="A617" s="205" t="s">
        <v>2215</v>
      </c>
      <c r="B617" s="205" t="s">
        <v>229</v>
      </c>
      <c r="C617" s="200">
        <v>45409</v>
      </c>
      <c r="D617" s="201" t="s">
        <v>152</v>
      </c>
      <c r="E617" s="206">
        <v>27213</v>
      </c>
      <c r="F617" s="206">
        <v>2721</v>
      </c>
      <c r="G617" s="206">
        <v>136</v>
      </c>
      <c r="H617" s="202">
        <f t="shared" si="9"/>
        <v>24628</v>
      </c>
      <c r="I617" s="205" t="s">
        <v>38</v>
      </c>
      <c r="J617" s="205" t="s">
        <v>23</v>
      </c>
      <c r="K617" s="201" t="s">
        <v>1042</v>
      </c>
      <c r="L617" s="205" t="s">
        <v>2216</v>
      </c>
      <c r="M617" s="201" t="s">
        <v>1030</v>
      </c>
      <c r="N617" s="205" t="s">
        <v>652</v>
      </c>
      <c r="O617" s="205" t="s">
        <v>652</v>
      </c>
      <c r="P617" s="207" t="s">
        <v>987</v>
      </c>
      <c r="Q617" s="208" t="s">
        <v>988</v>
      </c>
      <c r="R617" s="208" t="s">
        <v>792</v>
      </c>
    </row>
    <row r="618" spans="1:18" s="205" customFormat="1" x14ac:dyDescent="0.2">
      <c r="A618" s="205" t="s">
        <v>2217</v>
      </c>
      <c r="B618" s="205" t="s">
        <v>229</v>
      </c>
      <c r="C618" s="200">
        <v>45409</v>
      </c>
      <c r="D618" s="201" t="s">
        <v>152</v>
      </c>
      <c r="E618" s="206">
        <v>30095</v>
      </c>
      <c r="F618" s="206">
        <v>3010</v>
      </c>
      <c r="G618" s="206">
        <v>150</v>
      </c>
      <c r="H618" s="202">
        <f t="shared" si="9"/>
        <v>27235</v>
      </c>
      <c r="I618" s="205" t="s">
        <v>38</v>
      </c>
      <c r="J618" s="205" t="s">
        <v>23</v>
      </c>
      <c r="K618" s="201" t="s">
        <v>1042</v>
      </c>
      <c r="L618" s="205" t="s">
        <v>2218</v>
      </c>
      <c r="M618" s="201" t="s">
        <v>1030</v>
      </c>
      <c r="N618" s="205" t="s">
        <v>652</v>
      </c>
      <c r="O618" s="205" t="s">
        <v>652</v>
      </c>
      <c r="P618" s="207" t="s">
        <v>987</v>
      </c>
      <c r="Q618" s="208" t="s">
        <v>988</v>
      </c>
      <c r="R618" s="208" t="s">
        <v>792</v>
      </c>
    </row>
    <row r="619" spans="1:18" s="205" customFormat="1" x14ac:dyDescent="0.2">
      <c r="A619" s="205" t="s">
        <v>2219</v>
      </c>
      <c r="B619" s="205" t="s">
        <v>229</v>
      </c>
      <c r="C619" s="200">
        <v>45409</v>
      </c>
      <c r="D619" s="201" t="s">
        <v>152</v>
      </c>
      <c r="E619" s="206">
        <v>27213</v>
      </c>
      <c r="F619" s="206">
        <v>2721</v>
      </c>
      <c r="G619" s="206">
        <v>136</v>
      </c>
      <c r="H619" s="202">
        <f t="shared" si="9"/>
        <v>24628</v>
      </c>
      <c r="I619" s="205" t="s">
        <v>38</v>
      </c>
      <c r="J619" s="205" t="s">
        <v>23</v>
      </c>
      <c r="K619" s="201" t="s">
        <v>1042</v>
      </c>
      <c r="L619" s="205" t="s">
        <v>2220</v>
      </c>
      <c r="M619" s="201" t="s">
        <v>1030</v>
      </c>
      <c r="N619" s="205" t="s">
        <v>652</v>
      </c>
      <c r="O619" s="205" t="s">
        <v>652</v>
      </c>
      <c r="P619" s="207" t="s">
        <v>696</v>
      </c>
      <c r="Q619" s="208" t="s">
        <v>697</v>
      </c>
      <c r="R619" s="208" t="s">
        <v>792</v>
      </c>
    </row>
    <row r="620" spans="1:18" s="205" customFormat="1" x14ac:dyDescent="0.2">
      <c r="A620" s="205" t="s">
        <v>2221</v>
      </c>
      <c r="B620" s="205" t="s">
        <v>229</v>
      </c>
      <c r="C620" s="200">
        <v>45409</v>
      </c>
      <c r="D620" s="201" t="s">
        <v>152</v>
      </c>
      <c r="E620" s="206">
        <v>27213</v>
      </c>
      <c r="F620" s="206">
        <v>2721</v>
      </c>
      <c r="G620" s="206">
        <v>136</v>
      </c>
      <c r="H620" s="202">
        <f t="shared" si="9"/>
        <v>24628</v>
      </c>
      <c r="I620" s="205" t="s">
        <v>38</v>
      </c>
      <c r="J620" s="205" t="s">
        <v>23</v>
      </c>
      <c r="K620" s="201" t="s">
        <v>1042</v>
      </c>
      <c r="L620" s="205" t="s">
        <v>2222</v>
      </c>
      <c r="M620" s="201" t="s">
        <v>1030</v>
      </c>
      <c r="N620" s="205" t="s">
        <v>652</v>
      </c>
      <c r="O620" s="205" t="s">
        <v>652</v>
      </c>
      <c r="P620" s="207" t="s">
        <v>696</v>
      </c>
      <c r="Q620" s="208" t="s">
        <v>697</v>
      </c>
      <c r="R620" s="208" t="s">
        <v>792</v>
      </c>
    </row>
    <row r="621" spans="1:18" s="205" customFormat="1" x14ac:dyDescent="0.2">
      <c r="A621" s="205" t="s">
        <v>2223</v>
      </c>
      <c r="B621" s="205" t="s">
        <v>229</v>
      </c>
      <c r="C621" s="200">
        <v>45409</v>
      </c>
      <c r="D621" s="201" t="s">
        <v>152</v>
      </c>
      <c r="E621" s="206">
        <v>47759</v>
      </c>
      <c r="F621" s="206">
        <v>4776</v>
      </c>
      <c r="G621" s="206">
        <v>239</v>
      </c>
      <c r="H621" s="202">
        <f t="shared" si="9"/>
        <v>43222</v>
      </c>
      <c r="I621" s="205" t="s">
        <v>38</v>
      </c>
      <c r="J621" s="205" t="s">
        <v>23</v>
      </c>
      <c r="K621" s="201" t="s">
        <v>1042</v>
      </c>
      <c r="L621" s="205" t="s">
        <v>2224</v>
      </c>
      <c r="M621" s="201" t="s">
        <v>1030</v>
      </c>
      <c r="N621" s="205" t="s">
        <v>652</v>
      </c>
      <c r="O621" s="205" t="s">
        <v>652</v>
      </c>
      <c r="P621" s="207" t="s">
        <v>696</v>
      </c>
      <c r="Q621" s="208" t="s">
        <v>697</v>
      </c>
      <c r="R621" s="208" t="s">
        <v>792</v>
      </c>
    </row>
    <row r="622" spans="1:18" s="205" customFormat="1" x14ac:dyDescent="0.2">
      <c r="A622" s="205" t="s">
        <v>2225</v>
      </c>
      <c r="B622" s="205" t="s">
        <v>229</v>
      </c>
      <c r="C622" s="200">
        <v>45409</v>
      </c>
      <c r="D622" s="201" t="s">
        <v>152</v>
      </c>
      <c r="E622" s="206">
        <v>54094</v>
      </c>
      <c r="F622" s="206">
        <v>5409</v>
      </c>
      <c r="G622" s="206">
        <v>270</v>
      </c>
      <c r="H622" s="202">
        <f t="shared" si="9"/>
        <v>48955</v>
      </c>
      <c r="I622" s="205" t="s">
        <v>38</v>
      </c>
      <c r="J622" s="205" t="s">
        <v>23</v>
      </c>
      <c r="K622" s="201" t="s">
        <v>1042</v>
      </c>
      <c r="L622" s="205" t="s">
        <v>2226</v>
      </c>
      <c r="M622" s="201" t="s">
        <v>1030</v>
      </c>
      <c r="N622" s="205" t="s">
        <v>652</v>
      </c>
      <c r="O622" s="205" t="s">
        <v>652</v>
      </c>
      <c r="P622" s="207" t="s">
        <v>724</v>
      </c>
      <c r="Q622" s="208" t="s">
        <v>725</v>
      </c>
      <c r="R622" s="208" t="s">
        <v>792</v>
      </c>
    </row>
    <row r="623" spans="1:18" s="205" customFormat="1" x14ac:dyDescent="0.2">
      <c r="A623" s="205" t="s">
        <v>2227</v>
      </c>
      <c r="B623" s="205" t="s">
        <v>229</v>
      </c>
      <c r="C623" s="200">
        <v>45409</v>
      </c>
      <c r="D623" s="201" t="s">
        <v>152</v>
      </c>
      <c r="E623" s="206">
        <v>67331</v>
      </c>
      <c r="F623" s="206">
        <v>6733</v>
      </c>
      <c r="G623" s="206">
        <v>337</v>
      </c>
      <c r="H623" s="202">
        <f t="shared" si="9"/>
        <v>60935</v>
      </c>
      <c r="I623" s="205" t="s">
        <v>38</v>
      </c>
      <c r="J623" s="205" t="s">
        <v>23</v>
      </c>
      <c r="K623" s="201" t="s">
        <v>1042</v>
      </c>
      <c r="L623" s="205" t="s">
        <v>2228</v>
      </c>
      <c r="M623" s="201" t="s">
        <v>1030</v>
      </c>
      <c r="N623" s="205" t="s">
        <v>652</v>
      </c>
      <c r="O623" s="205" t="s">
        <v>652</v>
      </c>
      <c r="P623" s="207" t="s">
        <v>724</v>
      </c>
      <c r="Q623" s="208" t="s">
        <v>725</v>
      </c>
      <c r="R623" s="208" t="s">
        <v>792</v>
      </c>
    </row>
    <row r="624" spans="1:18" s="205" customFormat="1" x14ac:dyDescent="0.2">
      <c r="A624" s="205" t="s">
        <v>2229</v>
      </c>
      <c r="B624" s="205" t="s">
        <v>229</v>
      </c>
      <c r="C624" s="200">
        <v>45409</v>
      </c>
      <c r="D624" s="201" t="s">
        <v>152</v>
      </c>
      <c r="E624" s="206">
        <v>117590</v>
      </c>
      <c r="F624" s="206">
        <v>11759</v>
      </c>
      <c r="G624" s="206">
        <v>588</v>
      </c>
      <c r="H624" s="202">
        <f t="shared" si="9"/>
        <v>106419</v>
      </c>
      <c r="I624" s="205" t="s">
        <v>38</v>
      </c>
      <c r="J624" s="205" t="s">
        <v>23</v>
      </c>
      <c r="K624" s="201" t="s">
        <v>1042</v>
      </c>
      <c r="L624" s="205" t="s">
        <v>2230</v>
      </c>
      <c r="M624" s="201" t="s">
        <v>1030</v>
      </c>
      <c r="N624" s="205" t="s">
        <v>652</v>
      </c>
      <c r="O624" s="205" t="s">
        <v>652</v>
      </c>
      <c r="P624" s="207" t="s">
        <v>677</v>
      </c>
      <c r="Q624" s="208" t="s">
        <v>678</v>
      </c>
      <c r="R624" s="208" t="s">
        <v>792</v>
      </c>
    </row>
    <row r="625" spans="1:18" s="205" customFormat="1" x14ac:dyDescent="0.2">
      <c r="A625" s="205" t="s">
        <v>2231</v>
      </c>
      <c r="B625" s="205" t="s">
        <v>229</v>
      </c>
      <c r="C625" s="200">
        <v>45409</v>
      </c>
      <c r="D625" s="201" t="s">
        <v>152</v>
      </c>
      <c r="E625" s="206">
        <v>29935</v>
      </c>
      <c r="F625" s="206">
        <v>2994</v>
      </c>
      <c r="G625" s="206">
        <v>150</v>
      </c>
      <c r="H625" s="202">
        <f t="shared" si="9"/>
        <v>27091</v>
      </c>
      <c r="I625" s="205" t="s">
        <v>38</v>
      </c>
      <c r="J625" s="205" t="s">
        <v>23</v>
      </c>
      <c r="K625" s="201" t="s">
        <v>1042</v>
      </c>
      <c r="L625" s="205" t="s">
        <v>2232</v>
      </c>
      <c r="M625" s="201" t="s">
        <v>1030</v>
      </c>
      <c r="N625" s="205" t="s">
        <v>652</v>
      </c>
      <c r="O625" s="205" t="s">
        <v>652</v>
      </c>
      <c r="P625" s="207" t="s">
        <v>728</v>
      </c>
      <c r="Q625" s="208" t="s">
        <v>729</v>
      </c>
      <c r="R625" s="208" t="s">
        <v>792</v>
      </c>
    </row>
    <row r="626" spans="1:18" s="205" customFormat="1" x14ac:dyDescent="0.2">
      <c r="A626" s="205" t="s">
        <v>2233</v>
      </c>
      <c r="B626" s="205" t="s">
        <v>229</v>
      </c>
      <c r="C626" s="200">
        <v>45409</v>
      </c>
      <c r="D626" s="201" t="s">
        <v>152</v>
      </c>
      <c r="E626" s="206">
        <v>56454</v>
      </c>
      <c r="F626" s="206">
        <v>5645</v>
      </c>
      <c r="G626" s="206">
        <v>282</v>
      </c>
      <c r="H626" s="202">
        <f t="shared" si="9"/>
        <v>51091</v>
      </c>
      <c r="I626" s="205" t="s">
        <v>38</v>
      </c>
      <c r="J626" s="205" t="s">
        <v>23</v>
      </c>
      <c r="K626" s="201" t="s">
        <v>1028</v>
      </c>
      <c r="L626" s="205" t="s">
        <v>2234</v>
      </c>
      <c r="M626" s="201" t="s">
        <v>1030</v>
      </c>
      <c r="N626" s="205" t="s">
        <v>652</v>
      </c>
      <c r="O626" s="205" t="s">
        <v>652</v>
      </c>
      <c r="P626" s="207" t="s">
        <v>651</v>
      </c>
      <c r="Q626" s="208" t="s">
        <v>673</v>
      </c>
      <c r="R626" s="208" t="s">
        <v>792</v>
      </c>
    </row>
    <row r="627" spans="1:18" s="205" customFormat="1" x14ac:dyDescent="0.2">
      <c r="A627" s="205" t="s">
        <v>2235</v>
      </c>
      <c r="B627" s="205" t="s">
        <v>229</v>
      </c>
      <c r="C627" s="200">
        <v>45409</v>
      </c>
      <c r="D627" s="201" t="s">
        <v>152</v>
      </c>
      <c r="E627" s="206">
        <v>68668</v>
      </c>
      <c r="F627" s="206">
        <v>6867</v>
      </c>
      <c r="G627" s="206">
        <v>343</v>
      </c>
      <c r="H627" s="202">
        <f t="shared" si="9"/>
        <v>62144</v>
      </c>
      <c r="I627" s="205" t="s">
        <v>38</v>
      </c>
      <c r="J627" s="205" t="s">
        <v>23</v>
      </c>
      <c r="K627" s="201" t="s">
        <v>1042</v>
      </c>
      <c r="L627" s="205" t="s">
        <v>2236</v>
      </c>
      <c r="M627" s="201" t="s">
        <v>1030</v>
      </c>
      <c r="N627" s="205" t="s">
        <v>652</v>
      </c>
      <c r="O627" s="205" t="s">
        <v>652</v>
      </c>
      <c r="P627" s="207" t="s">
        <v>651</v>
      </c>
      <c r="Q627" s="208" t="s">
        <v>673</v>
      </c>
      <c r="R627" s="208" t="s">
        <v>792</v>
      </c>
    </row>
    <row r="628" spans="1:18" s="205" customFormat="1" x14ac:dyDescent="0.2">
      <c r="A628" s="205" t="s">
        <v>2237</v>
      </c>
      <c r="B628" s="205" t="s">
        <v>229</v>
      </c>
      <c r="C628" s="200">
        <v>45409</v>
      </c>
      <c r="D628" s="201" t="s">
        <v>152</v>
      </c>
      <c r="E628" s="206">
        <v>27213</v>
      </c>
      <c r="F628" s="206">
        <v>2721</v>
      </c>
      <c r="G628" s="206">
        <v>136</v>
      </c>
      <c r="H628" s="202">
        <f t="shared" si="9"/>
        <v>24628</v>
      </c>
      <c r="I628" s="205" t="s">
        <v>38</v>
      </c>
      <c r="J628" s="205" t="s">
        <v>23</v>
      </c>
      <c r="K628" s="201" t="s">
        <v>1028</v>
      </c>
      <c r="L628" s="205" t="s">
        <v>2238</v>
      </c>
      <c r="M628" s="201" t="s">
        <v>1030</v>
      </c>
      <c r="N628" s="205" t="s">
        <v>652</v>
      </c>
      <c r="O628" s="205" t="s">
        <v>652</v>
      </c>
      <c r="P628" s="207" t="s">
        <v>651</v>
      </c>
      <c r="Q628" s="208" t="s">
        <v>673</v>
      </c>
      <c r="R628" s="208" t="s">
        <v>792</v>
      </c>
    </row>
    <row r="629" spans="1:18" s="205" customFormat="1" x14ac:dyDescent="0.2">
      <c r="A629" s="205" t="s">
        <v>2239</v>
      </c>
      <c r="B629" s="205" t="s">
        <v>229</v>
      </c>
      <c r="C629" s="200">
        <v>45409</v>
      </c>
      <c r="D629" s="201" t="s">
        <v>152</v>
      </c>
      <c r="E629" s="206">
        <v>27213</v>
      </c>
      <c r="F629" s="206">
        <v>2721</v>
      </c>
      <c r="G629" s="206">
        <v>136</v>
      </c>
      <c r="H629" s="202">
        <f t="shared" si="9"/>
        <v>24628</v>
      </c>
      <c r="I629" s="205" t="s">
        <v>38</v>
      </c>
      <c r="J629" s="205" t="s">
        <v>23</v>
      </c>
      <c r="K629" s="201" t="s">
        <v>1028</v>
      </c>
      <c r="L629" s="205" t="s">
        <v>2240</v>
      </c>
      <c r="M629" s="201" t="s">
        <v>1030</v>
      </c>
      <c r="N629" s="205" t="s">
        <v>652</v>
      </c>
      <c r="O629" s="205" t="s">
        <v>652</v>
      </c>
      <c r="P629" s="207" t="s">
        <v>651</v>
      </c>
      <c r="Q629" s="208" t="s">
        <v>673</v>
      </c>
      <c r="R629" s="208" t="s">
        <v>792</v>
      </c>
    </row>
    <row r="630" spans="1:18" s="205" customFormat="1" x14ac:dyDescent="0.2">
      <c r="A630" s="205" t="s">
        <v>2241</v>
      </c>
      <c r="B630" s="205" t="s">
        <v>229</v>
      </c>
      <c r="C630" s="200">
        <v>45409</v>
      </c>
      <c r="D630" s="201" t="s">
        <v>152</v>
      </c>
      <c r="E630" s="206">
        <v>27213</v>
      </c>
      <c r="F630" s="206">
        <v>2721</v>
      </c>
      <c r="G630" s="206">
        <v>136</v>
      </c>
      <c r="H630" s="202">
        <f t="shared" si="9"/>
        <v>24628</v>
      </c>
      <c r="I630" s="205" t="s">
        <v>38</v>
      </c>
      <c r="J630" s="205" t="s">
        <v>23</v>
      </c>
      <c r="K630" s="201" t="s">
        <v>1028</v>
      </c>
      <c r="L630" s="205" t="s">
        <v>2242</v>
      </c>
      <c r="M630" s="201" t="s">
        <v>1030</v>
      </c>
      <c r="N630" s="205" t="s">
        <v>652</v>
      </c>
      <c r="O630" s="205" t="s">
        <v>652</v>
      </c>
      <c r="P630" s="207" t="s">
        <v>651</v>
      </c>
      <c r="Q630" s="208" t="s">
        <v>673</v>
      </c>
      <c r="R630" s="208" t="s">
        <v>792</v>
      </c>
    </row>
    <row r="631" spans="1:18" s="205" customFormat="1" x14ac:dyDescent="0.2">
      <c r="A631" s="205" t="s">
        <v>2243</v>
      </c>
      <c r="B631" s="205" t="s">
        <v>229</v>
      </c>
      <c r="C631" s="200">
        <v>45409</v>
      </c>
      <c r="D631" s="201" t="s">
        <v>152</v>
      </c>
      <c r="E631" s="206">
        <v>27213</v>
      </c>
      <c r="F631" s="206">
        <v>2721</v>
      </c>
      <c r="G631" s="206">
        <v>136</v>
      </c>
      <c r="H631" s="202">
        <f t="shared" si="9"/>
        <v>24628</v>
      </c>
      <c r="I631" s="205" t="s">
        <v>38</v>
      </c>
      <c r="J631" s="205" t="s">
        <v>23</v>
      </c>
      <c r="K631" s="201" t="s">
        <v>1028</v>
      </c>
      <c r="L631" s="205" t="s">
        <v>2244</v>
      </c>
      <c r="M631" s="201" t="s">
        <v>1030</v>
      </c>
      <c r="N631" s="205" t="s">
        <v>652</v>
      </c>
      <c r="O631" s="205" t="s">
        <v>652</v>
      </c>
      <c r="P631" s="207" t="s">
        <v>651</v>
      </c>
      <c r="Q631" s="208" t="s">
        <v>673</v>
      </c>
      <c r="R631" s="208" t="s">
        <v>792</v>
      </c>
    </row>
    <row r="632" spans="1:18" s="205" customFormat="1" x14ac:dyDescent="0.2">
      <c r="A632" s="205" t="s">
        <v>2245</v>
      </c>
      <c r="B632" s="205" t="s">
        <v>229</v>
      </c>
      <c r="C632" s="200">
        <v>45409</v>
      </c>
      <c r="D632" s="201" t="s">
        <v>152</v>
      </c>
      <c r="E632" s="206">
        <v>36738</v>
      </c>
      <c r="F632" s="206">
        <v>3674</v>
      </c>
      <c r="G632" s="206">
        <v>184</v>
      </c>
      <c r="H632" s="202">
        <f t="shared" si="9"/>
        <v>33248</v>
      </c>
      <c r="I632" s="205" t="s">
        <v>38</v>
      </c>
      <c r="J632" s="205" t="s">
        <v>23</v>
      </c>
      <c r="K632" s="201" t="s">
        <v>1028</v>
      </c>
      <c r="L632" s="205" t="s">
        <v>2246</v>
      </c>
      <c r="M632" s="201" t="s">
        <v>1030</v>
      </c>
      <c r="N632" s="205" t="s">
        <v>652</v>
      </c>
      <c r="O632" s="205" t="s">
        <v>652</v>
      </c>
      <c r="P632" s="207" t="s">
        <v>651</v>
      </c>
      <c r="Q632" s="208" t="s">
        <v>673</v>
      </c>
      <c r="R632" s="208" t="s">
        <v>792</v>
      </c>
    </row>
    <row r="633" spans="1:18" s="205" customFormat="1" x14ac:dyDescent="0.2">
      <c r="A633" s="205" t="s">
        <v>2247</v>
      </c>
      <c r="B633" s="205" t="s">
        <v>229</v>
      </c>
      <c r="C633" s="200">
        <v>45409</v>
      </c>
      <c r="D633" s="201" t="s">
        <v>152</v>
      </c>
      <c r="E633" s="206">
        <v>30095</v>
      </c>
      <c r="F633" s="206">
        <v>3010</v>
      </c>
      <c r="G633" s="206">
        <v>150</v>
      </c>
      <c r="H633" s="202">
        <f t="shared" si="9"/>
        <v>27235</v>
      </c>
      <c r="I633" s="205" t="s">
        <v>38</v>
      </c>
      <c r="J633" s="205" t="s">
        <v>23</v>
      </c>
      <c r="K633" s="201" t="s">
        <v>1042</v>
      </c>
      <c r="L633" s="205" t="s">
        <v>2248</v>
      </c>
      <c r="M633" s="201" t="s">
        <v>1030</v>
      </c>
      <c r="N633" s="205" t="s">
        <v>652</v>
      </c>
      <c r="O633" s="205" t="s">
        <v>652</v>
      </c>
      <c r="P633" s="207" t="s">
        <v>651</v>
      </c>
      <c r="Q633" s="208" t="s">
        <v>673</v>
      </c>
      <c r="R633" s="208" t="s">
        <v>792</v>
      </c>
    </row>
    <row r="634" spans="1:18" s="205" customFormat="1" x14ac:dyDescent="0.2">
      <c r="A634" s="205" t="s">
        <v>2249</v>
      </c>
      <c r="B634" s="205" t="s">
        <v>229</v>
      </c>
      <c r="C634" s="200">
        <v>45409</v>
      </c>
      <c r="D634" s="201" t="s">
        <v>152</v>
      </c>
      <c r="E634" s="206">
        <v>30095</v>
      </c>
      <c r="F634" s="206">
        <v>3010</v>
      </c>
      <c r="G634" s="206">
        <v>150</v>
      </c>
      <c r="H634" s="202">
        <f t="shared" si="9"/>
        <v>27235</v>
      </c>
      <c r="I634" s="205" t="s">
        <v>38</v>
      </c>
      <c r="J634" s="205" t="s">
        <v>23</v>
      </c>
      <c r="K634" s="201" t="s">
        <v>1042</v>
      </c>
      <c r="L634" s="205" t="s">
        <v>2250</v>
      </c>
      <c r="M634" s="201" t="s">
        <v>1030</v>
      </c>
      <c r="N634" s="205" t="s">
        <v>652</v>
      </c>
      <c r="O634" s="205" t="s">
        <v>652</v>
      </c>
      <c r="P634" s="207" t="s">
        <v>651</v>
      </c>
      <c r="Q634" s="208" t="s">
        <v>673</v>
      </c>
      <c r="R634" s="208" t="s">
        <v>792</v>
      </c>
    </row>
    <row r="635" spans="1:18" s="205" customFormat="1" x14ac:dyDescent="0.2">
      <c r="A635" s="205" t="s">
        <v>2251</v>
      </c>
      <c r="B635" s="205" t="s">
        <v>229</v>
      </c>
      <c r="C635" s="200">
        <v>45409</v>
      </c>
      <c r="D635" s="201" t="s">
        <v>152</v>
      </c>
      <c r="E635" s="206">
        <v>30095</v>
      </c>
      <c r="F635" s="206">
        <v>3010</v>
      </c>
      <c r="G635" s="206">
        <v>150</v>
      </c>
      <c r="H635" s="202">
        <f t="shared" si="9"/>
        <v>27235</v>
      </c>
      <c r="I635" s="205" t="s">
        <v>38</v>
      </c>
      <c r="J635" s="205" t="s">
        <v>23</v>
      </c>
      <c r="K635" s="201" t="s">
        <v>1042</v>
      </c>
      <c r="L635" s="205" t="s">
        <v>2252</v>
      </c>
      <c r="M635" s="201" t="s">
        <v>1030</v>
      </c>
      <c r="N635" s="205" t="s">
        <v>652</v>
      </c>
      <c r="O635" s="205" t="s">
        <v>652</v>
      </c>
      <c r="P635" s="207" t="s">
        <v>651</v>
      </c>
      <c r="Q635" s="208" t="s">
        <v>673</v>
      </c>
      <c r="R635" s="208" t="s">
        <v>792</v>
      </c>
    </row>
    <row r="636" spans="1:18" s="205" customFormat="1" x14ac:dyDescent="0.2">
      <c r="A636" s="205" t="s">
        <v>2253</v>
      </c>
      <c r="B636" s="205" t="s">
        <v>229</v>
      </c>
      <c r="C636" s="200">
        <v>45409</v>
      </c>
      <c r="D636" s="201" t="s">
        <v>152</v>
      </c>
      <c r="E636" s="206">
        <v>47759</v>
      </c>
      <c r="F636" s="206">
        <v>4776</v>
      </c>
      <c r="G636" s="206">
        <v>239</v>
      </c>
      <c r="H636" s="202">
        <f t="shared" si="9"/>
        <v>43222</v>
      </c>
      <c r="I636" s="205" t="s">
        <v>38</v>
      </c>
      <c r="J636" s="205" t="s">
        <v>23</v>
      </c>
      <c r="K636" s="201" t="s">
        <v>1028</v>
      </c>
      <c r="L636" s="205" t="s">
        <v>2254</v>
      </c>
      <c r="M636" s="201" t="s">
        <v>1030</v>
      </c>
      <c r="N636" s="205" t="s">
        <v>652</v>
      </c>
      <c r="O636" s="205" t="s">
        <v>652</v>
      </c>
      <c r="P636" s="207" t="s">
        <v>651</v>
      </c>
      <c r="Q636" s="208" t="s">
        <v>673</v>
      </c>
      <c r="R636" s="208" t="s">
        <v>792</v>
      </c>
    </row>
    <row r="637" spans="1:18" s="205" customFormat="1" x14ac:dyDescent="0.2">
      <c r="A637" s="205" t="s">
        <v>2255</v>
      </c>
      <c r="B637" s="205" t="s">
        <v>229</v>
      </c>
      <c r="C637" s="200">
        <v>45409</v>
      </c>
      <c r="D637" s="201" t="s">
        <v>152</v>
      </c>
      <c r="E637" s="206">
        <v>36738</v>
      </c>
      <c r="F637" s="206">
        <v>3674</v>
      </c>
      <c r="G637" s="206">
        <v>184</v>
      </c>
      <c r="H637" s="202">
        <f t="shared" si="9"/>
        <v>33248</v>
      </c>
      <c r="I637" s="205" t="s">
        <v>38</v>
      </c>
      <c r="J637" s="205" t="s">
        <v>23</v>
      </c>
      <c r="K637" s="201" t="s">
        <v>1028</v>
      </c>
      <c r="L637" s="205" t="s">
        <v>2256</v>
      </c>
      <c r="M637" s="201" t="s">
        <v>1030</v>
      </c>
      <c r="N637" s="205" t="s">
        <v>652</v>
      </c>
      <c r="O637" s="205" t="s">
        <v>652</v>
      </c>
      <c r="P637" s="207" t="s">
        <v>651</v>
      </c>
      <c r="Q637" s="208" t="s">
        <v>673</v>
      </c>
      <c r="R637" s="208" t="s">
        <v>792</v>
      </c>
    </row>
    <row r="638" spans="1:18" s="205" customFormat="1" x14ac:dyDescent="0.2">
      <c r="A638" s="205" t="s">
        <v>2257</v>
      </c>
      <c r="B638" s="205" t="s">
        <v>229</v>
      </c>
      <c r="C638" s="200">
        <v>45409</v>
      </c>
      <c r="D638" s="201" t="s">
        <v>152</v>
      </c>
      <c r="E638" s="206">
        <v>27213</v>
      </c>
      <c r="F638" s="206">
        <v>2721</v>
      </c>
      <c r="G638" s="206">
        <v>136</v>
      </c>
      <c r="H638" s="202">
        <f t="shared" si="9"/>
        <v>24628</v>
      </c>
      <c r="I638" s="205" t="s">
        <v>38</v>
      </c>
      <c r="J638" s="205" t="s">
        <v>23</v>
      </c>
      <c r="K638" s="201" t="s">
        <v>1042</v>
      </c>
      <c r="L638" s="205" t="s">
        <v>2258</v>
      </c>
      <c r="M638" s="201" t="s">
        <v>1030</v>
      </c>
      <c r="N638" s="205" t="s">
        <v>652</v>
      </c>
      <c r="O638" s="205" t="s">
        <v>652</v>
      </c>
      <c r="P638" s="207" t="s">
        <v>651</v>
      </c>
      <c r="Q638" s="208" t="s">
        <v>673</v>
      </c>
      <c r="R638" s="208" t="s">
        <v>792</v>
      </c>
    </row>
    <row r="639" spans="1:18" s="205" customFormat="1" x14ac:dyDescent="0.2">
      <c r="A639" s="205" t="s">
        <v>2259</v>
      </c>
      <c r="B639" s="205" t="s">
        <v>229</v>
      </c>
      <c r="C639" s="200">
        <v>45409</v>
      </c>
      <c r="D639" s="201" t="s">
        <v>152</v>
      </c>
      <c r="E639" s="206">
        <v>36738</v>
      </c>
      <c r="F639" s="206">
        <v>3674</v>
      </c>
      <c r="G639" s="206">
        <v>184</v>
      </c>
      <c r="H639" s="202">
        <f t="shared" si="9"/>
        <v>33248</v>
      </c>
      <c r="I639" s="205" t="s">
        <v>38</v>
      </c>
      <c r="J639" s="205" t="s">
        <v>23</v>
      </c>
      <c r="K639" s="201" t="s">
        <v>1028</v>
      </c>
      <c r="L639" s="205" t="s">
        <v>2260</v>
      </c>
      <c r="M639" s="201" t="s">
        <v>1030</v>
      </c>
      <c r="N639" s="205" t="s">
        <v>652</v>
      </c>
      <c r="O639" s="205" t="s">
        <v>652</v>
      </c>
      <c r="P639" s="207" t="s">
        <v>651</v>
      </c>
      <c r="Q639" s="208" t="s">
        <v>673</v>
      </c>
      <c r="R639" s="208" t="s">
        <v>792</v>
      </c>
    </row>
    <row r="640" spans="1:18" s="205" customFormat="1" x14ac:dyDescent="0.2">
      <c r="A640" s="205" t="s">
        <v>2261</v>
      </c>
      <c r="B640" s="205" t="s">
        <v>229</v>
      </c>
      <c r="C640" s="200">
        <v>45409</v>
      </c>
      <c r="D640" s="201" t="s">
        <v>152</v>
      </c>
      <c r="E640" s="206">
        <v>36738</v>
      </c>
      <c r="F640" s="206">
        <v>3674</v>
      </c>
      <c r="G640" s="206">
        <v>184</v>
      </c>
      <c r="H640" s="202">
        <f t="shared" si="9"/>
        <v>33248</v>
      </c>
      <c r="I640" s="205" t="s">
        <v>38</v>
      </c>
      <c r="J640" s="205" t="s">
        <v>23</v>
      </c>
      <c r="K640" s="201" t="s">
        <v>1028</v>
      </c>
      <c r="L640" s="205" t="s">
        <v>2262</v>
      </c>
      <c r="M640" s="201" t="s">
        <v>1030</v>
      </c>
      <c r="N640" s="205" t="s">
        <v>652</v>
      </c>
      <c r="O640" s="205" t="s">
        <v>652</v>
      </c>
      <c r="P640" s="207" t="s">
        <v>651</v>
      </c>
      <c r="Q640" s="208" t="s">
        <v>673</v>
      </c>
      <c r="R640" s="208" t="s">
        <v>792</v>
      </c>
    </row>
    <row r="641" spans="1:18" s="205" customFormat="1" x14ac:dyDescent="0.2">
      <c r="A641" s="205" t="s">
        <v>2263</v>
      </c>
      <c r="B641" s="205" t="s">
        <v>229</v>
      </c>
      <c r="C641" s="200">
        <v>45409</v>
      </c>
      <c r="D641" s="201" t="s">
        <v>152</v>
      </c>
      <c r="E641" s="206">
        <v>87104</v>
      </c>
      <c r="F641" s="206">
        <v>8710</v>
      </c>
      <c r="G641" s="206">
        <v>436</v>
      </c>
      <c r="H641" s="202">
        <f t="shared" si="9"/>
        <v>78830</v>
      </c>
      <c r="I641" s="205" t="s">
        <v>38</v>
      </c>
      <c r="J641" s="205" t="s">
        <v>23</v>
      </c>
      <c r="K641" s="201" t="s">
        <v>1028</v>
      </c>
      <c r="L641" s="205" t="s">
        <v>2264</v>
      </c>
      <c r="M641" s="201" t="s">
        <v>1030</v>
      </c>
      <c r="N641" s="205" t="s">
        <v>652</v>
      </c>
      <c r="O641" s="205" t="s">
        <v>652</v>
      </c>
      <c r="P641" s="207" t="s">
        <v>651</v>
      </c>
      <c r="Q641" s="208" t="s">
        <v>673</v>
      </c>
      <c r="R641" s="208" t="s">
        <v>792</v>
      </c>
    </row>
    <row r="642" spans="1:18" s="205" customFormat="1" x14ac:dyDescent="0.2">
      <c r="A642" s="205" t="s">
        <v>2265</v>
      </c>
      <c r="B642" s="205" t="s">
        <v>229</v>
      </c>
      <c r="C642" s="200">
        <v>45409</v>
      </c>
      <c r="D642" s="209" t="s">
        <v>152</v>
      </c>
      <c r="E642" s="206">
        <v>59699</v>
      </c>
      <c r="F642" s="206">
        <v>5970</v>
      </c>
      <c r="G642" s="206">
        <v>299</v>
      </c>
      <c r="H642" s="202">
        <f t="shared" ref="H642:H693" si="10">E642+G642-F642</f>
        <v>54028</v>
      </c>
      <c r="I642" s="205" t="s">
        <v>38</v>
      </c>
      <c r="J642" s="205" t="s">
        <v>23</v>
      </c>
      <c r="K642" s="201" t="s">
        <v>1028</v>
      </c>
      <c r="L642" s="205" t="s">
        <v>2266</v>
      </c>
      <c r="M642" s="201" t="s">
        <v>1030</v>
      </c>
      <c r="N642" s="205" t="s">
        <v>652</v>
      </c>
      <c r="O642" s="205" t="s">
        <v>652</v>
      </c>
      <c r="P642" s="207" t="s">
        <v>651</v>
      </c>
      <c r="Q642" s="208" t="s">
        <v>673</v>
      </c>
      <c r="R642" s="208" t="s">
        <v>792</v>
      </c>
    </row>
    <row r="643" spans="1:18" s="205" customFormat="1" x14ac:dyDescent="0.2">
      <c r="A643" s="205" t="s">
        <v>2267</v>
      </c>
      <c r="B643" s="205" t="s">
        <v>229</v>
      </c>
      <c r="C643" s="200">
        <v>45409</v>
      </c>
      <c r="D643" s="209" t="s">
        <v>152</v>
      </c>
      <c r="E643" s="206">
        <v>27213</v>
      </c>
      <c r="F643" s="206">
        <v>2721</v>
      </c>
      <c r="G643" s="206">
        <v>136</v>
      </c>
      <c r="H643" s="202">
        <f t="shared" si="10"/>
        <v>24628</v>
      </c>
      <c r="I643" s="205" t="s">
        <v>38</v>
      </c>
      <c r="J643" s="205" t="s">
        <v>23</v>
      </c>
      <c r="K643" s="201" t="s">
        <v>1028</v>
      </c>
      <c r="L643" s="205" t="s">
        <v>2268</v>
      </c>
      <c r="M643" s="201" t="s">
        <v>1030</v>
      </c>
      <c r="N643" s="205" t="s">
        <v>652</v>
      </c>
      <c r="O643" s="205" t="s">
        <v>652</v>
      </c>
      <c r="P643" s="207" t="s">
        <v>651</v>
      </c>
      <c r="Q643" s="208" t="s">
        <v>673</v>
      </c>
      <c r="R643" s="208" t="s">
        <v>792</v>
      </c>
    </row>
    <row r="644" spans="1:18" s="205" customFormat="1" x14ac:dyDescent="0.2">
      <c r="A644" s="205" t="s">
        <v>2269</v>
      </c>
      <c r="B644" s="205" t="s">
        <v>229</v>
      </c>
      <c r="C644" s="200">
        <v>45409</v>
      </c>
      <c r="D644" s="209" t="s">
        <v>152</v>
      </c>
      <c r="E644" s="206">
        <v>27213</v>
      </c>
      <c r="F644" s="206">
        <v>2721</v>
      </c>
      <c r="G644" s="206">
        <v>136</v>
      </c>
      <c r="H644" s="202">
        <f t="shared" si="10"/>
        <v>24628</v>
      </c>
      <c r="I644" s="205" t="s">
        <v>38</v>
      </c>
      <c r="J644" s="205" t="s">
        <v>23</v>
      </c>
      <c r="K644" s="201" t="s">
        <v>1028</v>
      </c>
      <c r="L644" s="205" t="s">
        <v>2270</v>
      </c>
      <c r="M644" s="199" t="s">
        <v>1030</v>
      </c>
      <c r="N644" s="205" t="s">
        <v>652</v>
      </c>
      <c r="O644" s="205" t="s">
        <v>652</v>
      </c>
      <c r="P644" s="207" t="s">
        <v>651</v>
      </c>
      <c r="Q644" s="208" t="s">
        <v>673</v>
      </c>
      <c r="R644" s="208" t="s">
        <v>792</v>
      </c>
    </row>
    <row r="645" spans="1:18" s="205" customFormat="1" x14ac:dyDescent="0.2">
      <c r="A645" s="205" t="s">
        <v>2271</v>
      </c>
      <c r="B645" s="205" t="s">
        <v>229</v>
      </c>
      <c r="C645" s="200">
        <v>45409</v>
      </c>
      <c r="D645" s="209" t="s">
        <v>152</v>
      </c>
      <c r="E645" s="206">
        <v>27213</v>
      </c>
      <c r="F645" s="206">
        <v>2721</v>
      </c>
      <c r="G645" s="206">
        <v>136</v>
      </c>
      <c r="H645" s="202">
        <f t="shared" si="10"/>
        <v>24628</v>
      </c>
      <c r="I645" s="205" t="s">
        <v>38</v>
      </c>
      <c r="J645" s="205" t="s">
        <v>23</v>
      </c>
      <c r="K645" s="201" t="s">
        <v>1028</v>
      </c>
      <c r="L645" s="205" t="s">
        <v>2272</v>
      </c>
      <c r="M645" s="201" t="s">
        <v>1030</v>
      </c>
      <c r="N645" s="205" t="s">
        <v>652</v>
      </c>
      <c r="O645" s="205" t="s">
        <v>652</v>
      </c>
      <c r="P645" s="207" t="s">
        <v>651</v>
      </c>
      <c r="Q645" s="208" t="s">
        <v>673</v>
      </c>
      <c r="R645" s="208" t="s">
        <v>792</v>
      </c>
    </row>
    <row r="646" spans="1:18" s="205" customFormat="1" x14ac:dyDescent="0.2">
      <c r="A646" s="205" t="s">
        <v>2273</v>
      </c>
      <c r="B646" s="205" t="s">
        <v>229</v>
      </c>
      <c r="C646" s="200">
        <v>45409</v>
      </c>
      <c r="D646" s="205" t="s">
        <v>166</v>
      </c>
      <c r="E646" s="206">
        <v>-28549</v>
      </c>
      <c r="F646" s="206">
        <v>-2855</v>
      </c>
      <c r="G646" s="206">
        <v>-143</v>
      </c>
      <c r="H646" s="202">
        <f t="shared" si="10"/>
        <v>-25837</v>
      </c>
      <c r="I646" s="205" t="s">
        <v>38</v>
      </c>
      <c r="J646" s="205" t="s">
        <v>23</v>
      </c>
      <c r="K646" s="201" t="s">
        <v>1068</v>
      </c>
      <c r="L646" s="205" t="s">
        <v>2274</v>
      </c>
      <c r="M646" s="201" t="s">
        <v>1030</v>
      </c>
      <c r="N646" s="205" t="s">
        <v>652</v>
      </c>
      <c r="O646" s="205" t="s">
        <v>652</v>
      </c>
      <c r="P646" s="207" t="s">
        <v>718</v>
      </c>
      <c r="Q646" s="208" t="s">
        <v>661</v>
      </c>
      <c r="R646" s="208" t="s">
        <v>792</v>
      </c>
    </row>
    <row r="647" spans="1:18" s="205" customFormat="1" x14ac:dyDescent="0.2">
      <c r="A647" s="205" t="s">
        <v>1538</v>
      </c>
      <c r="B647" s="205" t="s">
        <v>2275</v>
      </c>
      <c r="C647" s="200">
        <v>45411</v>
      </c>
      <c r="D647" s="209" t="s">
        <v>152</v>
      </c>
      <c r="E647" s="206">
        <v>329968</v>
      </c>
      <c r="F647" s="206">
        <v>32997</v>
      </c>
      <c r="G647" s="206">
        <v>3300</v>
      </c>
      <c r="H647" s="202">
        <f t="shared" si="10"/>
        <v>300271</v>
      </c>
      <c r="I647" s="205" t="s">
        <v>31</v>
      </c>
      <c r="J647" s="205" t="s">
        <v>29</v>
      </c>
      <c r="K647" s="201" t="s">
        <v>1028</v>
      </c>
      <c r="L647" s="205" t="s">
        <v>2276</v>
      </c>
      <c r="M647" s="201" t="s">
        <v>1030</v>
      </c>
      <c r="N647" s="205" t="s">
        <v>652</v>
      </c>
      <c r="O647" s="205" t="s">
        <v>652</v>
      </c>
      <c r="P647" s="207" t="s">
        <v>1978</v>
      </c>
      <c r="Q647" s="208" t="s">
        <v>1979</v>
      </c>
      <c r="R647" s="208" t="s">
        <v>2277</v>
      </c>
    </row>
    <row r="648" spans="1:18" s="205" customFormat="1" x14ac:dyDescent="0.2">
      <c r="A648" s="205" t="s">
        <v>2278</v>
      </c>
      <c r="B648" s="205" t="s">
        <v>2279</v>
      </c>
      <c r="C648" s="200">
        <v>45411</v>
      </c>
      <c r="D648" s="209" t="s">
        <v>152</v>
      </c>
      <c r="E648" s="206">
        <v>48971</v>
      </c>
      <c r="F648" s="206">
        <v>4897</v>
      </c>
      <c r="G648" s="206">
        <v>490</v>
      </c>
      <c r="H648" s="202">
        <f t="shared" si="10"/>
        <v>44564</v>
      </c>
      <c r="I648" s="205" t="s">
        <v>2280</v>
      </c>
      <c r="J648" s="205" t="s">
        <v>29</v>
      </c>
      <c r="K648" s="201" t="s">
        <v>1028</v>
      </c>
      <c r="L648" s="205" t="s">
        <v>2281</v>
      </c>
      <c r="M648" s="201" t="s">
        <v>1393</v>
      </c>
      <c r="N648" s="205" t="s">
        <v>652</v>
      </c>
      <c r="O648" s="205" t="s">
        <v>652</v>
      </c>
      <c r="P648" s="207" t="s">
        <v>1542</v>
      </c>
      <c r="Q648" s="208" t="s">
        <v>1622</v>
      </c>
      <c r="R648" s="208" t="s">
        <v>2277</v>
      </c>
    </row>
    <row r="649" spans="1:18" s="205" customFormat="1" x14ac:dyDescent="0.2">
      <c r="A649" s="205" t="s">
        <v>2282</v>
      </c>
      <c r="B649" s="205" t="s">
        <v>2283</v>
      </c>
      <c r="C649" s="200">
        <v>45411</v>
      </c>
      <c r="D649" s="209" t="s">
        <v>152</v>
      </c>
      <c r="E649" s="206">
        <v>104734</v>
      </c>
      <c r="F649" s="206">
        <v>10473</v>
      </c>
      <c r="G649" s="206">
        <v>1047</v>
      </c>
      <c r="H649" s="202">
        <f t="shared" si="10"/>
        <v>95308</v>
      </c>
      <c r="I649" s="205" t="s">
        <v>737</v>
      </c>
      <c r="J649" s="205" t="s">
        <v>29</v>
      </c>
      <c r="K649" s="201" t="s">
        <v>1058</v>
      </c>
      <c r="L649" s="205" t="s">
        <v>2284</v>
      </c>
      <c r="M649" s="201" t="s">
        <v>1072</v>
      </c>
      <c r="N649" s="205" t="s">
        <v>652</v>
      </c>
      <c r="O649" s="205" t="s">
        <v>652</v>
      </c>
      <c r="P649" s="207" t="s">
        <v>1980</v>
      </c>
      <c r="Q649" s="208" t="s">
        <v>2046</v>
      </c>
      <c r="R649" s="208" t="s">
        <v>2277</v>
      </c>
    </row>
    <row r="650" spans="1:18" s="205" customFormat="1" x14ac:dyDescent="0.2">
      <c r="A650" s="205" t="s">
        <v>2285</v>
      </c>
      <c r="B650" s="205" t="s">
        <v>2286</v>
      </c>
      <c r="C650" s="200">
        <v>45411</v>
      </c>
      <c r="D650" s="209" t="s">
        <v>152</v>
      </c>
      <c r="E650" s="206">
        <v>67877</v>
      </c>
      <c r="F650" s="206">
        <v>6788</v>
      </c>
      <c r="G650" s="206">
        <v>679</v>
      </c>
      <c r="H650" s="202">
        <f t="shared" si="10"/>
        <v>61768</v>
      </c>
      <c r="I650" s="205" t="s">
        <v>329</v>
      </c>
      <c r="J650" s="205" t="s">
        <v>29</v>
      </c>
      <c r="K650" s="201" t="s">
        <v>1028</v>
      </c>
      <c r="L650" s="205" t="s">
        <v>2287</v>
      </c>
      <c r="M650" s="209" t="s">
        <v>1030</v>
      </c>
      <c r="N650" s="205" t="s">
        <v>652</v>
      </c>
      <c r="O650" s="205" t="s">
        <v>652</v>
      </c>
      <c r="P650" s="207" t="s">
        <v>1035</v>
      </c>
      <c r="Q650" s="208" t="s">
        <v>1036</v>
      </c>
      <c r="R650" s="208" t="s">
        <v>2277</v>
      </c>
    </row>
    <row r="651" spans="1:18" s="205" customFormat="1" x14ac:dyDescent="0.2">
      <c r="A651" s="205" t="s">
        <v>450</v>
      </c>
      <c r="B651" s="205" t="s">
        <v>451</v>
      </c>
      <c r="C651" s="200">
        <v>45411</v>
      </c>
      <c r="D651" s="209" t="s">
        <v>152</v>
      </c>
      <c r="E651" s="206">
        <v>25659</v>
      </c>
      <c r="F651" s="206">
        <v>2566</v>
      </c>
      <c r="G651" s="206">
        <v>257</v>
      </c>
      <c r="H651" s="202">
        <f t="shared" si="10"/>
        <v>23350</v>
      </c>
      <c r="I651" s="205" t="s">
        <v>109</v>
      </c>
      <c r="J651" s="205" t="s">
        <v>29</v>
      </c>
      <c r="K651" s="201" t="s">
        <v>1042</v>
      </c>
      <c r="L651" s="205" t="s">
        <v>2288</v>
      </c>
      <c r="M651" s="209" t="s">
        <v>1030</v>
      </c>
      <c r="N651" s="205" t="s">
        <v>652</v>
      </c>
      <c r="O651" s="205" t="s">
        <v>652</v>
      </c>
      <c r="P651" s="207" t="s">
        <v>724</v>
      </c>
      <c r="Q651" s="208" t="s">
        <v>725</v>
      </c>
      <c r="R651" s="208" t="s">
        <v>2277</v>
      </c>
    </row>
    <row r="652" spans="1:18" s="205" customFormat="1" x14ac:dyDescent="0.2">
      <c r="A652" s="205" t="s">
        <v>1010</v>
      </c>
      <c r="B652" s="205" t="s">
        <v>2289</v>
      </c>
      <c r="C652" s="200">
        <v>45411</v>
      </c>
      <c r="D652" s="209" t="s">
        <v>152</v>
      </c>
      <c r="E652" s="206">
        <v>6283</v>
      </c>
      <c r="F652" s="206">
        <v>628</v>
      </c>
      <c r="G652" s="206">
        <v>63</v>
      </c>
      <c r="H652" s="202">
        <f t="shared" si="10"/>
        <v>5718</v>
      </c>
      <c r="I652" s="205" t="s">
        <v>269</v>
      </c>
      <c r="J652" s="205" t="s">
        <v>29</v>
      </c>
      <c r="K652" s="201" t="s">
        <v>1042</v>
      </c>
      <c r="L652" s="205" t="s">
        <v>2290</v>
      </c>
      <c r="M652" s="209" t="s">
        <v>1030</v>
      </c>
      <c r="N652" s="205" t="s">
        <v>652</v>
      </c>
      <c r="O652" s="205" t="s">
        <v>652</v>
      </c>
      <c r="P652" s="207" t="s">
        <v>2291</v>
      </c>
      <c r="Q652" s="208" t="s">
        <v>2292</v>
      </c>
      <c r="R652" s="208" t="s">
        <v>2277</v>
      </c>
    </row>
    <row r="653" spans="1:18" s="205" customFormat="1" x14ac:dyDescent="0.2">
      <c r="A653" s="205" t="s">
        <v>2293</v>
      </c>
      <c r="B653" s="205" t="s">
        <v>2294</v>
      </c>
      <c r="C653" s="200">
        <v>45411</v>
      </c>
      <c r="D653" s="205" t="s">
        <v>166</v>
      </c>
      <c r="E653" s="206">
        <v>-56961</v>
      </c>
      <c r="F653" s="206">
        <v>-5696</v>
      </c>
      <c r="G653" s="206">
        <v>-570</v>
      </c>
      <c r="H653" s="202">
        <f t="shared" si="10"/>
        <v>-51835</v>
      </c>
      <c r="I653" s="205" t="s">
        <v>31</v>
      </c>
      <c r="J653" s="205" t="s">
        <v>29</v>
      </c>
      <c r="K653" s="201" t="s">
        <v>1068</v>
      </c>
      <c r="L653" s="205" t="s">
        <v>2295</v>
      </c>
      <c r="M653" s="209" t="s">
        <v>1030</v>
      </c>
      <c r="N653" s="205" t="s">
        <v>652</v>
      </c>
      <c r="O653" s="205" t="s">
        <v>652</v>
      </c>
      <c r="P653" s="207" t="s">
        <v>724</v>
      </c>
      <c r="Q653" s="208" t="s">
        <v>725</v>
      </c>
      <c r="R653" s="208" t="s">
        <v>2277</v>
      </c>
    </row>
    <row r="654" spans="1:18" s="205" customFormat="1" x14ac:dyDescent="0.2">
      <c r="A654" s="205" t="s">
        <v>191</v>
      </c>
      <c r="B654" s="205" t="s">
        <v>286</v>
      </c>
      <c r="C654" s="200">
        <v>45411</v>
      </c>
      <c r="D654" s="205" t="s">
        <v>166</v>
      </c>
      <c r="E654" s="206">
        <v>-171008</v>
      </c>
      <c r="F654" s="206">
        <v>-17101</v>
      </c>
      <c r="G654" s="206">
        <v>-1710</v>
      </c>
      <c r="H654" s="202">
        <f t="shared" si="10"/>
        <v>-155617</v>
      </c>
      <c r="I654" s="205" t="s">
        <v>31</v>
      </c>
      <c r="J654" s="205" t="s">
        <v>29</v>
      </c>
      <c r="K654" s="201" t="s">
        <v>1068</v>
      </c>
      <c r="L654" s="205" t="s">
        <v>2296</v>
      </c>
      <c r="M654" s="209" t="s">
        <v>1030</v>
      </c>
      <c r="N654" s="205" t="s">
        <v>652</v>
      </c>
      <c r="O654" s="205" t="s">
        <v>652</v>
      </c>
      <c r="P654" s="207" t="s">
        <v>724</v>
      </c>
      <c r="Q654" s="208" t="s">
        <v>725</v>
      </c>
      <c r="R654" s="208" t="s">
        <v>2277</v>
      </c>
    </row>
    <row r="655" spans="1:18" s="205" customFormat="1" x14ac:dyDescent="0.2">
      <c r="A655" s="205" t="s">
        <v>99</v>
      </c>
      <c r="B655" s="205" t="s">
        <v>624</v>
      </c>
      <c r="C655" s="200">
        <v>45411</v>
      </c>
      <c r="D655" s="209" t="s">
        <v>152</v>
      </c>
      <c r="E655" s="206">
        <v>55408</v>
      </c>
      <c r="F655" s="206">
        <v>5541</v>
      </c>
      <c r="G655" s="206">
        <v>277</v>
      </c>
      <c r="H655" s="202">
        <f t="shared" si="10"/>
        <v>50144</v>
      </c>
      <c r="I655" s="205" t="s">
        <v>44</v>
      </c>
      <c r="J655" s="205" t="s">
        <v>23</v>
      </c>
      <c r="K655" s="201" t="s">
        <v>1042</v>
      </c>
      <c r="L655" s="205" t="s">
        <v>2297</v>
      </c>
      <c r="M655" s="201" t="s">
        <v>1030</v>
      </c>
      <c r="N655" s="205" t="s">
        <v>652</v>
      </c>
      <c r="O655" s="205" t="s">
        <v>652</v>
      </c>
      <c r="P655" s="207" t="s">
        <v>653</v>
      </c>
      <c r="Q655" s="208" t="s">
        <v>654</v>
      </c>
      <c r="R655" s="208" t="s">
        <v>2277</v>
      </c>
    </row>
    <row r="656" spans="1:18" s="205" customFormat="1" x14ac:dyDescent="0.2">
      <c r="A656" s="205" t="s">
        <v>63</v>
      </c>
      <c r="B656" s="205" t="s">
        <v>555</v>
      </c>
      <c r="C656" s="200">
        <v>45411</v>
      </c>
      <c r="D656" s="209" t="s">
        <v>152</v>
      </c>
      <c r="E656" s="206">
        <v>42520</v>
      </c>
      <c r="F656" s="206">
        <v>4252</v>
      </c>
      <c r="G656" s="206">
        <v>213</v>
      </c>
      <c r="H656" s="202">
        <f t="shared" si="10"/>
        <v>38481</v>
      </c>
      <c r="I656" s="205" t="s">
        <v>22</v>
      </c>
      <c r="J656" s="205" t="s">
        <v>23</v>
      </c>
      <c r="K656" s="201" t="s">
        <v>1042</v>
      </c>
      <c r="L656" s="205" t="s">
        <v>2298</v>
      </c>
      <c r="M656" s="201" t="s">
        <v>1030</v>
      </c>
      <c r="N656" s="205" t="s">
        <v>652</v>
      </c>
      <c r="O656" s="205" t="s">
        <v>652</v>
      </c>
      <c r="P656" s="207" t="s">
        <v>858</v>
      </c>
      <c r="Q656" s="208" t="s">
        <v>859</v>
      </c>
      <c r="R656" s="208" t="s">
        <v>2277</v>
      </c>
    </row>
    <row r="657" spans="1:18" s="205" customFormat="1" x14ac:dyDescent="0.2">
      <c r="A657" s="205" t="s">
        <v>220</v>
      </c>
      <c r="B657" s="205" t="s">
        <v>788</v>
      </c>
      <c r="C657" s="200">
        <v>45411</v>
      </c>
      <c r="D657" s="209" t="s">
        <v>152</v>
      </c>
      <c r="E657" s="206">
        <v>12731</v>
      </c>
      <c r="F657" s="206">
        <v>1273</v>
      </c>
      <c r="G657" s="206">
        <v>64</v>
      </c>
      <c r="H657" s="202">
        <f t="shared" si="10"/>
        <v>11522</v>
      </c>
      <c r="I657" s="205" t="s">
        <v>33</v>
      </c>
      <c r="J657" s="205" t="s">
        <v>23</v>
      </c>
      <c r="K657" s="201" t="s">
        <v>1042</v>
      </c>
      <c r="L657" s="205" t="s">
        <v>2299</v>
      </c>
      <c r="M657" s="201" t="s">
        <v>1030</v>
      </c>
      <c r="N657" s="205" t="s">
        <v>652</v>
      </c>
      <c r="O657" s="205" t="s">
        <v>652</v>
      </c>
      <c r="P657" s="207" t="s">
        <v>660</v>
      </c>
      <c r="Q657" s="208" t="s">
        <v>735</v>
      </c>
      <c r="R657" s="208" t="s">
        <v>2277</v>
      </c>
    </row>
    <row r="658" spans="1:18" s="205" customFormat="1" x14ac:dyDescent="0.2">
      <c r="A658" s="205" t="s">
        <v>83</v>
      </c>
      <c r="B658" s="205" t="s">
        <v>921</v>
      </c>
      <c r="C658" s="200">
        <v>45411</v>
      </c>
      <c r="D658" s="209" t="s">
        <v>152</v>
      </c>
      <c r="E658" s="206">
        <v>165484</v>
      </c>
      <c r="F658" s="206">
        <v>16548</v>
      </c>
      <c r="G658" s="206">
        <v>827</v>
      </c>
      <c r="H658" s="202">
        <f t="shared" si="10"/>
        <v>149763</v>
      </c>
      <c r="I658" s="205" t="s">
        <v>44</v>
      </c>
      <c r="J658" s="205" t="s">
        <v>23</v>
      </c>
      <c r="K658" s="201" t="s">
        <v>1042</v>
      </c>
      <c r="L658" s="205" t="s">
        <v>2300</v>
      </c>
      <c r="M658" s="201" t="s">
        <v>1030</v>
      </c>
      <c r="N658" s="205" t="s">
        <v>652</v>
      </c>
      <c r="O658" s="205" t="s">
        <v>652</v>
      </c>
      <c r="P658" s="207" t="s">
        <v>722</v>
      </c>
      <c r="Q658" s="208" t="s">
        <v>723</v>
      </c>
      <c r="R658" s="208" t="s">
        <v>2277</v>
      </c>
    </row>
    <row r="659" spans="1:18" s="205" customFormat="1" x14ac:dyDescent="0.2">
      <c r="A659" s="205" t="s">
        <v>115</v>
      </c>
      <c r="B659" s="205" t="s">
        <v>650</v>
      </c>
      <c r="C659" s="200">
        <v>45411</v>
      </c>
      <c r="D659" s="209" t="s">
        <v>152</v>
      </c>
      <c r="E659" s="206">
        <v>307303</v>
      </c>
      <c r="F659" s="206">
        <v>30730</v>
      </c>
      <c r="G659" s="206">
        <v>1537</v>
      </c>
      <c r="H659" s="202">
        <f t="shared" si="10"/>
        <v>278110</v>
      </c>
      <c r="I659" s="205" t="s">
        <v>44</v>
      </c>
      <c r="J659" s="205" t="s">
        <v>23</v>
      </c>
      <c r="K659" s="201" t="s">
        <v>1042</v>
      </c>
      <c r="L659" s="205" t="s">
        <v>2301</v>
      </c>
      <c r="M659" s="201" t="s">
        <v>1030</v>
      </c>
      <c r="N659" s="205" t="s">
        <v>652</v>
      </c>
      <c r="O659" s="205" t="s">
        <v>652</v>
      </c>
      <c r="P659" s="207" t="s">
        <v>653</v>
      </c>
      <c r="Q659" s="208" t="s">
        <v>654</v>
      </c>
      <c r="R659" s="208" t="s">
        <v>2277</v>
      </c>
    </row>
    <row r="660" spans="1:18" s="205" customFormat="1" x14ac:dyDescent="0.2">
      <c r="A660" s="205" t="s">
        <v>130</v>
      </c>
      <c r="B660" s="205" t="s">
        <v>623</v>
      </c>
      <c r="C660" s="200">
        <v>45411</v>
      </c>
      <c r="D660" s="209" t="s">
        <v>152</v>
      </c>
      <c r="E660" s="206">
        <v>56179</v>
      </c>
      <c r="F660" s="206">
        <v>5618</v>
      </c>
      <c r="G660" s="206">
        <v>281</v>
      </c>
      <c r="H660" s="202">
        <f t="shared" si="10"/>
        <v>50842</v>
      </c>
      <c r="I660" s="205" t="s">
        <v>44</v>
      </c>
      <c r="J660" s="205" t="s">
        <v>23</v>
      </c>
      <c r="K660" s="201" t="s">
        <v>1042</v>
      </c>
      <c r="L660" s="205" t="s">
        <v>2302</v>
      </c>
      <c r="M660" s="201" t="s">
        <v>1030</v>
      </c>
      <c r="N660" s="205" t="s">
        <v>652</v>
      </c>
      <c r="O660" s="205" t="s">
        <v>652</v>
      </c>
      <c r="P660" s="207" t="s">
        <v>653</v>
      </c>
      <c r="Q660" s="208" t="s">
        <v>654</v>
      </c>
      <c r="R660" s="208" t="s">
        <v>2277</v>
      </c>
    </row>
    <row r="661" spans="1:18" s="205" customFormat="1" x14ac:dyDescent="0.2">
      <c r="A661" s="205" t="s">
        <v>263</v>
      </c>
      <c r="B661" s="205" t="s">
        <v>2113</v>
      </c>
      <c r="C661" s="200">
        <v>45411</v>
      </c>
      <c r="D661" s="209" t="s">
        <v>152</v>
      </c>
      <c r="E661" s="206">
        <v>167500</v>
      </c>
      <c r="F661" s="206">
        <v>16750</v>
      </c>
      <c r="G661" s="206">
        <v>838</v>
      </c>
      <c r="H661" s="202">
        <f t="shared" si="10"/>
        <v>151588</v>
      </c>
      <c r="I661" s="205" t="s">
        <v>360</v>
      </c>
      <c r="J661" s="205" t="s">
        <v>23</v>
      </c>
      <c r="K661" s="201" t="s">
        <v>1042</v>
      </c>
      <c r="L661" s="205" t="s">
        <v>2303</v>
      </c>
      <c r="M661" s="201" t="s">
        <v>1030</v>
      </c>
      <c r="N661" s="205" t="s">
        <v>652</v>
      </c>
      <c r="O661" s="205" t="s">
        <v>652</v>
      </c>
      <c r="P661" s="207" t="s">
        <v>992</v>
      </c>
      <c r="Q661" s="208" t="s">
        <v>993</v>
      </c>
      <c r="R661" s="208" t="s">
        <v>2277</v>
      </c>
    </row>
    <row r="662" spans="1:18" s="205" customFormat="1" x14ac:dyDescent="0.2">
      <c r="A662" s="205" t="s">
        <v>63</v>
      </c>
      <c r="B662" s="205" t="s">
        <v>555</v>
      </c>
      <c r="C662" s="200">
        <v>45411</v>
      </c>
      <c r="D662" s="209" t="s">
        <v>152</v>
      </c>
      <c r="E662" s="206">
        <v>128002</v>
      </c>
      <c r="F662" s="206">
        <v>12800</v>
      </c>
      <c r="G662" s="206">
        <v>640</v>
      </c>
      <c r="H662" s="202">
        <f t="shared" si="10"/>
        <v>115842</v>
      </c>
      <c r="I662" s="205" t="s">
        <v>22</v>
      </c>
      <c r="J662" s="205" t="s">
        <v>23</v>
      </c>
      <c r="K662" s="201" t="s">
        <v>1151</v>
      </c>
      <c r="L662" s="205" t="s">
        <v>2304</v>
      </c>
      <c r="M662" s="201" t="s">
        <v>1030</v>
      </c>
      <c r="N662" s="205" t="s">
        <v>652</v>
      </c>
      <c r="O662" s="205" t="s">
        <v>652</v>
      </c>
      <c r="P662" s="207" t="s">
        <v>858</v>
      </c>
      <c r="Q662" s="208" t="s">
        <v>859</v>
      </c>
      <c r="R662" s="208" t="s">
        <v>2277</v>
      </c>
    </row>
    <row r="663" spans="1:18" s="205" customFormat="1" x14ac:dyDescent="0.2">
      <c r="A663" s="205" t="s">
        <v>425</v>
      </c>
      <c r="B663" s="205" t="s">
        <v>426</v>
      </c>
      <c r="C663" s="200">
        <v>45411</v>
      </c>
      <c r="D663" s="209" t="s">
        <v>152</v>
      </c>
      <c r="E663" s="206">
        <v>29349</v>
      </c>
      <c r="F663" s="206">
        <v>2935</v>
      </c>
      <c r="G663" s="206">
        <v>147</v>
      </c>
      <c r="H663" s="202">
        <f t="shared" si="10"/>
        <v>26561</v>
      </c>
      <c r="I663" s="205" t="s">
        <v>38</v>
      </c>
      <c r="J663" s="205" t="s">
        <v>23</v>
      </c>
      <c r="K663" s="201" t="s">
        <v>1042</v>
      </c>
      <c r="L663" s="205" t="s">
        <v>2305</v>
      </c>
      <c r="M663" s="201" t="s">
        <v>1030</v>
      </c>
      <c r="N663" s="205" t="s">
        <v>2050</v>
      </c>
      <c r="O663" s="205" t="s">
        <v>1115</v>
      </c>
      <c r="P663" s="207" t="s">
        <v>686</v>
      </c>
      <c r="Q663" s="208" t="s">
        <v>687</v>
      </c>
      <c r="R663" s="208" t="s">
        <v>2277</v>
      </c>
    </row>
    <row r="664" spans="1:18" s="205" customFormat="1" x14ac:dyDescent="0.2">
      <c r="A664" s="205" t="s">
        <v>135</v>
      </c>
      <c r="B664" s="205" t="s">
        <v>372</v>
      </c>
      <c r="C664" s="200">
        <v>45411</v>
      </c>
      <c r="D664" s="209" t="s">
        <v>152</v>
      </c>
      <c r="E664" s="206">
        <v>65826</v>
      </c>
      <c r="F664" s="206">
        <v>6583</v>
      </c>
      <c r="G664" s="206">
        <v>329</v>
      </c>
      <c r="H664" s="202">
        <f t="shared" si="10"/>
        <v>59572</v>
      </c>
      <c r="I664" s="205" t="s">
        <v>44</v>
      </c>
      <c r="J664" s="205" t="s">
        <v>23</v>
      </c>
      <c r="K664" s="201" t="s">
        <v>1141</v>
      </c>
      <c r="L664" s="205" t="s">
        <v>2306</v>
      </c>
      <c r="M664" s="201" t="s">
        <v>1030</v>
      </c>
      <c r="N664" s="205" t="s">
        <v>652</v>
      </c>
      <c r="O664" s="205" t="s">
        <v>652</v>
      </c>
      <c r="P664" s="207" t="s">
        <v>1587</v>
      </c>
      <c r="Q664" s="208" t="s">
        <v>1588</v>
      </c>
      <c r="R664" s="208" t="s">
        <v>2277</v>
      </c>
    </row>
    <row r="665" spans="1:18" s="205" customFormat="1" x14ac:dyDescent="0.2">
      <c r="A665" s="205" t="s">
        <v>544</v>
      </c>
      <c r="B665" s="205" t="s">
        <v>545</v>
      </c>
      <c r="C665" s="200">
        <v>45411</v>
      </c>
      <c r="D665" s="209" t="s">
        <v>152</v>
      </c>
      <c r="E665" s="206">
        <v>21585</v>
      </c>
      <c r="F665" s="206">
        <v>2159</v>
      </c>
      <c r="G665" s="206">
        <v>108</v>
      </c>
      <c r="H665" s="202">
        <f t="shared" si="10"/>
        <v>19534</v>
      </c>
      <c r="I665" s="205" t="s">
        <v>44</v>
      </c>
      <c r="J665" s="205" t="s">
        <v>23</v>
      </c>
      <c r="K665" s="201" t="s">
        <v>1042</v>
      </c>
      <c r="L665" s="205" t="s">
        <v>2307</v>
      </c>
      <c r="M665" s="201" t="s">
        <v>1030</v>
      </c>
      <c r="N665" s="205" t="s">
        <v>1382</v>
      </c>
      <c r="O665" s="205" t="s">
        <v>1382</v>
      </c>
      <c r="P665" s="207" t="s">
        <v>699</v>
      </c>
      <c r="Q665" s="208" t="s">
        <v>700</v>
      </c>
      <c r="R665" s="208" t="s">
        <v>2277</v>
      </c>
    </row>
    <row r="666" spans="1:18" s="205" customFormat="1" x14ac:dyDescent="0.2">
      <c r="A666" s="205" t="s">
        <v>56</v>
      </c>
      <c r="B666" s="205" t="s">
        <v>230</v>
      </c>
      <c r="C666" s="200">
        <v>45411</v>
      </c>
      <c r="D666" s="205" t="s">
        <v>166</v>
      </c>
      <c r="E666" s="206">
        <v>-109</v>
      </c>
      <c r="F666" s="206">
        <v>-11</v>
      </c>
      <c r="G666" s="206">
        <v>-1</v>
      </c>
      <c r="H666" s="202">
        <f t="shared" si="10"/>
        <v>-99</v>
      </c>
      <c r="I666" s="205" t="s">
        <v>22</v>
      </c>
      <c r="J666" s="205" t="s">
        <v>23</v>
      </c>
      <c r="K666" s="201" t="s">
        <v>1068</v>
      </c>
      <c r="L666" s="205" t="s">
        <v>2308</v>
      </c>
      <c r="M666" s="201" t="s">
        <v>1030</v>
      </c>
      <c r="N666" s="205" t="s">
        <v>652</v>
      </c>
      <c r="O666" s="205" t="s">
        <v>652</v>
      </c>
      <c r="P666" s="207" t="s">
        <v>2309</v>
      </c>
      <c r="Q666" s="208" t="s">
        <v>2310</v>
      </c>
      <c r="R666" s="208" t="s">
        <v>2277</v>
      </c>
    </row>
    <row r="667" spans="1:18" s="205" customFormat="1" x14ac:dyDescent="0.2">
      <c r="A667" s="205" t="s">
        <v>444</v>
      </c>
      <c r="B667" s="205" t="s">
        <v>1342</v>
      </c>
      <c r="C667" s="200">
        <v>45411</v>
      </c>
      <c r="D667" s="205" t="s">
        <v>166</v>
      </c>
      <c r="E667" s="206">
        <v>-28358</v>
      </c>
      <c r="F667" s="206">
        <v>-2836</v>
      </c>
      <c r="G667" s="206">
        <v>-142</v>
      </c>
      <c r="H667" s="202">
        <f t="shared" si="10"/>
        <v>-25664</v>
      </c>
      <c r="I667" s="205" t="s">
        <v>22</v>
      </c>
      <c r="J667" s="205" t="s">
        <v>23</v>
      </c>
      <c r="K667" s="201" t="s">
        <v>1151</v>
      </c>
      <c r="L667" s="205" t="s">
        <v>2311</v>
      </c>
      <c r="M667" s="199" t="s">
        <v>1030</v>
      </c>
      <c r="N667" s="205" t="s">
        <v>652</v>
      </c>
      <c r="O667" s="205" t="s">
        <v>652</v>
      </c>
      <c r="P667" s="207" t="s">
        <v>987</v>
      </c>
      <c r="Q667" s="208" t="s">
        <v>988</v>
      </c>
      <c r="R667" s="208" t="s">
        <v>2277</v>
      </c>
    </row>
    <row r="668" spans="1:18" s="205" customFormat="1" x14ac:dyDescent="0.2">
      <c r="A668" s="205" t="s">
        <v>56</v>
      </c>
      <c r="B668" s="205" t="s">
        <v>230</v>
      </c>
      <c r="C668" s="200">
        <v>45411</v>
      </c>
      <c r="D668" s="205" t="s">
        <v>166</v>
      </c>
      <c r="E668" s="206">
        <v>-75054</v>
      </c>
      <c r="F668" s="206">
        <v>-7505</v>
      </c>
      <c r="G668" s="206">
        <v>-375</v>
      </c>
      <c r="H668" s="202">
        <f t="shared" si="10"/>
        <v>-67924</v>
      </c>
      <c r="I668" s="205" t="s">
        <v>22</v>
      </c>
      <c r="J668" s="205" t="s">
        <v>23</v>
      </c>
      <c r="K668" s="201" t="s">
        <v>1068</v>
      </c>
      <c r="L668" s="205" t="s">
        <v>2312</v>
      </c>
      <c r="M668" s="201" t="s">
        <v>1030</v>
      </c>
      <c r="N668" s="205" t="s">
        <v>652</v>
      </c>
      <c r="O668" s="205" t="s">
        <v>652</v>
      </c>
      <c r="P668" s="207" t="s">
        <v>2313</v>
      </c>
      <c r="Q668" s="208" t="s">
        <v>2314</v>
      </c>
      <c r="R668" s="208" t="s">
        <v>2277</v>
      </c>
    </row>
    <row r="669" spans="1:18" s="205" customFormat="1" x14ac:dyDescent="0.2">
      <c r="A669" s="205" t="s">
        <v>148</v>
      </c>
      <c r="B669" s="205" t="s">
        <v>270</v>
      </c>
      <c r="C669" s="200">
        <v>45411</v>
      </c>
      <c r="D669" s="209" t="s">
        <v>152</v>
      </c>
      <c r="E669" s="206">
        <v>19840</v>
      </c>
      <c r="F669" s="206">
        <v>0</v>
      </c>
      <c r="G669" s="206">
        <v>0</v>
      </c>
      <c r="H669" s="202">
        <f t="shared" si="10"/>
        <v>19840</v>
      </c>
      <c r="I669" s="205" t="s">
        <v>25</v>
      </c>
      <c r="J669" s="205" t="s">
        <v>214</v>
      </c>
      <c r="K669" s="201" t="s">
        <v>1042</v>
      </c>
      <c r="L669" s="205" t="s">
        <v>2315</v>
      </c>
      <c r="M669" s="201" t="s">
        <v>652</v>
      </c>
      <c r="N669" s="205" t="s">
        <v>652</v>
      </c>
      <c r="O669" s="205" t="s">
        <v>652</v>
      </c>
      <c r="P669" s="207" t="s">
        <v>677</v>
      </c>
      <c r="Q669" s="208" t="s">
        <v>678</v>
      </c>
      <c r="R669" s="208" t="s">
        <v>2277</v>
      </c>
    </row>
    <row r="670" spans="1:18" s="205" customFormat="1" x14ac:dyDescent="0.2">
      <c r="A670" s="205" t="s">
        <v>2316</v>
      </c>
      <c r="B670" s="205" t="s">
        <v>2317</v>
      </c>
      <c r="C670" s="200">
        <v>45412</v>
      </c>
      <c r="D670" s="209" t="s">
        <v>152</v>
      </c>
      <c r="E670" s="206">
        <v>68647</v>
      </c>
      <c r="F670" s="206">
        <v>6865</v>
      </c>
      <c r="G670" s="206">
        <v>687</v>
      </c>
      <c r="H670" s="202">
        <f t="shared" si="10"/>
        <v>62469</v>
      </c>
      <c r="I670" s="205" t="s">
        <v>649</v>
      </c>
      <c r="J670" s="205" t="s">
        <v>29</v>
      </c>
      <c r="K670" s="201" t="s">
        <v>1028</v>
      </c>
      <c r="L670" s="205" t="s">
        <v>2318</v>
      </c>
      <c r="M670" s="201" t="s">
        <v>1030</v>
      </c>
      <c r="N670" s="205" t="s">
        <v>652</v>
      </c>
      <c r="O670" s="205" t="s">
        <v>652</v>
      </c>
      <c r="P670" s="207" t="s">
        <v>1597</v>
      </c>
      <c r="Q670" s="208" t="s">
        <v>2319</v>
      </c>
      <c r="R670" s="208" t="s">
        <v>2003</v>
      </c>
    </row>
    <row r="671" spans="1:18" s="205" customFormat="1" x14ac:dyDescent="0.2">
      <c r="A671" s="205" t="s">
        <v>2320</v>
      </c>
      <c r="B671" s="205" t="s">
        <v>2321</v>
      </c>
      <c r="C671" s="200">
        <v>45412</v>
      </c>
      <c r="D671" s="209" t="s">
        <v>152</v>
      </c>
      <c r="E671" s="206">
        <v>67877</v>
      </c>
      <c r="F671" s="206">
        <v>6788</v>
      </c>
      <c r="G671" s="206">
        <v>679</v>
      </c>
      <c r="H671" s="202">
        <f t="shared" si="10"/>
        <v>61768</v>
      </c>
      <c r="I671" s="205" t="s">
        <v>46</v>
      </c>
      <c r="J671" s="205" t="s">
        <v>29</v>
      </c>
      <c r="K671" s="201" t="s">
        <v>1028</v>
      </c>
      <c r="L671" s="205" t="s">
        <v>2322</v>
      </c>
      <c r="M671" s="201" t="s">
        <v>1030</v>
      </c>
      <c r="N671" s="205" t="s">
        <v>652</v>
      </c>
      <c r="O671" s="205" t="s">
        <v>652</v>
      </c>
      <c r="P671" s="207" t="s">
        <v>878</v>
      </c>
      <c r="Q671" s="208" t="s">
        <v>944</v>
      </c>
      <c r="R671" s="208" t="s">
        <v>2062</v>
      </c>
    </row>
    <row r="672" spans="1:18" s="205" customFormat="1" x14ac:dyDescent="0.2">
      <c r="A672" s="205" t="s">
        <v>2323</v>
      </c>
      <c r="B672" s="205" t="s">
        <v>2324</v>
      </c>
      <c r="C672" s="200">
        <v>45412</v>
      </c>
      <c r="D672" s="209" t="s">
        <v>152</v>
      </c>
      <c r="E672" s="206">
        <v>31943</v>
      </c>
      <c r="F672" s="206">
        <v>3194</v>
      </c>
      <c r="G672" s="206">
        <v>319</v>
      </c>
      <c r="H672" s="202">
        <f t="shared" si="10"/>
        <v>29068</v>
      </c>
      <c r="I672" s="205" t="s">
        <v>46</v>
      </c>
      <c r="J672" s="205" t="s">
        <v>29</v>
      </c>
      <c r="K672" s="201" t="s">
        <v>1028</v>
      </c>
      <c r="L672" s="205" t="s">
        <v>2325</v>
      </c>
      <c r="M672" s="201" t="s">
        <v>1030</v>
      </c>
      <c r="N672" s="205" t="s">
        <v>652</v>
      </c>
      <c r="O672" s="205" t="s">
        <v>652</v>
      </c>
      <c r="P672" s="207" t="s">
        <v>711</v>
      </c>
      <c r="Q672" s="208" t="s">
        <v>712</v>
      </c>
      <c r="R672" s="208" t="s">
        <v>848</v>
      </c>
    </row>
    <row r="673" spans="1:18" s="205" customFormat="1" x14ac:dyDescent="0.2">
      <c r="A673" s="205" t="s">
        <v>2326</v>
      </c>
      <c r="B673" s="205" t="s">
        <v>2327</v>
      </c>
      <c r="C673" s="200">
        <v>45412</v>
      </c>
      <c r="D673" s="209" t="s">
        <v>152</v>
      </c>
      <c r="E673" s="206">
        <v>70123</v>
      </c>
      <c r="F673" s="206">
        <v>7012</v>
      </c>
      <c r="G673" s="206">
        <v>701</v>
      </c>
      <c r="H673" s="202">
        <f t="shared" si="10"/>
        <v>63812</v>
      </c>
      <c r="I673" s="205" t="s">
        <v>46</v>
      </c>
      <c r="J673" s="205" t="s">
        <v>29</v>
      </c>
      <c r="K673" s="201" t="s">
        <v>1028</v>
      </c>
      <c r="L673" s="205" t="s">
        <v>2328</v>
      </c>
      <c r="M673" s="201" t="s">
        <v>1030</v>
      </c>
      <c r="N673" s="205" t="s">
        <v>652</v>
      </c>
      <c r="O673" s="205" t="s">
        <v>652</v>
      </c>
      <c r="P673" s="207" t="s">
        <v>803</v>
      </c>
      <c r="Q673" s="208" t="s">
        <v>804</v>
      </c>
      <c r="R673" s="208" t="s">
        <v>848</v>
      </c>
    </row>
    <row r="674" spans="1:18" s="205" customFormat="1" x14ac:dyDescent="0.2">
      <c r="A674" s="205" t="s">
        <v>2329</v>
      </c>
      <c r="B674" s="205" t="s">
        <v>2330</v>
      </c>
      <c r="C674" s="200">
        <v>45412</v>
      </c>
      <c r="D674" s="209" t="s">
        <v>152</v>
      </c>
      <c r="E674" s="206">
        <v>38483</v>
      </c>
      <c r="F674" s="206">
        <v>3848</v>
      </c>
      <c r="G674" s="206">
        <v>385</v>
      </c>
      <c r="H674" s="202">
        <f t="shared" si="10"/>
        <v>35020</v>
      </c>
      <c r="I674" s="205" t="s">
        <v>46</v>
      </c>
      <c r="J674" s="205" t="s">
        <v>29</v>
      </c>
      <c r="K674" s="201" t="s">
        <v>1058</v>
      </c>
      <c r="L674" s="205" t="s">
        <v>2331</v>
      </c>
      <c r="M674" s="201" t="s">
        <v>1030</v>
      </c>
      <c r="N674" s="205" t="s">
        <v>652</v>
      </c>
      <c r="O674" s="205" t="s">
        <v>652</v>
      </c>
      <c r="P674" s="207" t="s">
        <v>722</v>
      </c>
      <c r="Q674" s="208" t="s">
        <v>723</v>
      </c>
      <c r="R674" s="208" t="s">
        <v>678</v>
      </c>
    </row>
    <row r="675" spans="1:18" s="205" customFormat="1" x14ac:dyDescent="0.2">
      <c r="A675" s="205" t="s">
        <v>2332</v>
      </c>
      <c r="B675" s="205" t="s">
        <v>2330</v>
      </c>
      <c r="C675" s="200">
        <v>45412</v>
      </c>
      <c r="D675" s="209" t="s">
        <v>152</v>
      </c>
      <c r="E675" s="206">
        <v>28079</v>
      </c>
      <c r="F675" s="206">
        <v>2808</v>
      </c>
      <c r="G675" s="206">
        <v>281</v>
      </c>
      <c r="H675" s="202">
        <f t="shared" si="10"/>
        <v>25552</v>
      </c>
      <c r="I675" s="205" t="s">
        <v>46</v>
      </c>
      <c r="J675" s="205" t="s">
        <v>29</v>
      </c>
      <c r="K675" s="201" t="s">
        <v>1058</v>
      </c>
      <c r="L675" s="205" t="s">
        <v>2333</v>
      </c>
      <c r="M675" s="201" t="s">
        <v>1030</v>
      </c>
      <c r="N675" s="205" t="s">
        <v>652</v>
      </c>
      <c r="O675" s="205" t="s">
        <v>652</v>
      </c>
      <c r="P675" s="207" t="s">
        <v>786</v>
      </c>
      <c r="Q675" s="208" t="s">
        <v>962</v>
      </c>
      <c r="R675" s="208" t="s">
        <v>678</v>
      </c>
    </row>
    <row r="676" spans="1:18" s="205" customFormat="1" x14ac:dyDescent="0.2">
      <c r="A676" s="205" t="s">
        <v>2334</v>
      </c>
      <c r="B676" s="205" t="s">
        <v>2330</v>
      </c>
      <c r="C676" s="200">
        <v>45412</v>
      </c>
      <c r="D676" s="209" t="s">
        <v>152</v>
      </c>
      <c r="E676" s="206">
        <v>104734</v>
      </c>
      <c r="F676" s="206">
        <v>10473</v>
      </c>
      <c r="G676" s="206">
        <v>1047</v>
      </c>
      <c r="H676" s="202">
        <f t="shared" si="10"/>
        <v>95308</v>
      </c>
      <c r="I676" s="205" t="s">
        <v>46</v>
      </c>
      <c r="J676" s="205" t="s">
        <v>29</v>
      </c>
      <c r="K676" s="201" t="s">
        <v>1058</v>
      </c>
      <c r="L676" s="205" t="s">
        <v>2335</v>
      </c>
      <c r="M676" s="201" t="s">
        <v>1030</v>
      </c>
      <c r="N676" s="205" t="s">
        <v>652</v>
      </c>
      <c r="O676" s="205" t="s">
        <v>652</v>
      </c>
      <c r="P676" s="207" t="s">
        <v>786</v>
      </c>
      <c r="Q676" s="208" t="s">
        <v>962</v>
      </c>
      <c r="R676" s="208" t="s">
        <v>678</v>
      </c>
    </row>
    <row r="677" spans="1:18" s="205" customFormat="1" x14ac:dyDescent="0.2">
      <c r="A677" s="205" t="s">
        <v>2336</v>
      </c>
      <c r="B677" s="205" t="s">
        <v>181</v>
      </c>
      <c r="C677" s="200">
        <v>45412</v>
      </c>
      <c r="D677" s="209" t="s">
        <v>152</v>
      </c>
      <c r="E677" s="206">
        <v>52204</v>
      </c>
      <c r="F677" s="206">
        <v>5220</v>
      </c>
      <c r="G677" s="206">
        <v>522</v>
      </c>
      <c r="H677" s="202">
        <f t="shared" si="10"/>
        <v>47506</v>
      </c>
      <c r="I677" s="205" t="s">
        <v>46</v>
      </c>
      <c r="J677" s="205" t="s">
        <v>29</v>
      </c>
      <c r="K677" s="201" t="s">
        <v>1028</v>
      </c>
      <c r="L677" s="205" t="s">
        <v>2337</v>
      </c>
      <c r="M677" s="201" t="s">
        <v>1030</v>
      </c>
      <c r="N677" s="205" t="s">
        <v>652</v>
      </c>
      <c r="O677" s="205" t="s">
        <v>652</v>
      </c>
      <c r="P677" s="207" t="s">
        <v>663</v>
      </c>
      <c r="Q677" s="208" t="s">
        <v>723</v>
      </c>
      <c r="R677" s="208" t="s">
        <v>678</v>
      </c>
    </row>
    <row r="678" spans="1:18" s="205" customFormat="1" x14ac:dyDescent="0.2">
      <c r="A678" s="205" t="s">
        <v>2338</v>
      </c>
      <c r="B678" s="205" t="s">
        <v>185</v>
      </c>
      <c r="C678" s="200">
        <v>45412</v>
      </c>
      <c r="D678" s="209" t="s">
        <v>152</v>
      </c>
      <c r="E678" s="206">
        <v>188180</v>
      </c>
      <c r="F678" s="206">
        <v>18818</v>
      </c>
      <c r="G678" s="206">
        <v>1882</v>
      </c>
      <c r="H678" s="202">
        <f t="shared" si="10"/>
        <v>171244</v>
      </c>
      <c r="I678" s="205" t="s">
        <v>46</v>
      </c>
      <c r="J678" s="205" t="s">
        <v>29</v>
      </c>
      <c r="K678" s="201" t="s">
        <v>1028</v>
      </c>
      <c r="L678" s="205" t="s">
        <v>2339</v>
      </c>
      <c r="M678" s="201" t="s">
        <v>1030</v>
      </c>
      <c r="N678" s="205" t="s">
        <v>652</v>
      </c>
      <c r="O678" s="205" t="s">
        <v>652</v>
      </c>
      <c r="P678" s="207" t="s">
        <v>663</v>
      </c>
      <c r="Q678" s="208" t="s">
        <v>723</v>
      </c>
      <c r="R678" s="208" t="s">
        <v>678</v>
      </c>
    </row>
    <row r="679" spans="1:18" s="205" customFormat="1" x14ac:dyDescent="0.2">
      <c r="A679" s="205" t="s">
        <v>558</v>
      </c>
      <c r="B679" s="205" t="s">
        <v>559</v>
      </c>
      <c r="C679" s="200">
        <v>45412</v>
      </c>
      <c r="D679" s="209" t="s">
        <v>152</v>
      </c>
      <c r="E679" s="206">
        <v>438722</v>
      </c>
      <c r="F679" s="206">
        <v>43872</v>
      </c>
      <c r="G679" s="206">
        <v>4387</v>
      </c>
      <c r="H679" s="202">
        <f t="shared" si="10"/>
        <v>399237</v>
      </c>
      <c r="I679" s="205" t="s">
        <v>31</v>
      </c>
      <c r="J679" s="205" t="s">
        <v>29</v>
      </c>
      <c r="K679" s="201" t="s">
        <v>1042</v>
      </c>
      <c r="L679" s="205" t="s">
        <v>2340</v>
      </c>
      <c r="M679" s="201" t="s">
        <v>1030</v>
      </c>
      <c r="N679" s="205" t="s">
        <v>1046</v>
      </c>
      <c r="O679" s="205" t="s">
        <v>1047</v>
      </c>
      <c r="P679" s="207" t="s">
        <v>653</v>
      </c>
      <c r="Q679" s="208" t="s">
        <v>654</v>
      </c>
      <c r="R679" s="208" t="s">
        <v>678</v>
      </c>
    </row>
    <row r="680" spans="1:18" s="205" customFormat="1" x14ac:dyDescent="0.2">
      <c r="A680" s="205" t="s">
        <v>2341</v>
      </c>
      <c r="B680" s="205" t="s">
        <v>2342</v>
      </c>
      <c r="C680" s="200">
        <v>45412</v>
      </c>
      <c r="D680" s="209" t="s">
        <v>152</v>
      </c>
      <c r="E680" s="206">
        <v>64384</v>
      </c>
      <c r="F680" s="206">
        <v>6438</v>
      </c>
      <c r="G680" s="206">
        <v>644</v>
      </c>
      <c r="H680" s="202">
        <f t="shared" si="10"/>
        <v>58590</v>
      </c>
      <c r="I680" s="205" t="s">
        <v>2343</v>
      </c>
      <c r="J680" s="205" t="s">
        <v>29</v>
      </c>
      <c r="K680" s="201" t="s">
        <v>1028</v>
      </c>
      <c r="L680" s="205" t="s">
        <v>2344</v>
      </c>
      <c r="M680" s="201" t="s">
        <v>1030</v>
      </c>
      <c r="N680" s="205" t="s">
        <v>652</v>
      </c>
      <c r="O680" s="205" t="s">
        <v>652</v>
      </c>
      <c r="P680" s="207" t="s">
        <v>1475</v>
      </c>
      <c r="Q680" s="208" t="s">
        <v>2037</v>
      </c>
      <c r="R680" s="208" t="s">
        <v>678</v>
      </c>
    </row>
    <row r="681" spans="1:18" s="205" customFormat="1" x14ac:dyDescent="0.2">
      <c r="A681" s="205" t="s">
        <v>56</v>
      </c>
      <c r="B681" s="205" t="s">
        <v>2345</v>
      </c>
      <c r="C681" s="200">
        <v>45412</v>
      </c>
      <c r="D681" s="209" t="s">
        <v>152</v>
      </c>
      <c r="E681" s="206">
        <v>1727813</v>
      </c>
      <c r="F681" s="206">
        <v>172781</v>
      </c>
      <c r="G681" s="206">
        <v>8639</v>
      </c>
      <c r="H681" s="202">
        <f t="shared" si="10"/>
        <v>1563671</v>
      </c>
      <c r="I681" s="205" t="s">
        <v>22</v>
      </c>
      <c r="J681" s="205" t="s">
        <v>23</v>
      </c>
      <c r="K681" s="201" t="s">
        <v>1028</v>
      </c>
      <c r="L681" s="205" t="s">
        <v>2346</v>
      </c>
      <c r="M681" s="201" t="s">
        <v>1030</v>
      </c>
      <c r="N681" s="205" t="s">
        <v>652</v>
      </c>
      <c r="O681" s="205" t="s">
        <v>652</v>
      </c>
      <c r="P681" s="207" t="s">
        <v>1597</v>
      </c>
      <c r="Q681" s="208" t="s">
        <v>2319</v>
      </c>
      <c r="R681" s="208" t="s">
        <v>678</v>
      </c>
    </row>
    <row r="682" spans="1:18" s="205" customFormat="1" x14ac:dyDescent="0.2">
      <c r="A682" s="205" t="s">
        <v>2347</v>
      </c>
      <c r="B682" s="205" t="s">
        <v>229</v>
      </c>
      <c r="C682" s="200">
        <v>45412</v>
      </c>
      <c r="D682" s="209" t="s">
        <v>152</v>
      </c>
      <c r="E682" s="206">
        <v>46439</v>
      </c>
      <c r="F682" s="206">
        <v>4644</v>
      </c>
      <c r="G682" s="206">
        <v>232</v>
      </c>
      <c r="H682" s="202">
        <f t="shared" si="10"/>
        <v>42027</v>
      </c>
      <c r="I682" s="205" t="s">
        <v>38</v>
      </c>
      <c r="J682" s="205" t="s">
        <v>23</v>
      </c>
      <c r="K682" s="201" t="s">
        <v>1042</v>
      </c>
      <c r="L682" s="205" t="s">
        <v>2348</v>
      </c>
      <c r="M682" s="199" t="s">
        <v>1030</v>
      </c>
      <c r="N682" s="205" t="s">
        <v>652</v>
      </c>
      <c r="O682" s="205" t="s">
        <v>652</v>
      </c>
      <c r="P682" s="207" t="s">
        <v>653</v>
      </c>
      <c r="Q682" s="208" t="s">
        <v>654</v>
      </c>
      <c r="R682" s="208" t="s">
        <v>678</v>
      </c>
    </row>
    <row r="683" spans="1:18" s="205" customFormat="1" x14ac:dyDescent="0.2">
      <c r="A683" s="205" t="s">
        <v>2349</v>
      </c>
      <c r="B683" s="205" t="s">
        <v>229</v>
      </c>
      <c r="C683" s="200">
        <v>45412</v>
      </c>
      <c r="D683" s="209" t="s">
        <v>152</v>
      </c>
      <c r="E683" s="206">
        <v>62092</v>
      </c>
      <c r="F683" s="206">
        <v>6209</v>
      </c>
      <c r="G683" s="206">
        <v>310</v>
      </c>
      <c r="H683" s="202">
        <f t="shared" si="10"/>
        <v>56193</v>
      </c>
      <c r="I683" s="205" t="s">
        <v>38</v>
      </c>
      <c r="J683" s="205" t="s">
        <v>23</v>
      </c>
      <c r="K683" s="201" t="s">
        <v>1042</v>
      </c>
      <c r="L683" s="205" t="s">
        <v>2350</v>
      </c>
      <c r="M683" s="199" t="s">
        <v>1030</v>
      </c>
      <c r="N683" s="205" t="s">
        <v>652</v>
      </c>
      <c r="O683" s="205" t="s">
        <v>652</v>
      </c>
      <c r="P683" s="207" t="s">
        <v>653</v>
      </c>
      <c r="Q683" s="208" t="s">
        <v>654</v>
      </c>
      <c r="R683" s="208" t="s">
        <v>678</v>
      </c>
    </row>
    <row r="684" spans="1:18" s="205" customFormat="1" x14ac:dyDescent="0.2">
      <c r="A684" s="205" t="s">
        <v>2351</v>
      </c>
      <c r="B684" s="205" t="s">
        <v>229</v>
      </c>
      <c r="C684" s="200">
        <v>45412</v>
      </c>
      <c r="D684" s="209" t="s">
        <v>152</v>
      </c>
      <c r="E684" s="206">
        <v>95814</v>
      </c>
      <c r="F684" s="206">
        <v>9581</v>
      </c>
      <c r="G684" s="206">
        <v>479</v>
      </c>
      <c r="H684" s="202">
        <f t="shared" si="10"/>
        <v>86712</v>
      </c>
      <c r="I684" s="205" t="s">
        <v>38</v>
      </c>
      <c r="J684" s="205" t="s">
        <v>23</v>
      </c>
      <c r="K684" s="201" t="s">
        <v>1028</v>
      </c>
      <c r="L684" s="205" t="s">
        <v>2352</v>
      </c>
      <c r="M684" s="201" t="s">
        <v>1030</v>
      </c>
      <c r="N684" s="205" t="s">
        <v>652</v>
      </c>
      <c r="O684" s="205" t="s">
        <v>652</v>
      </c>
      <c r="P684" s="207" t="s">
        <v>987</v>
      </c>
      <c r="Q684" s="208" t="s">
        <v>988</v>
      </c>
      <c r="R684" s="208" t="s">
        <v>678</v>
      </c>
    </row>
    <row r="685" spans="1:18" s="205" customFormat="1" x14ac:dyDescent="0.2">
      <c r="A685" s="205" t="s">
        <v>1007</v>
      </c>
      <c r="B685" s="205" t="s">
        <v>229</v>
      </c>
      <c r="C685" s="200">
        <v>45412</v>
      </c>
      <c r="D685" s="209" t="s">
        <v>152</v>
      </c>
      <c r="E685" s="206">
        <v>95814</v>
      </c>
      <c r="F685" s="206">
        <v>9581</v>
      </c>
      <c r="G685" s="206">
        <v>479</v>
      </c>
      <c r="H685" s="202">
        <f t="shared" si="10"/>
        <v>86712</v>
      </c>
      <c r="I685" s="205" t="s">
        <v>38</v>
      </c>
      <c r="J685" s="205" t="s">
        <v>23</v>
      </c>
      <c r="K685" s="201" t="s">
        <v>1028</v>
      </c>
      <c r="L685" s="205" t="s">
        <v>2353</v>
      </c>
      <c r="M685" s="201" t="s">
        <v>1030</v>
      </c>
      <c r="N685" s="205" t="s">
        <v>652</v>
      </c>
      <c r="O685" s="205" t="s">
        <v>652</v>
      </c>
      <c r="P685" s="207" t="s">
        <v>987</v>
      </c>
      <c r="Q685" s="208" t="s">
        <v>988</v>
      </c>
      <c r="R685" s="208" t="s">
        <v>678</v>
      </c>
    </row>
    <row r="686" spans="1:18" s="205" customFormat="1" x14ac:dyDescent="0.2">
      <c r="A686" s="205" t="s">
        <v>2354</v>
      </c>
      <c r="B686" s="205" t="s">
        <v>229</v>
      </c>
      <c r="C686" s="200">
        <v>45412</v>
      </c>
      <c r="D686" s="209" t="s">
        <v>152</v>
      </c>
      <c r="E686" s="206">
        <v>76212</v>
      </c>
      <c r="F686" s="206">
        <v>7621</v>
      </c>
      <c r="G686" s="206">
        <v>381</v>
      </c>
      <c r="H686" s="202">
        <f t="shared" si="10"/>
        <v>68972</v>
      </c>
      <c r="I686" s="205" t="s">
        <v>38</v>
      </c>
      <c r="J686" s="205" t="s">
        <v>23</v>
      </c>
      <c r="K686" s="201" t="s">
        <v>1028</v>
      </c>
      <c r="L686" s="205" t="s">
        <v>2355</v>
      </c>
      <c r="M686" s="201" t="s">
        <v>1030</v>
      </c>
      <c r="N686" s="205" t="s">
        <v>652</v>
      </c>
      <c r="O686" s="205" t="s">
        <v>652</v>
      </c>
      <c r="P686" s="215" t="s">
        <v>987</v>
      </c>
      <c r="Q686" s="216" t="s">
        <v>988</v>
      </c>
      <c r="R686" s="208" t="s">
        <v>678</v>
      </c>
    </row>
    <row r="687" spans="1:18" s="205" customFormat="1" x14ac:dyDescent="0.2">
      <c r="A687" s="205" t="s">
        <v>2356</v>
      </c>
      <c r="B687" s="205" t="s">
        <v>229</v>
      </c>
      <c r="C687" s="200">
        <v>45412</v>
      </c>
      <c r="D687" s="209" t="s">
        <v>152</v>
      </c>
      <c r="E687" s="206">
        <v>43742</v>
      </c>
      <c r="F687" s="206">
        <v>4374</v>
      </c>
      <c r="G687" s="206">
        <v>219</v>
      </c>
      <c r="H687" s="202">
        <f t="shared" si="10"/>
        <v>39587</v>
      </c>
      <c r="I687" s="205" t="s">
        <v>38</v>
      </c>
      <c r="J687" s="205" t="s">
        <v>23</v>
      </c>
      <c r="K687" s="201" t="s">
        <v>1042</v>
      </c>
      <c r="L687" s="205" t="s">
        <v>2357</v>
      </c>
      <c r="M687" s="201" t="s">
        <v>1030</v>
      </c>
      <c r="N687" s="205" t="s">
        <v>652</v>
      </c>
      <c r="O687" s="205" t="s">
        <v>652</v>
      </c>
      <c r="P687" s="207" t="s">
        <v>987</v>
      </c>
      <c r="Q687" s="208" t="s">
        <v>988</v>
      </c>
      <c r="R687" s="208" t="s">
        <v>678</v>
      </c>
    </row>
    <row r="688" spans="1:18" s="205" customFormat="1" x14ac:dyDescent="0.2">
      <c r="A688" s="205" t="s">
        <v>2358</v>
      </c>
      <c r="B688" s="205" t="s">
        <v>229</v>
      </c>
      <c r="C688" s="200">
        <v>45412</v>
      </c>
      <c r="D688" s="209" t="s">
        <v>152</v>
      </c>
      <c r="E688" s="206">
        <v>103696</v>
      </c>
      <c r="F688" s="206">
        <v>10370</v>
      </c>
      <c r="G688" s="206">
        <v>518</v>
      </c>
      <c r="H688" s="202">
        <f t="shared" si="10"/>
        <v>93844</v>
      </c>
      <c r="I688" s="205" t="s">
        <v>38</v>
      </c>
      <c r="J688" s="205" t="s">
        <v>23</v>
      </c>
      <c r="K688" s="201" t="s">
        <v>1028</v>
      </c>
      <c r="L688" s="205" t="s">
        <v>2359</v>
      </c>
      <c r="M688" s="201" t="s">
        <v>1030</v>
      </c>
      <c r="N688" s="205" t="s">
        <v>652</v>
      </c>
      <c r="O688" s="205" t="s">
        <v>652</v>
      </c>
      <c r="P688" s="207" t="s">
        <v>987</v>
      </c>
      <c r="Q688" s="208" t="s">
        <v>988</v>
      </c>
      <c r="R688" s="208" t="s">
        <v>678</v>
      </c>
    </row>
    <row r="689" spans="1:24" s="205" customFormat="1" x14ac:dyDescent="0.2">
      <c r="A689" s="205" t="s">
        <v>2360</v>
      </c>
      <c r="B689" s="205" t="s">
        <v>229</v>
      </c>
      <c r="C689" s="200">
        <v>45412</v>
      </c>
      <c r="D689" s="209" t="s">
        <v>152</v>
      </c>
      <c r="E689" s="206">
        <v>54094</v>
      </c>
      <c r="F689" s="206">
        <v>5409</v>
      </c>
      <c r="G689" s="206">
        <v>270</v>
      </c>
      <c r="H689" s="202">
        <f t="shared" si="10"/>
        <v>48955</v>
      </c>
      <c r="I689" s="205" t="s">
        <v>38</v>
      </c>
      <c r="J689" s="205" t="s">
        <v>23</v>
      </c>
      <c r="K689" s="201" t="s">
        <v>1028</v>
      </c>
      <c r="L689" s="205" t="s">
        <v>2361</v>
      </c>
      <c r="M689" s="201" t="s">
        <v>1030</v>
      </c>
      <c r="N689" s="205" t="s">
        <v>652</v>
      </c>
      <c r="O689" s="205" t="s">
        <v>652</v>
      </c>
      <c r="P689" s="207" t="s">
        <v>987</v>
      </c>
      <c r="Q689" s="208" t="s">
        <v>988</v>
      </c>
      <c r="R689" s="208" t="s">
        <v>678</v>
      </c>
    </row>
    <row r="690" spans="1:24" s="205" customFormat="1" x14ac:dyDescent="0.2">
      <c r="A690" s="205" t="s">
        <v>2362</v>
      </c>
      <c r="B690" s="205" t="s">
        <v>229</v>
      </c>
      <c r="C690" s="200">
        <v>45412</v>
      </c>
      <c r="D690" s="209" t="s">
        <v>152</v>
      </c>
      <c r="E690" s="206">
        <v>70293</v>
      </c>
      <c r="F690" s="206">
        <v>7029</v>
      </c>
      <c r="G690" s="206">
        <v>351</v>
      </c>
      <c r="H690" s="202">
        <f t="shared" si="10"/>
        <v>63615</v>
      </c>
      <c r="I690" s="205" t="s">
        <v>38</v>
      </c>
      <c r="J690" s="205" t="s">
        <v>23</v>
      </c>
      <c r="K690" s="201" t="s">
        <v>1042</v>
      </c>
      <c r="L690" s="205" t="s">
        <v>2363</v>
      </c>
      <c r="M690" s="201" t="s">
        <v>1030</v>
      </c>
      <c r="N690" s="205" t="s">
        <v>652</v>
      </c>
      <c r="O690" s="205" t="s">
        <v>652</v>
      </c>
      <c r="P690" s="207" t="s">
        <v>653</v>
      </c>
      <c r="Q690" s="208" t="s">
        <v>654</v>
      </c>
      <c r="R690" s="208" t="s">
        <v>678</v>
      </c>
    </row>
    <row r="691" spans="1:24" s="205" customFormat="1" x14ac:dyDescent="0.2">
      <c r="A691" s="205" t="s">
        <v>2364</v>
      </c>
      <c r="B691" s="205" t="s">
        <v>229</v>
      </c>
      <c r="C691" s="200">
        <v>45412</v>
      </c>
      <c r="D691" s="209" t="s">
        <v>152</v>
      </c>
      <c r="E691" s="206">
        <v>27213</v>
      </c>
      <c r="F691" s="206">
        <v>2721</v>
      </c>
      <c r="G691" s="206">
        <v>136</v>
      </c>
      <c r="H691" s="202">
        <f t="shared" si="10"/>
        <v>24628</v>
      </c>
      <c r="I691" s="205" t="s">
        <v>38</v>
      </c>
      <c r="J691" s="205" t="s">
        <v>23</v>
      </c>
      <c r="K691" s="201" t="s">
        <v>1042</v>
      </c>
      <c r="L691" s="205" t="s">
        <v>2365</v>
      </c>
      <c r="M691" s="199" t="s">
        <v>1030</v>
      </c>
      <c r="N691" s="205" t="s">
        <v>652</v>
      </c>
      <c r="O691" s="205" t="s">
        <v>652</v>
      </c>
      <c r="P691" s="207" t="s">
        <v>677</v>
      </c>
      <c r="Q691" s="208" t="s">
        <v>678</v>
      </c>
      <c r="R691" s="208" t="s">
        <v>678</v>
      </c>
    </row>
    <row r="692" spans="1:24" s="205" customFormat="1" x14ac:dyDescent="0.2">
      <c r="A692" s="205" t="s">
        <v>2366</v>
      </c>
      <c r="B692" s="205" t="s">
        <v>229</v>
      </c>
      <c r="C692" s="200">
        <v>45412</v>
      </c>
      <c r="D692" s="209" t="s">
        <v>152</v>
      </c>
      <c r="E692" s="206">
        <v>59699</v>
      </c>
      <c r="F692" s="206">
        <v>5970</v>
      </c>
      <c r="G692" s="206">
        <v>299</v>
      </c>
      <c r="H692" s="202">
        <f t="shared" si="10"/>
        <v>54028</v>
      </c>
      <c r="I692" s="205" t="s">
        <v>38</v>
      </c>
      <c r="J692" s="205" t="s">
        <v>23</v>
      </c>
      <c r="K692" s="201" t="s">
        <v>1028</v>
      </c>
      <c r="L692" s="205" t="s">
        <v>2367</v>
      </c>
      <c r="M692" s="199" t="s">
        <v>1030</v>
      </c>
      <c r="N692" s="205" t="s">
        <v>652</v>
      </c>
      <c r="O692" s="205" t="s">
        <v>652</v>
      </c>
      <c r="P692" s="207" t="s">
        <v>663</v>
      </c>
      <c r="Q692" s="208" t="s">
        <v>723</v>
      </c>
      <c r="R692" s="208" t="s">
        <v>678</v>
      </c>
    </row>
    <row r="693" spans="1:24" s="205" customFormat="1" x14ac:dyDescent="0.2">
      <c r="A693" s="205" t="s">
        <v>2368</v>
      </c>
      <c r="B693" s="205" t="s">
        <v>250</v>
      </c>
      <c r="C693" s="200">
        <v>45412</v>
      </c>
      <c r="D693" s="209" t="s">
        <v>152</v>
      </c>
      <c r="E693" s="206">
        <v>85607</v>
      </c>
      <c r="F693" s="206">
        <v>8561</v>
      </c>
      <c r="G693" s="206">
        <v>428</v>
      </c>
      <c r="H693" s="202">
        <f t="shared" si="10"/>
        <v>77474</v>
      </c>
      <c r="I693" s="205" t="s">
        <v>193</v>
      </c>
      <c r="J693" s="205" t="s">
        <v>23</v>
      </c>
      <c r="K693" s="201" t="s">
        <v>1042</v>
      </c>
      <c r="L693" s="205" t="s">
        <v>2369</v>
      </c>
      <c r="M693" s="209" t="s">
        <v>1030</v>
      </c>
      <c r="N693" s="205" t="s">
        <v>652</v>
      </c>
      <c r="O693" s="205" t="s">
        <v>652</v>
      </c>
      <c r="P693" s="207" t="s">
        <v>651</v>
      </c>
      <c r="Q693" s="208" t="s">
        <v>673</v>
      </c>
      <c r="R693" s="208" t="s">
        <v>678</v>
      </c>
    </row>
    <row r="694" spans="1:24" s="219" customFormat="1" ht="12.75" thickBot="1" x14ac:dyDescent="0.25">
      <c r="C694" s="220"/>
      <c r="E694" s="221"/>
      <c r="F694" s="221"/>
      <c r="G694" s="221"/>
      <c r="H694" s="221"/>
      <c r="M694" s="222"/>
      <c r="P694" s="223"/>
      <c r="Q694" s="223"/>
      <c r="R694" s="223"/>
    </row>
    <row r="695" spans="1:24" s="224" customFormat="1" ht="12.75" thickBot="1" x14ac:dyDescent="0.25">
      <c r="C695" s="225"/>
      <c r="D695" s="224" t="s">
        <v>2370</v>
      </c>
      <c r="E695" s="226">
        <f>SUM(E2:E694)</f>
        <v>330269628</v>
      </c>
      <c r="F695" s="226">
        <f>SUM(F2:F694)</f>
        <v>22515917</v>
      </c>
      <c r="G695" s="226">
        <f>SUM(G2:G694)</f>
        <v>1452330</v>
      </c>
      <c r="H695" s="226">
        <f>SUM(H2:H694)</f>
        <v>309206041</v>
      </c>
      <c r="M695" s="227"/>
      <c r="P695" s="228"/>
      <c r="Q695" s="228"/>
      <c r="R695" s="228"/>
    </row>
    <row r="696" spans="1:24" s="199" customFormat="1" x14ac:dyDescent="0.2">
      <c r="C696" s="200"/>
      <c r="E696" s="202"/>
      <c r="F696" s="202"/>
      <c r="G696" s="202"/>
      <c r="H696" s="202"/>
      <c r="M696" s="201"/>
      <c r="P696" s="204"/>
      <c r="Q696" s="204"/>
      <c r="R696" s="204"/>
    </row>
    <row r="697" spans="1:24" s="205" customFormat="1" x14ac:dyDescent="0.2">
      <c r="C697" s="200"/>
      <c r="E697" s="206"/>
      <c r="F697" s="206"/>
      <c r="G697" s="206"/>
      <c r="H697" s="202"/>
      <c r="M697" s="201"/>
      <c r="P697" s="208"/>
      <c r="Q697" s="208"/>
      <c r="R697" s="208"/>
      <c r="U697" s="205" t="s">
        <v>2371</v>
      </c>
      <c r="V697" s="205" t="s">
        <v>11</v>
      </c>
      <c r="W697" s="205" t="s">
        <v>2372</v>
      </c>
    </row>
    <row r="698" spans="1:24" s="205" customFormat="1" x14ac:dyDescent="0.2">
      <c r="C698" s="200"/>
      <c r="E698" s="206"/>
      <c r="F698" s="206"/>
      <c r="G698" s="206"/>
      <c r="H698" s="202"/>
      <c r="M698" s="201"/>
      <c r="P698" s="208"/>
      <c r="Q698" s="208"/>
      <c r="R698" s="208"/>
      <c r="S698" s="205">
        <v>2021</v>
      </c>
      <c r="T698" s="229">
        <v>-109</v>
      </c>
      <c r="U698" s="230">
        <f>65%*T698</f>
        <v>-70.850000000000009</v>
      </c>
      <c r="V698" s="230">
        <f>1%*U698</f>
        <v>-0.70850000000000013</v>
      </c>
      <c r="W698" s="230">
        <f>22.5%*U698</f>
        <v>-15.941250000000002</v>
      </c>
      <c r="X698" s="230">
        <f>U698-V698-W698</f>
        <v>-54.200250000000004</v>
      </c>
    </row>
    <row r="699" spans="1:24" s="205" customFormat="1" x14ac:dyDescent="0.2">
      <c r="C699" s="200"/>
      <c r="E699" s="206"/>
      <c r="F699" s="206"/>
      <c r="G699" s="206"/>
      <c r="H699" s="202"/>
      <c r="P699" s="208"/>
      <c r="Q699" s="208"/>
      <c r="R699" s="208"/>
      <c r="S699" s="205">
        <v>2022</v>
      </c>
      <c r="T699" s="229">
        <v>-75054</v>
      </c>
      <c r="U699" s="230">
        <f>65%*T699</f>
        <v>-48785.1</v>
      </c>
      <c r="V699" s="230">
        <f>1%*U699</f>
        <v>-487.851</v>
      </c>
      <c r="W699" s="230">
        <f>21%*U699</f>
        <v>-10244.870999999999</v>
      </c>
      <c r="X699" s="230">
        <f>U699-V699-W699</f>
        <v>-38052.377999999997</v>
      </c>
    </row>
    <row r="700" spans="1:24" s="205" customFormat="1" x14ac:dyDescent="0.2">
      <c r="C700" s="200"/>
      <c r="E700" s="206"/>
      <c r="F700" s="206"/>
      <c r="G700" s="206"/>
      <c r="H700" s="202"/>
      <c r="M700" s="201"/>
      <c r="P700" s="208"/>
      <c r="Q700" s="208"/>
      <c r="R700" s="208"/>
      <c r="S700" s="205">
        <v>2023</v>
      </c>
      <c r="T700" s="229">
        <v>68740963</v>
      </c>
      <c r="U700" s="230">
        <f>65%*T700</f>
        <v>44681625.950000003</v>
      </c>
      <c r="V700" s="230">
        <f>1%*U700</f>
        <v>446816.25950000004</v>
      </c>
      <c r="W700" s="230">
        <f>21%*U700</f>
        <v>9383141.4495000001</v>
      </c>
      <c r="X700" s="230">
        <f>U700-V700-W700</f>
        <v>34851668.241000004</v>
      </c>
    </row>
    <row r="701" spans="1:24" s="205" customFormat="1" x14ac:dyDescent="0.2">
      <c r="C701" s="200"/>
      <c r="E701" s="206"/>
      <c r="F701" s="206"/>
      <c r="G701" s="206"/>
      <c r="H701" s="202"/>
      <c r="M701" s="201"/>
      <c r="P701" s="208"/>
      <c r="Q701" s="208"/>
      <c r="R701" s="208"/>
      <c r="S701" s="205">
        <v>2024</v>
      </c>
      <c r="T701" s="229">
        <v>261603828</v>
      </c>
      <c r="U701" s="230">
        <f>65%*T701</f>
        <v>170042488.20000002</v>
      </c>
      <c r="V701" s="230">
        <f>1%*U701</f>
        <v>1700424.8820000002</v>
      </c>
      <c r="W701" s="230">
        <f>21%*U701</f>
        <v>35708922.522</v>
      </c>
      <c r="X701" s="230">
        <f>U701-V701-W701</f>
        <v>132633140.79600002</v>
      </c>
    </row>
    <row r="702" spans="1:24" s="205" customFormat="1" x14ac:dyDescent="0.2">
      <c r="C702" s="200"/>
      <c r="E702" s="206"/>
      <c r="F702" s="206"/>
      <c r="G702" s="206"/>
      <c r="H702" s="202"/>
      <c r="M702" s="201"/>
      <c r="P702" s="208"/>
      <c r="Q702" s="208"/>
      <c r="R702" s="208"/>
      <c r="T702" s="229">
        <f>SUBTOTAL(9,T698:T701)</f>
        <v>330269628</v>
      </c>
      <c r="U702" s="230">
        <f>SUM(U698:U701)</f>
        <v>214675258.20000002</v>
      </c>
      <c r="V702" s="230">
        <f>SUM(V698:V701)</f>
        <v>2146752.5820000004</v>
      </c>
      <c r="W702" s="230">
        <f>SUM(W698:W701)</f>
        <v>45081803.159249999</v>
      </c>
      <c r="X702" s="205">
        <f>U702-V702-W702</f>
        <v>167446702.45875004</v>
      </c>
    </row>
    <row r="703" spans="1:24" s="205" customFormat="1" x14ac:dyDescent="0.2">
      <c r="C703" s="200"/>
      <c r="E703" s="206"/>
      <c r="F703" s="206"/>
      <c r="G703" s="206"/>
      <c r="H703" s="202"/>
      <c r="M703" s="201"/>
      <c r="P703" s="208"/>
      <c r="Q703" s="208"/>
      <c r="R703" s="208"/>
      <c r="T703" s="229">
        <v>330269628</v>
      </c>
    </row>
    <row r="704" spans="1:24" s="205" customFormat="1" x14ac:dyDescent="0.2">
      <c r="C704" s="200"/>
      <c r="E704" s="206"/>
      <c r="F704" s="206"/>
      <c r="G704" s="206"/>
      <c r="H704" s="202"/>
      <c r="M704" s="201"/>
      <c r="P704" s="208"/>
      <c r="Q704" s="208"/>
      <c r="R704" s="208"/>
      <c r="T704" s="230">
        <f>T703-T702</f>
        <v>0</v>
      </c>
    </row>
    <row r="705" spans="3:24" s="205" customFormat="1" x14ac:dyDescent="0.2">
      <c r="C705" s="200"/>
      <c r="E705" s="206"/>
      <c r="F705" s="206"/>
      <c r="G705" s="206"/>
      <c r="H705" s="202"/>
      <c r="M705" s="201"/>
      <c r="P705" s="208"/>
      <c r="Q705" s="208"/>
      <c r="R705" s="208"/>
    </row>
    <row r="706" spans="3:24" s="205" customFormat="1" x14ac:dyDescent="0.2">
      <c r="C706" s="200"/>
      <c r="E706" s="206"/>
      <c r="F706" s="206"/>
      <c r="G706" s="206"/>
      <c r="H706" s="202"/>
      <c r="M706" s="201"/>
      <c r="P706" s="208"/>
      <c r="Q706" s="208"/>
      <c r="R706" s="208"/>
    </row>
    <row r="707" spans="3:24" s="205" customFormat="1" x14ac:dyDescent="0.2">
      <c r="C707" s="200"/>
      <c r="E707" s="206"/>
      <c r="F707" s="206"/>
      <c r="G707" s="206"/>
      <c r="H707" s="202"/>
      <c r="M707" s="201"/>
      <c r="P707" s="208"/>
      <c r="Q707" s="208"/>
      <c r="R707" s="208"/>
    </row>
    <row r="708" spans="3:24" s="205" customFormat="1" x14ac:dyDescent="0.2">
      <c r="C708" s="200"/>
      <c r="E708" s="206"/>
      <c r="F708" s="206"/>
      <c r="G708" s="206"/>
      <c r="H708" s="202"/>
      <c r="M708" s="201"/>
      <c r="P708" s="208"/>
      <c r="Q708" s="208"/>
      <c r="R708" s="208"/>
      <c r="S708" s="213"/>
      <c r="T708" s="209" t="s">
        <v>2373</v>
      </c>
      <c r="U708" s="211" t="s">
        <v>2374</v>
      </c>
      <c r="V708" s="211" t="s">
        <v>2375</v>
      </c>
      <c r="W708" s="211" t="s">
        <v>2376</v>
      </c>
      <c r="X708" s="211" t="s">
        <v>2377</v>
      </c>
    </row>
    <row r="709" spans="3:24" s="205" customFormat="1" x14ac:dyDescent="0.2">
      <c r="C709" s="200"/>
      <c r="E709" s="206"/>
      <c r="F709" s="206"/>
      <c r="G709" s="206"/>
      <c r="H709" s="202"/>
      <c r="M709" s="201"/>
      <c r="P709" s="208"/>
      <c r="Q709" s="208"/>
      <c r="R709" s="208"/>
      <c r="S709" s="213">
        <v>2021</v>
      </c>
      <c r="T709" s="231">
        <f>30%*X698</f>
        <v>-16.260075000000001</v>
      </c>
      <c r="U709" s="211">
        <f>25%*X698</f>
        <v>-13.550062500000001</v>
      </c>
      <c r="V709" s="211">
        <f>25%*X698</f>
        <v>-13.550062500000001</v>
      </c>
      <c r="W709" s="211">
        <f>15%*X698</f>
        <v>-8.1300375000000003</v>
      </c>
      <c r="X709" s="211">
        <f>5%*X698</f>
        <v>-2.7100125000000004</v>
      </c>
    </row>
    <row r="710" spans="3:24" s="205" customFormat="1" x14ac:dyDescent="0.2">
      <c r="C710" s="200"/>
      <c r="E710" s="206"/>
      <c r="F710" s="206"/>
      <c r="G710" s="206"/>
      <c r="H710" s="202"/>
      <c r="M710" s="201"/>
      <c r="P710" s="208"/>
      <c r="Q710" s="208"/>
      <c r="R710" s="208"/>
      <c r="S710" s="213">
        <v>2022</v>
      </c>
      <c r="T710" s="231">
        <f>35%*X699</f>
        <v>-13318.332299999998</v>
      </c>
      <c r="U710" s="211">
        <f>25%*X699</f>
        <v>-9513.0944999999992</v>
      </c>
      <c r="V710" s="211">
        <f>25%*X699</f>
        <v>-9513.0944999999992</v>
      </c>
      <c r="W710" s="211">
        <f>10%*X699</f>
        <v>-3805.2377999999999</v>
      </c>
      <c r="X710" s="211">
        <f>5%*X699</f>
        <v>-1902.6188999999999</v>
      </c>
    </row>
    <row r="711" spans="3:24" s="205" customFormat="1" x14ac:dyDescent="0.2">
      <c r="C711" s="200"/>
      <c r="E711" s="206"/>
      <c r="F711" s="206"/>
      <c r="G711" s="206"/>
      <c r="H711" s="202"/>
      <c r="M711" s="201"/>
      <c r="P711" s="208"/>
      <c r="Q711" s="208"/>
      <c r="R711" s="208"/>
      <c r="S711" s="213">
        <v>2023</v>
      </c>
      <c r="T711" s="231">
        <f>35%*X700</f>
        <v>12198083.88435</v>
      </c>
      <c r="U711" s="211">
        <f>25%*X700</f>
        <v>8712917.060250001</v>
      </c>
      <c r="V711" s="211">
        <f>25%*X700</f>
        <v>8712917.060250001</v>
      </c>
      <c r="W711" s="211">
        <f>10%*X700</f>
        <v>3485166.8241000008</v>
      </c>
      <c r="X711" s="211">
        <f>5%*X700</f>
        <v>1742583.4120500004</v>
      </c>
    </row>
    <row r="712" spans="3:24" s="205" customFormat="1" x14ac:dyDescent="0.2">
      <c r="C712" s="200"/>
      <c r="E712" s="206"/>
      <c r="F712" s="206"/>
      <c r="G712" s="206"/>
      <c r="H712" s="202"/>
      <c r="M712" s="201"/>
      <c r="P712" s="208"/>
      <c r="Q712" s="208"/>
      <c r="R712" s="208"/>
      <c r="S712" s="213">
        <v>2024</v>
      </c>
      <c r="T712" s="231">
        <f>36%*X701</f>
        <v>47747930.686560005</v>
      </c>
      <c r="U712" s="211">
        <f>25%*X701</f>
        <v>33158285.199000005</v>
      </c>
      <c r="V712" s="211">
        <f>25%*X701</f>
        <v>33158285.199000005</v>
      </c>
      <c r="W712" s="211">
        <f>9%*X701</f>
        <v>11936982.671640001</v>
      </c>
      <c r="X712" s="211">
        <f>5%*X701</f>
        <v>6631657.0398000013</v>
      </c>
    </row>
    <row r="713" spans="3:24" s="205" customFormat="1" x14ac:dyDescent="0.2">
      <c r="C713" s="200"/>
      <c r="E713" s="206"/>
      <c r="F713" s="206"/>
      <c r="G713" s="206"/>
      <c r="H713" s="202"/>
      <c r="M713" s="201"/>
      <c r="P713" s="208"/>
      <c r="Q713" s="208"/>
      <c r="R713" s="208"/>
      <c r="T713" s="232">
        <f>SUM(T709:T712)</f>
        <v>59932679.978535004</v>
      </c>
      <c r="U713" s="232">
        <f>SUM(U709:U712)</f>
        <v>41861675.614687502</v>
      </c>
      <c r="V713" s="232">
        <f>SUM(V709:V712)</f>
        <v>41861675.614687502</v>
      </c>
      <c r="W713" s="232">
        <f>SUM(W709:W712)</f>
        <v>15418336.127902502</v>
      </c>
      <c r="X713" s="232">
        <f>SUM(X709:X712)</f>
        <v>8372335.1229375014</v>
      </c>
    </row>
    <row r="714" spans="3:24" s="205" customFormat="1" x14ac:dyDescent="0.2">
      <c r="C714" s="200"/>
      <c r="E714" s="206"/>
      <c r="F714" s="206"/>
      <c r="G714" s="206"/>
      <c r="H714" s="202"/>
      <c r="M714" s="201"/>
      <c r="P714" s="208"/>
      <c r="Q714" s="208"/>
      <c r="R714" s="208"/>
    </row>
    <row r="715" spans="3:24" s="205" customFormat="1" x14ac:dyDescent="0.2">
      <c r="C715" s="200"/>
      <c r="E715" s="206"/>
      <c r="F715" s="206"/>
      <c r="G715" s="206"/>
      <c r="H715" s="202"/>
      <c r="M715" s="201"/>
      <c r="P715" s="208"/>
      <c r="Q715" s="208"/>
      <c r="R715" s="208"/>
    </row>
    <row r="716" spans="3:24" s="205" customFormat="1" x14ac:dyDescent="0.2">
      <c r="C716" s="200"/>
      <c r="E716" s="206"/>
      <c r="F716" s="206"/>
      <c r="G716" s="206"/>
      <c r="H716" s="202"/>
      <c r="M716" s="201"/>
      <c r="P716" s="208"/>
      <c r="Q716" s="208"/>
      <c r="R716" s="208"/>
    </row>
    <row r="717" spans="3:24" s="205" customFormat="1" x14ac:dyDescent="0.2">
      <c r="C717" s="200"/>
      <c r="E717" s="206"/>
      <c r="F717" s="206"/>
      <c r="G717" s="206"/>
      <c r="H717" s="202"/>
      <c r="M717" s="201"/>
      <c r="P717" s="208"/>
      <c r="Q717" s="208"/>
      <c r="R717" s="208"/>
    </row>
    <row r="718" spans="3:24" s="205" customFormat="1" x14ac:dyDescent="0.2">
      <c r="C718" s="200"/>
      <c r="E718" s="206"/>
      <c r="F718" s="206"/>
      <c r="G718" s="206"/>
      <c r="H718" s="202"/>
      <c r="P718" s="208"/>
      <c r="Q718" s="208"/>
      <c r="R718" s="208"/>
    </row>
    <row r="719" spans="3:24" s="205" customFormat="1" x14ac:dyDescent="0.2">
      <c r="C719" s="200"/>
      <c r="E719" s="206"/>
      <c r="F719" s="206"/>
      <c r="G719" s="206"/>
      <c r="H719" s="202"/>
      <c r="P719" s="208"/>
      <c r="Q719" s="208"/>
      <c r="R719" s="208"/>
    </row>
    <row r="720" spans="3:24" s="205" customFormat="1" x14ac:dyDescent="0.2">
      <c r="C720" s="200"/>
      <c r="E720" s="206"/>
      <c r="F720" s="206"/>
      <c r="G720" s="206"/>
      <c r="H720" s="202"/>
      <c r="P720" s="208"/>
      <c r="Q720" s="208"/>
      <c r="R720" s="208"/>
    </row>
    <row r="721" spans="3:18" s="205" customFormat="1" x14ac:dyDescent="0.2">
      <c r="C721" s="200"/>
      <c r="E721" s="206"/>
      <c r="F721" s="206"/>
      <c r="G721" s="206"/>
      <c r="H721" s="202"/>
      <c r="P721" s="208"/>
      <c r="Q721" s="208"/>
      <c r="R721" s="208"/>
    </row>
    <row r="722" spans="3:18" s="205" customFormat="1" x14ac:dyDescent="0.2">
      <c r="C722" s="200"/>
      <c r="E722" s="206"/>
      <c r="F722" s="206"/>
      <c r="G722" s="206"/>
      <c r="H722" s="202"/>
      <c r="P722" s="208"/>
      <c r="Q722" s="208"/>
      <c r="R722" s="208"/>
    </row>
    <row r="723" spans="3:18" s="205" customFormat="1" x14ac:dyDescent="0.2">
      <c r="C723" s="200"/>
      <c r="E723" s="206"/>
      <c r="F723" s="206"/>
      <c r="G723" s="206"/>
      <c r="H723" s="202"/>
      <c r="M723" s="201"/>
      <c r="P723" s="208"/>
      <c r="Q723" s="208"/>
      <c r="R723" s="208"/>
    </row>
    <row r="724" spans="3:18" s="205" customFormat="1" x14ac:dyDescent="0.2">
      <c r="C724" s="200"/>
      <c r="E724" s="206"/>
      <c r="F724" s="206"/>
      <c r="G724" s="206"/>
      <c r="H724" s="202"/>
      <c r="M724" s="201"/>
      <c r="P724" s="208"/>
      <c r="Q724" s="208"/>
      <c r="R724" s="208"/>
    </row>
    <row r="725" spans="3:18" s="205" customFormat="1" x14ac:dyDescent="0.2">
      <c r="C725" s="200"/>
      <c r="E725" s="206"/>
      <c r="F725" s="206"/>
      <c r="G725" s="206"/>
      <c r="H725" s="202"/>
      <c r="M725" s="201"/>
      <c r="P725" s="208"/>
      <c r="Q725" s="208"/>
      <c r="R725" s="208"/>
    </row>
    <row r="726" spans="3:18" s="205" customFormat="1" x14ac:dyDescent="0.2">
      <c r="C726" s="200"/>
      <c r="E726" s="206"/>
      <c r="F726" s="206"/>
      <c r="G726" s="206"/>
      <c r="H726" s="202"/>
      <c r="M726" s="201"/>
      <c r="P726" s="208"/>
      <c r="Q726" s="208"/>
      <c r="R726" s="208"/>
    </row>
    <row r="727" spans="3:18" s="205" customFormat="1" x14ac:dyDescent="0.2">
      <c r="C727" s="200"/>
      <c r="E727" s="206"/>
      <c r="F727" s="206"/>
      <c r="G727" s="206"/>
      <c r="H727" s="202"/>
      <c r="M727" s="201"/>
      <c r="P727" s="208"/>
      <c r="Q727" s="208"/>
      <c r="R727" s="208"/>
    </row>
    <row r="728" spans="3:18" s="205" customFormat="1" x14ac:dyDescent="0.2">
      <c r="C728" s="200"/>
      <c r="E728" s="206"/>
      <c r="F728" s="206"/>
      <c r="G728" s="206"/>
      <c r="H728" s="202"/>
      <c r="M728" s="201"/>
      <c r="P728" s="208"/>
      <c r="Q728" s="208"/>
      <c r="R728" s="208"/>
    </row>
    <row r="729" spans="3:18" s="205" customFormat="1" x14ac:dyDescent="0.2">
      <c r="C729" s="200"/>
      <c r="E729" s="206"/>
      <c r="F729" s="206"/>
      <c r="G729" s="206"/>
      <c r="H729" s="202"/>
      <c r="M729" s="201"/>
      <c r="P729" s="208"/>
      <c r="Q729" s="208"/>
      <c r="R729" s="208"/>
    </row>
    <row r="730" spans="3:18" s="205" customFormat="1" x14ac:dyDescent="0.2">
      <c r="C730" s="200"/>
      <c r="E730" s="206"/>
      <c r="F730" s="206"/>
      <c r="G730" s="206"/>
      <c r="H730" s="202"/>
      <c r="M730" s="201"/>
      <c r="P730" s="208"/>
      <c r="Q730" s="208"/>
      <c r="R730" s="208"/>
    </row>
    <row r="731" spans="3:18" s="205" customFormat="1" x14ac:dyDescent="0.2">
      <c r="C731" s="200"/>
      <c r="E731" s="206"/>
      <c r="F731" s="206"/>
      <c r="G731" s="206"/>
      <c r="H731" s="202"/>
      <c r="P731" s="208"/>
      <c r="Q731" s="208"/>
      <c r="R731" s="208"/>
    </row>
    <row r="732" spans="3:18" s="205" customFormat="1" x14ac:dyDescent="0.2">
      <c r="C732" s="200"/>
      <c r="E732" s="206"/>
      <c r="F732" s="206"/>
      <c r="G732" s="206"/>
      <c r="H732" s="202"/>
      <c r="M732" s="201"/>
      <c r="P732" s="208"/>
      <c r="Q732" s="208"/>
      <c r="R732" s="208"/>
    </row>
    <row r="733" spans="3:18" s="205" customFormat="1" x14ac:dyDescent="0.2">
      <c r="C733" s="200"/>
      <c r="E733" s="206"/>
      <c r="F733" s="206"/>
      <c r="G733" s="206"/>
      <c r="H733" s="202"/>
      <c r="M733" s="201"/>
      <c r="P733" s="208"/>
      <c r="Q733" s="208"/>
      <c r="R733" s="208"/>
    </row>
    <row r="734" spans="3:18" s="205" customFormat="1" x14ac:dyDescent="0.2">
      <c r="C734" s="200"/>
      <c r="E734" s="206"/>
      <c r="F734" s="206"/>
      <c r="G734" s="206"/>
      <c r="H734" s="202"/>
      <c r="M734" s="201"/>
      <c r="P734" s="208"/>
      <c r="Q734" s="208"/>
      <c r="R734" s="208"/>
    </row>
    <row r="735" spans="3:18" s="205" customFormat="1" x14ac:dyDescent="0.2">
      <c r="C735" s="200"/>
      <c r="E735" s="206"/>
      <c r="F735" s="206"/>
      <c r="G735" s="206"/>
      <c r="H735" s="202"/>
      <c r="M735" s="201"/>
      <c r="P735" s="208"/>
      <c r="Q735" s="208"/>
      <c r="R735" s="208"/>
    </row>
    <row r="736" spans="3:18" s="205" customFormat="1" x14ac:dyDescent="0.2">
      <c r="C736" s="200"/>
      <c r="E736" s="206"/>
      <c r="F736" s="206"/>
      <c r="G736" s="206"/>
      <c r="H736" s="202"/>
      <c r="M736" s="201"/>
      <c r="P736" s="208"/>
      <c r="Q736" s="208"/>
      <c r="R736" s="208"/>
    </row>
    <row r="737" spans="3:18" s="205" customFormat="1" x14ac:dyDescent="0.2">
      <c r="C737" s="200"/>
      <c r="E737" s="206"/>
      <c r="F737" s="206"/>
      <c r="G737" s="206"/>
      <c r="H737" s="202"/>
      <c r="M737" s="201"/>
      <c r="P737" s="208"/>
      <c r="Q737" s="208"/>
      <c r="R737" s="208"/>
    </row>
    <row r="738" spans="3:18" s="205" customFormat="1" x14ac:dyDescent="0.2">
      <c r="C738" s="200"/>
      <c r="E738" s="206"/>
      <c r="F738" s="206"/>
      <c r="G738" s="206"/>
      <c r="H738" s="202"/>
      <c r="M738" s="201"/>
      <c r="P738" s="208"/>
      <c r="Q738" s="208"/>
      <c r="R738" s="208"/>
    </row>
    <row r="739" spans="3:18" s="205" customFormat="1" x14ac:dyDescent="0.2">
      <c r="C739" s="200"/>
      <c r="E739" s="206"/>
      <c r="F739" s="206"/>
      <c r="G739" s="206"/>
      <c r="H739" s="202"/>
      <c r="M739" s="201"/>
      <c r="P739" s="208"/>
      <c r="Q739" s="208"/>
      <c r="R739" s="208"/>
    </row>
    <row r="740" spans="3:18" s="205" customFormat="1" x14ac:dyDescent="0.2">
      <c r="C740" s="200"/>
      <c r="E740" s="206"/>
      <c r="F740" s="206"/>
      <c r="G740" s="206"/>
      <c r="H740" s="202"/>
      <c r="M740" s="201"/>
      <c r="P740" s="208"/>
      <c r="Q740" s="208"/>
      <c r="R740" s="208"/>
    </row>
    <row r="741" spans="3:18" s="205" customFormat="1" x14ac:dyDescent="0.2">
      <c r="C741" s="200"/>
      <c r="E741" s="206"/>
      <c r="F741" s="206"/>
      <c r="G741" s="206"/>
      <c r="H741" s="202"/>
      <c r="M741" s="201"/>
      <c r="P741" s="208"/>
      <c r="Q741" s="208"/>
      <c r="R741" s="208"/>
    </row>
    <row r="742" spans="3:18" s="205" customFormat="1" x14ac:dyDescent="0.2">
      <c r="C742" s="200"/>
      <c r="E742" s="206"/>
      <c r="F742" s="206"/>
      <c r="G742" s="206"/>
      <c r="H742" s="202"/>
      <c r="M742" s="201"/>
      <c r="P742" s="208"/>
      <c r="Q742" s="208"/>
      <c r="R742" s="208"/>
    </row>
    <row r="743" spans="3:18" s="205" customFormat="1" x14ac:dyDescent="0.2">
      <c r="C743" s="200"/>
      <c r="E743" s="206"/>
      <c r="F743" s="206"/>
      <c r="G743" s="206"/>
      <c r="H743" s="202"/>
      <c r="M743" s="201"/>
      <c r="P743" s="208"/>
      <c r="Q743" s="208"/>
      <c r="R743" s="208"/>
    </row>
    <row r="744" spans="3:18" s="205" customFormat="1" x14ac:dyDescent="0.2">
      <c r="C744" s="200"/>
      <c r="E744" s="206"/>
      <c r="F744" s="206"/>
      <c r="G744" s="206"/>
      <c r="H744" s="202"/>
      <c r="M744" s="201"/>
      <c r="P744" s="208"/>
      <c r="Q744" s="208"/>
      <c r="R744" s="208"/>
    </row>
    <row r="745" spans="3:18" s="205" customFormat="1" x14ac:dyDescent="0.2">
      <c r="C745" s="200"/>
      <c r="E745" s="206"/>
      <c r="F745" s="206"/>
      <c r="G745" s="206"/>
      <c r="H745" s="202"/>
      <c r="M745" s="201"/>
      <c r="P745" s="208"/>
      <c r="Q745" s="208"/>
      <c r="R745" s="208"/>
    </row>
    <row r="746" spans="3:18" s="205" customFormat="1" x14ac:dyDescent="0.2">
      <c r="C746" s="200"/>
      <c r="E746" s="206"/>
      <c r="F746" s="206"/>
      <c r="G746" s="206"/>
      <c r="H746" s="202"/>
      <c r="M746" s="201"/>
      <c r="P746" s="208"/>
      <c r="Q746" s="208"/>
      <c r="R746" s="208"/>
    </row>
    <row r="747" spans="3:18" s="205" customFormat="1" x14ac:dyDescent="0.2">
      <c r="C747" s="200"/>
      <c r="E747" s="206"/>
      <c r="F747" s="206"/>
      <c r="G747" s="206"/>
      <c r="H747" s="202"/>
      <c r="M747" s="201"/>
      <c r="P747" s="208"/>
      <c r="Q747" s="208"/>
      <c r="R747" s="208"/>
    </row>
    <row r="748" spans="3:18" s="205" customFormat="1" x14ac:dyDescent="0.2">
      <c r="C748" s="200"/>
      <c r="E748" s="206"/>
      <c r="F748" s="206"/>
      <c r="G748" s="206"/>
      <c r="H748" s="202"/>
      <c r="P748" s="208"/>
      <c r="Q748" s="208"/>
      <c r="R748" s="208"/>
    </row>
    <row r="749" spans="3:18" s="205" customFormat="1" x14ac:dyDescent="0.2">
      <c r="C749" s="200"/>
      <c r="E749" s="206"/>
      <c r="F749" s="206"/>
      <c r="G749" s="206"/>
      <c r="H749" s="202"/>
      <c r="M749" s="201"/>
      <c r="P749" s="208"/>
      <c r="Q749" s="208"/>
      <c r="R749" s="208"/>
    </row>
    <row r="750" spans="3:18" s="205" customFormat="1" x14ac:dyDescent="0.2">
      <c r="C750" s="200"/>
      <c r="E750" s="206"/>
      <c r="F750" s="206"/>
      <c r="G750" s="206"/>
      <c r="H750" s="202"/>
      <c r="M750" s="201"/>
      <c r="P750" s="208"/>
      <c r="Q750" s="208"/>
      <c r="R750" s="208"/>
    </row>
    <row r="751" spans="3:18" s="205" customFormat="1" x14ac:dyDescent="0.2">
      <c r="C751" s="200"/>
      <c r="E751" s="206"/>
      <c r="F751" s="206"/>
      <c r="G751" s="206"/>
      <c r="H751" s="202"/>
      <c r="M751" s="201"/>
      <c r="P751" s="208"/>
      <c r="Q751" s="208"/>
      <c r="R751" s="208"/>
    </row>
    <row r="752" spans="3:18" s="205" customFormat="1" ht="11.25" customHeight="1" x14ac:dyDescent="0.2">
      <c r="C752" s="200"/>
      <c r="E752" s="206"/>
      <c r="F752" s="206"/>
      <c r="G752" s="206"/>
      <c r="H752" s="202"/>
      <c r="M752" s="201"/>
      <c r="P752" s="208"/>
      <c r="Q752" s="208"/>
      <c r="R752" s="216"/>
    </row>
    <row r="753" spans="3:18" s="205" customFormat="1" x14ac:dyDescent="0.2">
      <c r="C753" s="200"/>
      <c r="E753" s="206"/>
      <c r="F753" s="206"/>
      <c r="G753" s="206"/>
      <c r="H753" s="202"/>
      <c r="M753" s="201"/>
      <c r="P753" s="208"/>
      <c r="Q753" s="208"/>
      <c r="R753" s="208"/>
    </row>
    <row r="754" spans="3:18" s="205" customFormat="1" x14ac:dyDescent="0.2">
      <c r="C754" s="200"/>
      <c r="E754" s="206"/>
      <c r="F754" s="206"/>
      <c r="G754" s="206"/>
      <c r="H754" s="202"/>
      <c r="M754" s="201"/>
      <c r="P754" s="208"/>
      <c r="Q754" s="208"/>
      <c r="R754" s="208"/>
    </row>
    <row r="755" spans="3:18" s="205" customFormat="1" x14ac:dyDescent="0.2">
      <c r="C755" s="200"/>
      <c r="E755" s="206"/>
      <c r="F755" s="206"/>
      <c r="G755" s="206"/>
      <c r="H755" s="202"/>
      <c r="M755" s="201"/>
      <c r="P755" s="208"/>
      <c r="Q755" s="208"/>
      <c r="R755" s="208"/>
    </row>
    <row r="756" spans="3:18" s="205" customFormat="1" x14ac:dyDescent="0.2">
      <c r="C756" s="200"/>
      <c r="E756" s="206"/>
      <c r="F756" s="206"/>
      <c r="G756" s="206"/>
      <c r="H756" s="202"/>
      <c r="M756" s="201"/>
      <c r="P756" s="208"/>
      <c r="Q756" s="208"/>
      <c r="R756" s="208"/>
    </row>
    <row r="757" spans="3:18" s="205" customFormat="1" x14ac:dyDescent="0.2">
      <c r="C757" s="200"/>
      <c r="E757" s="206"/>
      <c r="F757" s="206"/>
      <c r="G757" s="206"/>
      <c r="H757" s="202"/>
      <c r="M757" s="201"/>
      <c r="P757" s="208"/>
      <c r="Q757" s="208"/>
      <c r="R757" s="208"/>
    </row>
    <row r="758" spans="3:18" s="205" customFormat="1" x14ac:dyDescent="0.2">
      <c r="C758" s="200"/>
      <c r="E758" s="206"/>
      <c r="F758" s="206"/>
      <c r="G758" s="206"/>
      <c r="H758" s="202"/>
      <c r="M758" s="201"/>
      <c r="P758" s="208"/>
      <c r="Q758" s="208"/>
      <c r="R758" s="208"/>
    </row>
    <row r="759" spans="3:18" s="205" customFormat="1" x14ac:dyDescent="0.2">
      <c r="C759" s="200"/>
      <c r="E759" s="206"/>
      <c r="F759" s="206"/>
      <c r="G759" s="206"/>
      <c r="H759" s="202"/>
      <c r="M759" s="201"/>
      <c r="P759" s="208"/>
      <c r="Q759" s="208"/>
      <c r="R759" s="208"/>
    </row>
    <row r="760" spans="3:18" s="205" customFormat="1" x14ac:dyDescent="0.2">
      <c r="C760" s="200"/>
      <c r="E760" s="206"/>
      <c r="F760" s="206"/>
      <c r="G760" s="206"/>
      <c r="H760" s="202"/>
      <c r="M760" s="201"/>
      <c r="P760" s="208"/>
      <c r="Q760" s="208"/>
      <c r="R760" s="208"/>
    </row>
    <row r="761" spans="3:18" s="205" customFormat="1" x14ac:dyDescent="0.2">
      <c r="C761" s="200"/>
      <c r="E761" s="206"/>
      <c r="F761" s="206"/>
      <c r="G761" s="206"/>
      <c r="H761" s="202"/>
      <c r="M761" s="201"/>
      <c r="P761" s="208"/>
      <c r="Q761" s="208"/>
      <c r="R761" s="208"/>
    </row>
    <row r="762" spans="3:18" s="205" customFormat="1" x14ac:dyDescent="0.2">
      <c r="C762" s="200"/>
      <c r="E762" s="206"/>
      <c r="F762" s="206"/>
      <c r="G762" s="206"/>
      <c r="H762" s="202"/>
      <c r="M762" s="201"/>
      <c r="P762" s="208"/>
      <c r="Q762" s="208"/>
      <c r="R762" s="208"/>
    </row>
    <row r="763" spans="3:18" s="205" customFormat="1" x14ac:dyDescent="0.2">
      <c r="C763" s="200"/>
      <c r="E763" s="206"/>
      <c r="F763" s="206"/>
      <c r="G763" s="206"/>
      <c r="H763" s="202"/>
      <c r="M763" s="201"/>
      <c r="P763" s="208"/>
      <c r="Q763" s="208"/>
      <c r="R763" s="208"/>
    </row>
    <row r="764" spans="3:18" s="205" customFormat="1" x14ac:dyDescent="0.2">
      <c r="C764" s="200"/>
      <c r="E764" s="206"/>
      <c r="F764" s="206"/>
      <c r="G764" s="206"/>
      <c r="H764" s="202"/>
      <c r="M764" s="201"/>
      <c r="P764" s="208"/>
      <c r="Q764" s="208"/>
      <c r="R764" s="208"/>
    </row>
    <row r="765" spans="3:18" s="205" customFormat="1" x14ac:dyDescent="0.2">
      <c r="C765" s="200"/>
      <c r="E765" s="206"/>
      <c r="F765" s="206"/>
      <c r="G765" s="206"/>
      <c r="H765" s="202"/>
      <c r="M765" s="201"/>
      <c r="P765" s="208"/>
      <c r="Q765" s="208"/>
      <c r="R765" s="208"/>
    </row>
    <row r="766" spans="3:18" s="205" customFormat="1" x14ac:dyDescent="0.2">
      <c r="C766" s="200"/>
      <c r="E766" s="206"/>
      <c r="F766" s="206"/>
      <c r="G766" s="206"/>
      <c r="H766" s="202"/>
      <c r="M766" s="201"/>
      <c r="P766" s="208"/>
      <c r="Q766" s="208"/>
      <c r="R766" s="208"/>
    </row>
    <row r="767" spans="3:18" s="205" customFormat="1" x14ac:dyDescent="0.2">
      <c r="C767" s="200"/>
      <c r="E767" s="206"/>
      <c r="F767" s="206"/>
      <c r="G767" s="206"/>
      <c r="H767" s="202"/>
      <c r="M767" s="201"/>
      <c r="P767" s="208"/>
      <c r="Q767" s="208"/>
      <c r="R767" s="208"/>
    </row>
    <row r="768" spans="3:18" s="205" customFormat="1" x14ac:dyDescent="0.2">
      <c r="C768" s="200"/>
      <c r="E768" s="206"/>
      <c r="F768" s="206"/>
      <c r="G768" s="206"/>
      <c r="H768" s="202"/>
      <c r="M768" s="201"/>
      <c r="P768" s="208"/>
      <c r="Q768" s="208"/>
      <c r="R768" s="208"/>
    </row>
    <row r="769" spans="3:18" s="205" customFormat="1" x14ac:dyDescent="0.2">
      <c r="C769" s="200"/>
      <c r="E769" s="206"/>
      <c r="F769" s="206"/>
      <c r="G769" s="206"/>
      <c r="H769" s="202"/>
      <c r="M769" s="201"/>
      <c r="P769" s="208"/>
      <c r="Q769" s="208"/>
      <c r="R769" s="216"/>
    </row>
    <row r="770" spans="3:18" s="205" customFormat="1" x14ac:dyDescent="0.2">
      <c r="C770" s="200"/>
      <c r="E770" s="206"/>
      <c r="F770" s="206"/>
      <c r="G770" s="206"/>
      <c r="H770" s="202"/>
      <c r="M770" s="201"/>
      <c r="P770" s="208"/>
      <c r="Q770" s="208"/>
      <c r="R770" s="208"/>
    </row>
    <row r="771" spans="3:18" s="205" customFormat="1" x14ac:dyDescent="0.2">
      <c r="C771" s="200"/>
      <c r="E771" s="206"/>
      <c r="F771" s="206"/>
      <c r="G771" s="206"/>
      <c r="H771" s="202"/>
      <c r="M771" s="201"/>
      <c r="P771" s="208"/>
      <c r="Q771" s="208"/>
      <c r="R771" s="208"/>
    </row>
    <row r="772" spans="3:18" s="205" customFormat="1" x14ac:dyDescent="0.2">
      <c r="C772" s="200"/>
      <c r="E772" s="206"/>
      <c r="F772" s="206"/>
      <c r="G772" s="206"/>
      <c r="H772" s="202"/>
      <c r="M772" s="201"/>
      <c r="P772" s="208"/>
      <c r="Q772" s="208"/>
      <c r="R772" s="208"/>
    </row>
    <row r="773" spans="3:18" s="205" customFormat="1" x14ac:dyDescent="0.2">
      <c r="C773" s="200"/>
      <c r="E773" s="206"/>
      <c r="F773" s="206"/>
      <c r="G773" s="206"/>
      <c r="H773" s="202"/>
      <c r="M773" s="201"/>
      <c r="P773" s="208"/>
      <c r="Q773" s="208"/>
      <c r="R773" s="208"/>
    </row>
    <row r="774" spans="3:18" s="205" customFormat="1" x14ac:dyDescent="0.2">
      <c r="C774" s="200"/>
      <c r="E774" s="206"/>
      <c r="F774" s="206"/>
      <c r="G774" s="206"/>
      <c r="H774" s="202"/>
      <c r="M774" s="201"/>
      <c r="P774" s="208"/>
      <c r="Q774" s="208"/>
      <c r="R774" s="208"/>
    </row>
    <row r="775" spans="3:18" s="205" customFormat="1" x14ac:dyDescent="0.2">
      <c r="C775" s="200"/>
      <c r="E775" s="206"/>
      <c r="F775" s="206"/>
      <c r="G775" s="206"/>
      <c r="H775" s="202"/>
      <c r="M775" s="201"/>
      <c r="P775" s="208"/>
      <c r="Q775" s="208"/>
      <c r="R775" s="208"/>
    </row>
    <row r="776" spans="3:18" s="205" customFormat="1" x14ac:dyDescent="0.2">
      <c r="C776" s="200"/>
      <c r="E776" s="206"/>
      <c r="F776" s="206"/>
      <c r="G776" s="206"/>
      <c r="H776" s="202"/>
      <c r="M776" s="201"/>
      <c r="P776" s="208"/>
      <c r="Q776" s="208"/>
      <c r="R776" s="208"/>
    </row>
    <row r="777" spans="3:18" s="205" customFormat="1" x14ac:dyDescent="0.2">
      <c r="C777" s="200"/>
      <c r="E777" s="206"/>
      <c r="F777" s="206"/>
      <c r="G777" s="206"/>
      <c r="H777" s="202"/>
      <c r="M777" s="201"/>
      <c r="P777" s="208"/>
      <c r="Q777" s="208"/>
      <c r="R777" s="208"/>
    </row>
    <row r="778" spans="3:18" s="205" customFormat="1" x14ac:dyDescent="0.2">
      <c r="C778" s="200"/>
      <c r="E778" s="206"/>
      <c r="F778" s="206"/>
      <c r="G778" s="206"/>
      <c r="H778" s="202"/>
      <c r="M778" s="201"/>
      <c r="P778" s="208"/>
      <c r="Q778" s="208"/>
      <c r="R778" s="208"/>
    </row>
    <row r="779" spans="3:18" s="205" customFormat="1" x14ac:dyDescent="0.2">
      <c r="C779" s="200"/>
      <c r="E779" s="206"/>
      <c r="F779" s="206"/>
      <c r="G779" s="206"/>
      <c r="H779" s="202"/>
      <c r="M779" s="201"/>
      <c r="P779" s="216"/>
      <c r="Q779" s="216"/>
      <c r="R779" s="208"/>
    </row>
    <row r="780" spans="3:18" s="205" customFormat="1" x14ac:dyDescent="0.2">
      <c r="C780" s="200"/>
      <c r="E780" s="206"/>
      <c r="F780" s="206"/>
      <c r="G780" s="206"/>
      <c r="H780" s="202"/>
      <c r="M780" s="201"/>
      <c r="P780" s="208"/>
      <c r="Q780" s="208"/>
      <c r="R780" s="208"/>
    </row>
    <row r="781" spans="3:18" s="205" customFormat="1" x14ac:dyDescent="0.2">
      <c r="C781" s="200"/>
      <c r="E781" s="206"/>
      <c r="F781" s="206"/>
      <c r="G781" s="206"/>
      <c r="H781" s="202"/>
      <c r="M781" s="201"/>
      <c r="P781" s="208"/>
      <c r="Q781" s="208"/>
      <c r="R781" s="208"/>
    </row>
    <row r="782" spans="3:18" s="205" customFormat="1" x14ac:dyDescent="0.2">
      <c r="C782" s="200"/>
      <c r="E782" s="206"/>
      <c r="F782" s="206"/>
      <c r="G782" s="206"/>
      <c r="H782" s="202"/>
      <c r="M782" s="201"/>
      <c r="P782" s="208"/>
      <c r="Q782" s="208"/>
      <c r="R782" s="208"/>
    </row>
    <row r="783" spans="3:18" s="205" customFormat="1" x14ac:dyDescent="0.2">
      <c r="C783" s="200"/>
      <c r="E783" s="206"/>
      <c r="F783" s="206"/>
      <c r="G783" s="206"/>
      <c r="H783" s="202"/>
      <c r="M783" s="201"/>
      <c r="P783" s="208"/>
      <c r="Q783" s="208"/>
      <c r="R783" s="208"/>
    </row>
    <row r="784" spans="3:18" s="205" customFormat="1" x14ac:dyDescent="0.2">
      <c r="C784" s="200"/>
      <c r="E784" s="206"/>
      <c r="F784" s="206"/>
      <c r="G784" s="206"/>
      <c r="H784" s="202"/>
      <c r="M784" s="201"/>
      <c r="P784" s="216"/>
      <c r="Q784" s="216"/>
      <c r="R784" s="216"/>
    </row>
    <row r="785" spans="3:18" s="205" customFormat="1" x14ac:dyDescent="0.2">
      <c r="C785" s="200"/>
      <c r="E785" s="206"/>
      <c r="F785" s="206"/>
      <c r="G785" s="206"/>
      <c r="H785" s="202"/>
      <c r="M785" s="201"/>
      <c r="P785" s="208"/>
      <c r="Q785" s="208"/>
      <c r="R785" s="208"/>
    </row>
    <row r="786" spans="3:18" s="205" customFormat="1" x14ac:dyDescent="0.2">
      <c r="C786" s="200"/>
      <c r="E786" s="206"/>
      <c r="F786" s="206"/>
      <c r="G786" s="206"/>
      <c r="H786" s="202"/>
      <c r="M786" s="201"/>
      <c r="P786" s="208"/>
      <c r="Q786" s="208"/>
      <c r="R786" s="216"/>
    </row>
    <row r="787" spans="3:18" s="205" customFormat="1" x14ac:dyDescent="0.2">
      <c r="C787" s="200"/>
      <c r="E787" s="206"/>
      <c r="F787" s="206"/>
      <c r="G787" s="206"/>
      <c r="H787" s="202"/>
      <c r="M787" s="201"/>
      <c r="P787" s="208"/>
      <c r="Q787" s="208"/>
      <c r="R787" s="208"/>
    </row>
    <row r="788" spans="3:18" s="205" customFormat="1" x14ac:dyDescent="0.2">
      <c r="C788" s="200"/>
      <c r="E788" s="206"/>
      <c r="F788" s="206"/>
      <c r="G788" s="206"/>
      <c r="H788" s="202"/>
      <c r="M788" s="201"/>
      <c r="P788" s="208"/>
      <c r="Q788" s="208"/>
      <c r="R788" s="208"/>
    </row>
    <row r="789" spans="3:18" s="205" customFormat="1" x14ac:dyDescent="0.2">
      <c r="C789" s="200"/>
      <c r="E789" s="206"/>
      <c r="F789" s="206"/>
      <c r="G789" s="206"/>
      <c r="H789" s="202"/>
      <c r="M789" s="201"/>
      <c r="P789" s="208"/>
      <c r="Q789" s="208"/>
      <c r="R789" s="208"/>
    </row>
    <row r="790" spans="3:18" s="205" customFormat="1" x14ac:dyDescent="0.2">
      <c r="C790" s="200"/>
      <c r="E790" s="206"/>
      <c r="F790" s="206"/>
      <c r="G790" s="206"/>
      <c r="H790" s="202"/>
      <c r="M790" s="201"/>
      <c r="P790" s="208"/>
      <c r="Q790" s="208"/>
      <c r="R790" s="208"/>
    </row>
    <row r="791" spans="3:18" s="205" customFormat="1" x14ac:dyDescent="0.2">
      <c r="C791" s="200"/>
      <c r="E791" s="206"/>
      <c r="F791" s="206"/>
      <c r="G791" s="206"/>
      <c r="H791" s="202"/>
      <c r="M791" s="201"/>
      <c r="P791" s="208"/>
      <c r="Q791" s="208"/>
      <c r="R791" s="208"/>
    </row>
    <row r="792" spans="3:18" s="205" customFormat="1" x14ac:dyDescent="0.2">
      <c r="C792" s="200"/>
      <c r="E792" s="206"/>
      <c r="F792" s="206"/>
      <c r="G792" s="206"/>
      <c r="H792" s="202"/>
      <c r="M792" s="201"/>
      <c r="P792" s="208"/>
      <c r="Q792" s="208"/>
      <c r="R792" s="208"/>
    </row>
    <row r="793" spans="3:18" s="205" customFormat="1" x14ac:dyDescent="0.2">
      <c r="C793" s="200"/>
      <c r="E793" s="206"/>
      <c r="F793" s="206"/>
      <c r="G793" s="206"/>
      <c r="H793" s="202"/>
      <c r="M793" s="201"/>
      <c r="P793" s="208"/>
      <c r="Q793" s="208"/>
      <c r="R793" s="208"/>
    </row>
    <row r="794" spans="3:18" s="205" customFormat="1" x14ac:dyDescent="0.2">
      <c r="C794" s="200"/>
      <c r="E794" s="206"/>
      <c r="F794" s="206"/>
      <c r="G794" s="206"/>
      <c r="H794" s="202"/>
      <c r="M794" s="201"/>
      <c r="P794" s="208"/>
      <c r="Q794" s="208"/>
      <c r="R794" s="208"/>
    </row>
    <row r="795" spans="3:18" s="205" customFormat="1" x14ac:dyDescent="0.2">
      <c r="C795" s="200"/>
      <c r="E795" s="206"/>
      <c r="F795" s="206"/>
      <c r="G795" s="206"/>
      <c r="H795" s="202"/>
      <c r="M795" s="201"/>
      <c r="P795" s="208"/>
      <c r="Q795" s="208"/>
      <c r="R795" s="208"/>
    </row>
    <row r="796" spans="3:18" s="205" customFormat="1" x14ac:dyDescent="0.2">
      <c r="C796" s="200"/>
      <c r="E796" s="206"/>
      <c r="F796" s="206"/>
      <c r="G796" s="206"/>
      <c r="H796" s="202"/>
      <c r="M796" s="201"/>
      <c r="P796" s="208"/>
      <c r="Q796" s="208"/>
      <c r="R796" s="208"/>
    </row>
    <row r="797" spans="3:18" s="205" customFormat="1" x14ac:dyDescent="0.2">
      <c r="C797" s="200"/>
      <c r="E797" s="206"/>
      <c r="F797" s="206"/>
      <c r="G797" s="206"/>
      <c r="H797" s="202"/>
      <c r="M797" s="201"/>
      <c r="P797" s="208"/>
      <c r="Q797" s="208"/>
      <c r="R797" s="208"/>
    </row>
    <row r="798" spans="3:18" s="205" customFormat="1" x14ac:dyDescent="0.2">
      <c r="C798" s="200"/>
      <c r="E798" s="206"/>
      <c r="F798" s="206"/>
      <c r="G798" s="206"/>
      <c r="H798" s="202"/>
      <c r="M798" s="201"/>
      <c r="P798" s="208"/>
      <c r="Q798" s="208"/>
      <c r="R798" s="208"/>
    </row>
    <row r="799" spans="3:18" s="205" customFormat="1" x14ac:dyDescent="0.2">
      <c r="C799" s="200"/>
      <c r="E799" s="206"/>
      <c r="F799" s="206"/>
      <c r="G799" s="206"/>
      <c r="H799" s="202"/>
      <c r="M799" s="201"/>
      <c r="P799" s="208"/>
      <c r="Q799" s="208"/>
      <c r="R799" s="208"/>
    </row>
    <row r="800" spans="3:18" s="205" customFormat="1" x14ac:dyDescent="0.2">
      <c r="C800" s="200"/>
      <c r="E800" s="206"/>
      <c r="F800" s="206"/>
      <c r="G800" s="206"/>
      <c r="H800" s="202"/>
      <c r="M800" s="201"/>
      <c r="P800" s="208"/>
      <c r="Q800" s="208"/>
      <c r="R800" s="208"/>
    </row>
    <row r="801" spans="3:18" s="205" customFormat="1" x14ac:dyDescent="0.2">
      <c r="C801" s="200"/>
      <c r="E801" s="206"/>
      <c r="F801" s="206"/>
      <c r="G801" s="206"/>
      <c r="H801" s="202"/>
      <c r="M801" s="201"/>
      <c r="P801" s="208"/>
      <c r="Q801" s="208"/>
      <c r="R801" s="208"/>
    </row>
    <row r="802" spans="3:18" s="205" customFormat="1" x14ac:dyDescent="0.2">
      <c r="C802" s="200"/>
      <c r="E802" s="206"/>
      <c r="F802" s="206"/>
      <c r="G802" s="206"/>
      <c r="H802" s="202"/>
      <c r="M802" s="201"/>
      <c r="P802" s="208"/>
      <c r="Q802" s="208"/>
      <c r="R802" s="208"/>
    </row>
    <row r="803" spans="3:18" s="205" customFormat="1" x14ac:dyDescent="0.2">
      <c r="C803" s="200"/>
      <c r="E803" s="206"/>
      <c r="F803" s="206"/>
      <c r="G803" s="206"/>
      <c r="H803" s="202"/>
      <c r="M803" s="201"/>
      <c r="P803" s="208"/>
      <c r="Q803" s="208"/>
      <c r="R803" s="208"/>
    </row>
    <row r="804" spans="3:18" s="205" customFormat="1" x14ac:dyDescent="0.2">
      <c r="C804" s="200"/>
      <c r="E804" s="206"/>
      <c r="F804" s="206"/>
      <c r="G804" s="206"/>
      <c r="H804" s="202"/>
      <c r="M804" s="201"/>
      <c r="P804" s="208"/>
      <c r="Q804" s="208"/>
      <c r="R804" s="208"/>
    </row>
    <row r="805" spans="3:18" s="205" customFormat="1" x14ac:dyDescent="0.2">
      <c r="C805" s="200"/>
      <c r="E805" s="206"/>
      <c r="F805" s="206"/>
      <c r="G805" s="206"/>
      <c r="H805" s="202"/>
      <c r="M805" s="201"/>
      <c r="P805" s="208"/>
      <c r="Q805" s="208"/>
      <c r="R805" s="208"/>
    </row>
    <row r="806" spans="3:18" s="205" customFormat="1" x14ac:dyDescent="0.2">
      <c r="C806" s="200"/>
      <c r="E806" s="206"/>
      <c r="F806" s="206"/>
      <c r="G806" s="206"/>
      <c r="H806" s="202"/>
      <c r="M806" s="201"/>
      <c r="P806" s="208"/>
      <c r="Q806" s="208"/>
      <c r="R806" s="208"/>
    </row>
    <row r="807" spans="3:18" s="205" customFormat="1" x14ac:dyDescent="0.2">
      <c r="C807" s="200"/>
      <c r="E807" s="206"/>
      <c r="F807" s="206"/>
      <c r="G807" s="206"/>
      <c r="H807" s="202"/>
      <c r="M807" s="201"/>
      <c r="P807" s="208"/>
      <c r="Q807" s="208"/>
      <c r="R807" s="208"/>
    </row>
    <row r="808" spans="3:18" s="205" customFormat="1" x14ac:dyDescent="0.2">
      <c r="C808" s="200"/>
      <c r="E808" s="206"/>
      <c r="F808" s="206"/>
      <c r="G808" s="206"/>
      <c r="H808" s="202"/>
      <c r="M808" s="201"/>
      <c r="P808" s="208"/>
      <c r="Q808" s="208"/>
      <c r="R808" s="208"/>
    </row>
    <row r="809" spans="3:18" s="205" customFormat="1" x14ac:dyDescent="0.2">
      <c r="C809" s="200"/>
      <c r="E809" s="206"/>
      <c r="F809" s="206"/>
      <c r="G809" s="206"/>
      <c r="H809" s="202"/>
      <c r="M809" s="201"/>
      <c r="P809" s="208"/>
      <c r="Q809" s="208"/>
      <c r="R809" s="208"/>
    </row>
    <row r="810" spans="3:18" s="205" customFormat="1" x14ac:dyDescent="0.2">
      <c r="C810" s="200"/>
      <c r="E810" s="206"/>
      <c r="F810" s="206"/>
      <c r="G810" s="206"/>
      <c r="H810" s="202"/>
      <c r="M810" s="201"/>
      <c r="P810" s="208"/>
      <c r="Q810" s="208"/>
      <c r="R810" s="208"/>
    </row>
    <row r="811" spans="3:18" s="205" customFormat="1" x14ac:dyDescent="0.2">
      <c r="C811" s="200"/>
      <c r="E811" s="206"/>
      <c r="F811" s="206"/>
      <c r="G811" s="206"/>
      <c r="H811" s="202"/>
      <c r="M811" s="201"/>
      <c r="P811" s="208"/>
      <c r="Q811" s="208"/>
      <c r="R811" s="208"/>
    </row>
    <row r="812" spans="3:18" s="205" customFormat="1" x14ac:dyDescent="0.2">
      <c r="C812" s="200"/>
      <c r="E812" s="206"/>
      <c r="F812" s="206"/>
      <c r="G812" s="206"/>
      <c r="H812" s="202"/>
      <c r="M812" s="201"/>
      <c r="P812" s="208"/>
      <c r="Q812" s="208"/>
      <c r="R812" s="208"/>
    </row>
    <row r="813" spans="3:18" s="205" customFormat="1" x14ac:dyDescent="0.2">
      <c r="C813" s="200"/>
      <c r="E813" s="206"/>
      <c r="F813" s="206"/>
      <c r="G813" s="206"/>
      <c r="H813" s="202"/>
      <c r="M813" s="201"/>
      <c r="P813" s="208"/>
      <c r="Q813" s="208"/>
      <c r="R813" s="208"/>
    </row>
    <row r="814" spans="3:18" s="205" customFormat="1" x14ac:dyDescent="0.2">
      <c r="C814" s="200"/>
      <c r="E814" s="206"/>
      <c r="F814" s="206"/>
      <c r="G814" s="206"/>
      <c r="H814" s="202"/>
      <c r="M814" s="201"/>
      <c r="P814" s="208"/>
      <c r="Q814" s="208"/>
      <c r="R814" s="208"/>
    </row>
    <row r="815" spans="3:18" s="205" customFormat="1" x14ac:dyDescent="0.2">
      <c r="C815" s="200"/>
      <c r="E815" s="206"/>
      <c r="F815" s="206"/>
      <c r="G815" s="206"/>
      <c r="H815" s="202"/>
      <c r="M815" s="201"/>
      <c r="P815" s="208"/>
      <c r="Q815" s="208"/>
      <c r="R815" s="208"/>
    </row>
    <row r="816" spans="3:18" s="205" customFormat="1" x14ac:dyDescent="0.2">
      <c r="C816" s="200"/>
      <c r="E816" s="206"/>
      <c r="F816" s="206"/>
      <c r="G816" s="206"/>
      <c r="H816" s="202"/>
      <c r="M816" s="201"/>
      <c r="P816" s="208"/>
      <c r="Q816" s="208"/>
      <c r="R816" s="208"/>
    </row>
    <row r="817" spans="3:18" s="205" customFormat="1" x14ac:dyDescent="0.2">
      <c r="C817" s="200"/>
      <c r="E817" s="206"/>
      <c r="F817" s="206"/>
      <c r="G817" s="206"/>
      <c r="H817" s="202"/>
      <c r="M817" s="201"/>
      <c r="P817" s="208"/>
      <c r="Q817" s="208"/>
      <c r="R817" s="208"/>
    </row>
    <row r="818" spans="3:18" s="205" customFormat="1" x14ac:dyDescent="0.2">
      <c r="C818" s="200"/>
      <c r="E818" s="206"/>
      <c r="F818" s="206"/>
      <c r="G818" s="206"/>
      <c r="H818" s="202"/>
      <c r="M818" s="201"/>
      <c r="P818" s="208"/>
      <c r="Q818" s="208"/>
      <c r="R818" s="208"/>
    </row>
    <row r="819" spans="3:18" s="205" customFormat="1" x14ac:dyDescent="0.2">
      <c r="C819" s="200"/>
      <c r="E819" s="206"/>
      <c r="F819" s="206"/>
      <c r="G819" s="206"/>
      <c r="H819" s="202"/>
      <c r="M819" s="201"/>
      <c r="P819" s="208"/>
      <c r="Q819" s="208"/>
      <c r="R819" s="208"/>
    </row>
    <row r="820" spans="3:18" s="205" customFormat="1" x14ac:dyDescent="0.2">
      <c r="C820" s="200"/>
      <c r="E820" s="206"/>
      <c r="F820" s="206"/>
      <c r="G820" s="206"/>
      <c r="H820" s="202"/>
      <c r="M820" s="201"/>
      <c r="P820" s="208"/>
      <c r="Q820" s="208"/>
      <c r="R820" s="208"/>
    </row>
    <row r="821" spans="3:18" s="205" customFormat="1" x14ac:dyDescent="0.2">
      <c r="C821" s="200"/>
      <c r="E821" s="206"/>
      <c r="F821" s="206"/>
      <c r="G821" s="206"/>
      <c r="H821" s="202"/>
      <c r="M821" s="201"/>
      <c r="P821" s="208"/>
      <c r="Q821" s="208"/>
      <c r="R821" s="208"/>
    </row>
    <row r="822" spans="3:18" s="205" customFormat="1" x14ac:dyDescent="0.2">
      <c r="C822" s="200"/>
      <c r="E822" s="206"/>
      <c r="F822" s="206"/>
      <c r="G822" s="206"/>
      <c r="H822" s="202"/>
      <c r="M822" s="201"/>
      <c r="P822" s="208"/>
      <c r="Q822" s="208"/>
      <c r="R822" s="208"/>
    </row>
    <row r="823" spans="3:18" s="205" customFormat="1" x14ac:dyDescent="0.2">
      <c r="C823" s="200"/>
      <c r="E823" s="206"/>
      <c r="F823" s="206"/>
      <c r="G823" s="206"/>
      <c r="H823" s="202"/>
      <c r="M823" s="201"/>
      <c r="P823" s="214"/>
      <c r="Q823" s="214"/>
      <c r="R823" s="214"/>
    </row>
    <row r="824" spans="3:18" s="205" customFormat="1" x14ac:dyDescent="0.2">
      <c r="C824" s="200"/>
      <c r="E824" s="206"/>
      <c r="F824" s="206"/>
      <c r="G824" s="206"/>
      <c r="H824" s="202"/>
      <c r="M824" s="201"/>
      <c r="P824" s="214"/>
      <c r="Q824" s="214"/>
      <c r="R824" s="214"/>
    </row>
    <row r="825" spans="3:18" s="205" customFormat="1" x14ac:dyDescent="0.2">
      <c r="C825" s="200"/>
      <c r="E825" s="206"/>
      <c r="F825" s="206"/>
      <c r="G825" s="206"/>
      <c r="H825" s="202"/>
      <c r="M825" s="201"/>
      <c r="P825" s="214"/>
      <c r="Q825" s="214"/>
      <c r="R825" s="214"/>
    </row>
    <row r="826" spans="3:18" s="205" customFormat="1" x14ac:dyDescent="0.2">
      <c r="C826" s="200"/>
      <c r="E826" s="206"/>
      <c r="F826" s="206"/>
      <c r="G826" s="206"/>
      <c r="H826" s="202"/>
      <c r="M826" s="201"/>
      <c r="P826" s="214"/>
      <c r="Q826" s="214"/>
      <c r="R826" s="214"/>
    </row>
    <row r="827" spans="3:18" s="205" customFormat="1" x14ac:dyDescent="0.2">
      <c r="C827" s="200"/>
      <c r="E827" s="206"/>
      <c r="F827" s="206"/>
      <c r="G827" s="206"/>
      <c r="H827" s="202"/>
      <c r="M827" s="201"/>
      <c r="P827" s="214"/>
      <c r="Q827" s="214"/>
      <c r="R827" s="214"/>
    </row>
    <row r="828" spans="3:18" s="205" customFormat="1" x14ac:dyDescent="0.2">
      <c r="C828" s="200"/>
      <c r="E828" s="206"/>
      <c r="F828" s="206"/>
      <c r="G828" s="206"/>
      <c r="H828" s="202"/>
      <c r="M828" s="201"/>
      <c r="P828" s="214"/>
      <c r="Q828" s="214"/>
      <c r="R828" s="214"/>
    </row>
    <row r="829" spans="3:18" s="205" customFormat="1" x14ac:dyDescent="0.2">
      <c r="C829" s="200"/>
      <c r="E829" s="206"/>
      <c r="F829" s="206"/>
      <c r="G829" s="206"/>
      <c r="H829" s="202"/>
      <c r="M829" s="201"/>
      <c r="P829" s="214"/>
      <c r="Q829" s="214"/>
      <c r="R829" s="214"/>
    </row>
    <row r="830" spans="3:18" s="205" customFormat="1" x14ac:dyDescent="0.2">
      <c r="C830" s="200"/>
      <c r="E830" s="206"/>
      <c r="F830" s="206"/>
      <c r="G830" s="206"/>
      <c r="H830" s="202"/>
      <c r="M830" s="201"/>
      <c r="P830" s="214"/>
      <c r="Q830" s="214"/>
      <c r="R830" s="214"/>
    </row>
    <row r="831" spans="3:18" s="205" customFormat="1" x14ac:dyDescent="0.2">
      <c r="C831" s="200"/>
      <c r="E831" s="206"/>
      <c r="F831" s="206"/>
      <c r="G831" s="206"/>
      <c r="H831" s="202"/>
      <c r="M831" s="201"/>
      <c r="P831" s="214"/>
      <c r="Q831" s="214"/>
      <c r="R831" s="214"/>
    </row>
    <row r="832" spans="3:18" s="205" customFormat="1" x14ac:dyDescent="0.2">
      <c r="C832" s="200"/>
      <c r="E832" s="206"/>
      <c r="F832" s="206"/>
      <c r="G832" s="206"/>
      <c r="H832" s="202"/>
      <c r="M832" s="201"/>
      <c r="P832" s="214"/>
      <c r="Q832" s="214"/>
      <c r="R832" s="214"/>
    </row>
    <row r="833" spans="3:18" s="205" customFormat="1" x14ac:dyDescent="0.2">
      <c r="C833" s="200"/>
      <c r="E833" s="206"/>
      <c r="F833" s="206"/>
      <c r="G833" s="206"/>
      <c r="H833" s="202"/>
      <c r="M833" s="201"/>
      <c r="P833" s="214"/>
      <c r="Q833" s="214"/>
      <c r="R833" s="214"/>
    </row>
    <row r="834" spans="3:18" s="205" customFormat="1" x14ac:dyDescent="0.2">
      <c r="C834" s="200"/>
      <c r="E834" s="206"/>
      <c r="F834" s="206"/>
      <c r="G834" s="206"/>
      <c r="H834" s="202"/>
      <c r="M834" s="201"/>
      <c r="P834" s="214"/>
      <c r="Q834" s="214"/>
      <c r="R834" s="214"/>
    </row>
    <row r="835" spans="3:18" s="205" customFormat="1" x14ac:dyDescent="0.2">
      <c r="C835" s="200"/>
      <c r="E835" s="206"/>
      <c r="F835" s="206"/>
      <c r="G835" s="206"/>
      <c r="H835" s="202"/>
      <c r="M835" s="201"/>
      <c r="P835" s="214"/>
      <c r="Q835" s="214"/>
      <c r="R835" s="214"/>
    </row>
    <row r="836" spans="3:18" s="205" customFormat="1" x14ac:dyDescent="0.2">
      <c r="C836" s="200"/>
      <c r="E836" s="206"/>
      <c r="F836" s="206"/>
      <c r="G836" s="206"/>
      <c r="H836" s="202"/>
      <c r="M836" s="201"/>
      <c r="P836" s="214"/>
      <c r="Q836" s="214"/>
      <c r="R836" s="214"/>
    </row>
    <row r="837" spans="3:18" s="205" customFormat="1" x14ac:dyDescent="0.2">
      <c r="C837" s="200"/>
      <c r="E837" s="206"/>
      <c r="F837" s="206"/>
      <c r="G837" s="206"/>
      <c r="H837" s="202"/>
      <c r="M837" s="201"/>
      <c r="P837" s="214"/>
      <c r="Q837" s="214"/>
      <c r="R837" s="214"/>
    </row>
    <row r="838" spans="3:18" s="205" customFormat="1" x14ac:dyDescent="0.2">
      <c r="C838" s="200"/>
      <c r="E838" s="206"/>
      <c r="F838" s="206"/>
      <c r="G838" s="206"/>
      <c r="H838" s="202"/>
      <c r="M838" s="201"/>
      <c r="P838" s="214"/>
      <c r="Q838" s="214"/>
      <c r="R838" s="214"/>
    </row>
    <row r="839" spans="3:18" s="205" customFormat="1" x14ac:dyDescent="0.2">
      <c r="C839" s="200"/>
      <c r="E839" s="206"/>
      <c r="F839" s="206"/>
      <c r="G839" s="206"/>
      <c r="H839" s="202"/>
      <c r="M839" s="201"/>
      <c r="P839" s="214"/>
      <c r="Q839" s="214"/>
      <c r="R839" s="214"/>
    </row>
    <row r="840" spans="3:18" s="205" customFormat="1" x14ac:dyDescent="0.2">
      <c r="C840" s="200"/>
      <c r="E840" s="206"/>
      <c r="F840" s="206"/>
      <c r="G840" s="206"/>
      <c r="H840" s="202"/>
      <c r="M840" s="201"/>
      <c r="P840" s="214"/>
      <c r="Q840" s="214"/>
      <c r="R840" s="214"/>
    </row>
    <row r="841" spans="3:18" s="205" customFormat="1" x14ac:dyDescent="0.2">
      <c r="C841" s="200"/>
      <c r="E841" s="206"/>
      <c r="F841" s="206"/>
      <c r="G841" s="206"/>
      <c r="H841" s="202"/>
      <c r="M841" s="201"/>
      <c r="P841" s="214"/>
      <c r="Q841" s="214"/>
      <c r="R841" s="214"/>
    </row>
    <row r="842" spans="3:18" s="205" customFormat="1" x14ac:dyDescent="0.2">
      <c r="C842" s="200"/>
      <c r="E842" s="206"/>
      <c r="F842" s="206"/>
      <c r="G842" s="206"/>
      <c r="H842" s="202"/>
      <c r="M842" s="201"/>
      <c r="P842" s="214"/>
      <c r="Q842" s="214"/>
      <c r="R842" s="214"/>
    </row>
    <row r="843" spans="3:18" s="205" customFormat="1" x14ac:dyDescent="0.2">
      <c r="C843" s="200"/>
      <c r="E843" s="206"/>
      <c r="F843" s="206"/>
      <c r="G843" s="206"/>
      <c r="H843" s="202"/>
      <c r="M843" s="201"/>
      <c r="P843" s="214"/>
      <c r="Q843" s="214"/>
      <c r="R843" s="214"/>
    </row>
    <row r="844" spans="3:18" s="205" customFormat="1" x14ac:dyDescent="0.2">
      <c r="C844" s="200"/>
      <c r="E844" s="206"/>
      <c r="F844" s="206"/>
      <c r="G844" s="206"/>
      <c r="H844" s="202"/>
      <c r="M844" s="201"/>
      <c r="P844" s="214"/>
      <c r="Q844" s="214"/>
      <c r="R844" s="214"/>
    </row>
    <row r="845" spans="3:18" s="205" customFormat="1" x14ac:dyDescent="0.2">
      <c r="C845" s="200"/>
      <c r="E845" s="206"/>
      <c r="F845" s="206"/>
      <c r="G845" s="206"/>
      <c r="H845" s="202"/>
      <c r="M845" s="201"/>
      <c r="P845" s="214"/>
      <c r="Q845" s="214"/>
      <c r="R845" s="214"/>
    </row>
    <row r="846" spans="3:18" s="205" customFormat="1" x14ac:dyDescent="0.2">
      <c r="C846" s="200"/>
      <c r="E846" s="206"/>
      <c r="F846" s="206"/>
      <c r="G846" s="206"/>
      <c r="H846" s="202"/>
      <c r="M846" s="201"/>
      <c r="P846" s="214"/>
      <c r="Q846" s="214"/>
      <c r="R846" s="214"/>
    </row>
    <row r="847" spans="3:18" s="205" customFormat="1" x14ac:dyDescent="0.2">
      <c r="C847" s="200"/>
      <c r="E847" s="206"/>
      <c r="F847" s="206"/>
      <c r="G847" s="206"/>
      <c r="H847" s="202"/>
      <c r="M847" s="201"/>
      <c r="P847" s="214"/>
      <c r="Q847" s="214"/>
      <c r="R847" s="214"/>
    </row>
    <row r="848" spans="3:18" s="205" customFormat="1" x14ac:dyDescent="0.2">
      <c r="C848" s="200"/>
      <c r="E848" s="206"/>
      <c r="F848" s="206"/>
      <c r="G848" s="206"/>
      <c r="H848" s="202"/>
      <c r="M848" s="201"/>
      <c r="P848" s="214"/>
      <c r="Q848" s="214"/>
      <c r="R848" s="214"/>
    </row>
    <row r="849" spans="3:18" s="205" customFormat="1" x14ac:dyDescent="0.2">
      <c r="C849" s="200"/>
      <c r="E849" s="206"/>
      <c r="F849" s="206"/>
      <c r="G849" s="206"/>
      <c r="H849" s="202"/>
      <c r="M849" s="201"/>
      <c r="P849" s="214"/>
      <c r="Q849" s="214"/>
      <c r="R849" s="214"/>
    </row>
    <row r="850" spans="3:18" s="205" customFormat="1" x14ac:dyDescent="0.2">
      <c r="C850" s="200"/>
      <c r="E850" s="206"/>
      <c r="F850" s="206"/>
      <c r="G850" s="206"/>
      <c r="H850" s="202"/>
      <c r="M850" s="201"/>
      <c r="P850" s="214"/>
      <c r="Q850" s="214"/>
      <c r="R850" s="214"/>
    </row>
    <row r="851" spans="3:18" s="205" customFormat="1" x14ac:dyDescent="0.2">
      <c r="C851" s="200"/>
      <c r="E851" s="206"/>
      <c r="F851" s="206"/>
      <c r="G851" s="206"/>
      <c r="H851" s="202"/>
      <c r="M851" s="201"/>
      <c r="P851" s="214"/>
      <c r="Q851" s="214"/>
      <c r="R851" s="214"/>
    </row>
    <row r="852" spans="3:18" s="205" customFormat="1" x14ac:dyDescent="0.2">
      <c r="C852" s="200"/>
      <c r="E852" s="206"/>
      <c r="F852" s="206"/>
      <c r="G852" s="206"/>
      <c r="H852" s="202"/>
      <c r="M852" s="201"/>
      <c r="P852" s="214"/>
      <c r="Q852" s="214"/>
      <c r="R852" s="214"/>
    </row>
    <row r="853" spans="3:18" s="205" customFormat="1" x14ac:dyDescent="0.2">
      <c r="C853" s="200"/>
      <c r="E853" s="206"/>
      <c r="F853" s="206"/>
      <c r="G853" s="206"/>
      <c r="H853" s="202"/>
      <c r="M853" s="201"/>
      <c r="P853" s="214"/>
      <c r="Q853" s="214"/>
      <c r="R853" s="214"/>
    </row>
    <row r="854" spans="3:18" s="205" customFormat="1" x14ac:dyDescent="0.2">
      <c r="C854" s="214"/>
      <c r="E854" s="206"/>
      <c r="F854" s="206"/>
      <c r="G854" s="206"/>
      <c r="H854" s="202"/>
      <c r="M854" s="201"/>
      <c r="P854" s="214"/>
      <c r="Q854" s="214"/>
      <c r="R854" s="214"/>
    </row>
    <row r="855" spans="3:18" s="205" customFormat="1" x14ac:dyDescent="0.2">
      <c r="C855" s="214"/>
      <c r="E855" s="206"/>
      <c r="F855" s="206"/>
      <c r="G855" s="206"/>
      <c r="H855" s="202"/>
      <c r="M855" s="201"/>
      <c r="P855" s="214"/>
      <c r="Q855" s="214"/>
      <c r="R855" s="214"/>
    </row>
    <row r="856" spans="3:18" s="205" customFormat="1" x14ac:dyDescent="0.2">
      <c r="C856" s="214"/>
      <c r="E856" s="206"/>
      <c r="F856" s="206"/>
      <c r="G856" s="206"/>
      <c r="H856" s="202"/>
      <c r="M856" s="201"/>
      <c r="P856" s="214"/>
      <c r="Q856" s="214"/>
      <c r="R856" s="214"/>
    </row>
    <row r="857" spans="3:18" s="205" customFormat="1" x14ac:dyDescent="0.2">
      <c r="C857" s="214"/>
      <c r="E857" s="206"/>
      <c r="F857" s="206"/>
      <c r="G857" s="206"/>
      <c r="H857" s="202"/>
      <c r="M857" s="201"/>
      <c r="P857" s="214"/>
      <c r="Q857" s="214"/>
      <c r="R857" s="214"/>
    </row>
    <row r="858" spans="3:18" s="205" customFormat="1" x14ac:dyDescent="0.2">
      <c r="C858" s="214"/>
      <c r="E858" s="206"/>
      <c r="F858" s="206"/>
      <c r="G858" s="206"/>
      <c r="H858" s="202"/>
      <c r="M858" s="201"/>
      <c r="P858" s="214"/>
      <c r="Q858" s="214"/>
      <c r="R858" s="214"/>
    </row>
    <row r="859" spans="3:18" s="205" customFormat="1" x14ac:dyDescent="0.2">
      <c r="C859" s="214"/>
      <c r="E859" s="206"/>
      <c r="F859" s="206"/>
      <c r="G859" s="206"/>
      <c r="H859" s="202"/>
      <c r="M859" s="201"/>
      <c r="P859" s="214"/>
      <c r="Q859" s="214"/>
      <c r="R859" s="214"/>
    </row>
    <row r="860" spans="3:18" s="205" customFormat="1" x14ac:dyDescent="0.2">
      <c r="C860" s="214"/>
      <c r="E860" s="206"/>
      <c r="F860" s="206"/>
      <c r="G860" s="206"/>
      <c r="H860" s="202"/>
      <c r="M860" s="201"/>
      <c r="P860" s="214"/>
      <c r="Q860" s="214"/>
      <c r="R860" s="214"/>
    </row>
    <row r="861" spans="3:18" x14ac:dyDescent="0.2">
      <c r="M861" s="201"/>
      <c r="P861" s="233"/>
      <c r="Q861" s="233"/>
      <c r="R861" s="233"/>
    </row>
    <row r="862" spans="3:18" x14ac:dyDescent="0.2">
      <c r="M862" s="201"/>
    </row>
    <row r="865" spans="3:18" ht="12.75" thickBot="1" x14ac:dyDescent="0.25"/>
    <row r="866" spans="3:18" s="196" customFormat="1" ht="14.1" customHeight="1" thickBot="1" x14ac:dyDescent="0.25">
      <c r="C866" s="197"/>
      <c r="D866" s="196" t="s">
        <v>2370</v>
      </c>
      <c r="E866" s="198">
        <v>340620039</v>
      </c>
      <c r="F866" s="198">
        <v>32227443</v>
      </c>
      <c r="G866" s="198">
        <v>2442920</v>
      </c>
      <c r="H866" s="198">
        <v>310835516</v>
      </c>
      <c r="P866" s="197"/>
      <c r="Q866" s="197"/>
      <c r="R866" s="197"/>
    </row>
  </sheetData>
  <pageMargins left="0.7" right="0.7" top="0.75" bottom="0.75" header="0.3" footer="0.3"/>
  <pageSetup paperSize="9" scale="44" orientation="landscape" r:id="rId1"/>
  <rowBreaks count="2" manualBreakCount="2">
    <brk id="552" max="23" man="1"/>
    <brk id="695" max="16383" man="1"/>
  </rowBreaks>
  <colBreaks count="1" manualBreakCount="1">
    <brk id="18" max="86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7005-E851-49FA-A0F1-0DEACD431852}">
  <sheetPr filterMode="1"/>
  <dimension ref="A1:X1105"/>
  <sheetViews>
    <sheetView zoomScaleNormal="100" workbookViewId="0">
      <pane ySplit="1" topLeftCell="A383" activePane="bottomLeft" state="frozen"/>
      <selection pane="bottomLeft" activeCell="A1092" sqref="A1092"/>
    </sheetView>
  </sheetViews>
  <sheetFormatPr defaultColWidth="31.28515625" defaultRowHeight="12" x14ac:dyDescent="0.2"/>
  <cols>
    <col min="1" max="1" width="60.28515625" style="209" bestFit="1" customWidth="1"/>
    <col min="2" max="2" width="22" style="209" bestFit="1" customWidth="1"/>
    <col min="3" max="3" width="15.7109375" style="213" customWidth="1"/>
    <col min="4" max="5" width="16.140625" style="209" customWidth="1"/>
    <col min="6" max="6" width="13.28515625" style="211" customWidth="1"/>
    <col min="7" max="7" width="16.7109375" style="211" customWidth="1"/>
    <col min="8" max="8" width="12.85546875" style="211" customWidth="1"/>
    <col min="9" max="9" width="12.85546875" style="211" bestFit="1" customWidth="1"/>
    <col min="10" max="10" width="53.7109375" style="209" bestFit="1" customWidth="1"/>
    <col min="11" max="11" width="16" style="209" bestFit="1" customWidth="1"/>
    <col min="12" max="12" width="28.28515625" style="209" bestFit="1" customWidth="1"/>
    <col min="13" max="13" width="22" style="209" bestFit="1" customWidth="1"/>
    <col min="14" max="14" width="17.7109375" style="209" bestFit="1" customWidth="1"/>
    <col min="15" max="15" width="50" style="209" bestFit="1" customWidth="1"/>
    <col min="16" max="16" width="21.140625" style="209" bestFit="1" customWidth="1"/>
    <col min="17" max="17" width="9.85546875" style="213" customWidth="1"/>
    <col min="18" max="18" width="9" style="213" bestFit="1" customWidth="1"/>
    <col min="19" max="19" width="14.28515625" style="213" customWidth="1"/>
    <col min="20" max="20" width="6.5703125" style="209" bestFit="1" customWidth="1"/>
    <col min="21" max="256" width="31.28515625" style="209"/>
    <col min="257" max="257" width="60.28515625" style="209" bestFit="1" customWidth="1"/>
    <col min="258" max="258" width="22" style="209" bestFit="1" customWidth="1"/>
    <col min="259" max="259" width="15.7109375" style="209" customWidth="1"/>
    <col min="260" max="261" width="16.140625" style="209" customWidth="1"/>
    <col min="262" max="262" width="13.28515625" style="209" customWidth="1"/>
    <col min="263" max="263" width="16.7109375" style="209" customWidth="1"/>
    <col min="264" max="264" width="12.85546875" style="209" customWidth="1"/>
    <col min="265" max="265" width="12.85546875" style="209" bestFit="1" customWidth="1"/>
    <col min="266" max="266" width="53.7109375" style="209" bestFit="1" customWidth="1"/>
    <col min="267" max="267" width="16" style="209" bestFit="1" customWidth="1"/>
    <col min="268" max="268" width="28.28515625" style="209" bestFit="1" customWidth="1"/>
    <col min="269" max="269" width="22" style="209" bestFit="1" customWidth="1"/>
    <col min="270" max="270" width="17.7109375" style="209" bestFit="1" customWidth="1"/>
    <col min="271" max="271" width="50" style="209" bestFit="1" customWidth="1"/>
    <col min="272" max="272" width="21.140625" style="209" bestFit="1" customWidth="1"/>
    <col min="273" max="273" width="9.85546875" style="209" customWidth="1"/>
    <col min="274" max="274" width="9" style="209" bestFit="1" customWidth="1"/>
    <col min="275" max="275" width="14.28515625" style="209" customWidth="1"/>
    <col min="276" max="276" width="6.5703125" style="209" bestFit="1" customWidth="1"/>
    <col min="277" max="512" width="31.28515625" style="209"/>
    <col min="513" max="513" width="60.28515625" style="209" bestFit="1" customWidth="1"/>
    <col min="514" max="514" width="22" style="209" bestFit="1" customWidth="1"/>
    <col min="515" max="515" width="15.7109375" style="209" customWidth="1"/>
    <col min="516" max="517" width="16.140625" style="209" customWidth="1"/>
    <col min="518" max="518" width="13.28515625" style="209" customWidth="1"/>
    <col min="519" max="519" width="16.7109375" style="209" customWidth="1"/>
    <col min="520" max="520" width="12.85546875" style="209" customWidth="1"/>
    <col min="521" max="521" width="12.85546875" style="209" bestFit="1" customWidth="1"/>
    <col min="522" max="522" width="53.7109375" style="209" bestFit="1" customWidth="1"/>
    <col min="523" max="523" width="16" style="209" bestFit="1" customWidth="1"/>
    <col min="524" max="524" width="28.28515625" style="209" bestFit="1" customWidth="1"/>
    <col min="525" max="525" width="22" style="209" bestFit="1" customWidth="1"/>
    <col min="526" max="526" width="17.7109375" style="209" bestFit="1" customWidth="1"/>
    <col min="527" max="527" width="50" style="209" bestFit="1" customWidth="1"/>
    <col min="528" max="528" width="21.140625" style="209" bestFit="1" customWidth="1"/>
    <col min="529" max="529" width="9.85546875" style="209" customWidth="1"/>
    <col min="530" max="530" width="9" style="209" bestFit="1" customWidth="1"/>
    <col min="531" max="531" width="14.28515625" style="209" customWidth="1"/>
    <col min="532" max="532" width="6.5703125" style="209" bestFit="1" customWidth="1"/>
    <col min="533" max="768" width="31.28515625" style="209"/>
    <col min="769" max="769" width="60.28515625" style="209" bestFit="1" customWidth="1"/>
    <col min="770" max="770" width="22" style="209" bestFit="1" customWidth="1"/>
    <col min="771" max="771" width="15.7109375" style="209" customWidth="1"/>
    <col min="772" max="773" width="16.140625" style="209" customWidth="1"/>
    <col min="774" max="774" width="13.28515625" style="209" customWidth="1"/>
    <col min="775" max="775" width="16.7109375" style="209" customWidth="1"/>
    <col min="776" max="776" width="12.85546875" style="209" customWidth="1"/>
    <col min="777" max="777" width="12.85546875" style="209" bestFit="1" customWidth="1"/>
    <col min="778" max="778" width="53.7109375" style="209" bestFit="1" customWidth="1"/>
    <col min="779" max="779" width="16" style="209" bestFit="1" customWidth="1"/>
    <col min="780" max="780" width="28.28515625" style="209" bestFit="1" customWidth="1"/>
    <col min="781" max="781" width="22" style="209" bestFit="1" customWidth="1"/>
    <col min="782" max="782" width="17.7109375" style="209" bestFit="1" customWidth="1"/>
    <col min="783" max="783" width="50" style="209" bestFit="1" customWidth="1"/>
    <col min="784" max="784" width="21.140625" style="209" bestFit="1" customWidth="1"/>
    <col min="785" max="785" width="9.85546875" style="209" customWidth="1"/>
    <col min="786" max="786" width="9" style="209" bestFit="1" customWidth="1"/>
    <col min="787" max="787" width="14.28515625" style="209" customWidth="1"/>
    <col min="788" max="788" width="6.5703125" style="209" bestFit="1" customWidth="1"/>
    <col min="789" max="1024" width="31.28515625" style="209"/>
    <col min="1025" max="1025" width="60.28515625" style="209" bestFit="1" customWidth="1"/>
    <col min="1026" max="1026" width="22" style="209" bestFit="1" customWidth="1"/>
    <col min="1027" max="1027" width="15.7109375" style="209" customWidth="1"/>
    <col min="1028" max="1029" width="16.140625" style="209" customWidth="1"/>
    <col min="1030" max="1030" width="13.28515625" style="209" customWidth="1"/>
    <col min="1031" max="1031" width="16.7109375" style="209" customWidth="1"/>
    <col min="1032" max="1032" width="12.85546875" style="209" customWidth="1"/>
    <col min="1033" max="1033" width="12.85546875" style="209" bestFit="1" customWidth="1"/>
    <col min="1034" max="1034" width="53.7109375" style="209" bestFit="1" customWidth="1"/>
    <col min="1035" max="1035" width="16" style="209" bestFit="1" customWidth="1"/>
    <col min="1036" max="1036" width="28.28515625" style="209" bestFit="1" customWidth="1"/>
    <col min="1037" max="1037" width="22" style="209" bestFit="1" customWidth="1"/>
    <col min="1038" max="1038" width="17.7109375" style="209" bestFit="1" customWidth="1"/>
    <col min="1039" max="1039" width="50" style="209" bestFit="1" customWidth="1"/>
    <col min="1040" max="1040" width="21.140625" style="209" bestFit="1" customWidth="1"/>
    <col min="1041" max="1041" width="9.85546875" style="209" customWidth="1"/>
    <col min="1042" max="1042" width="9" style="209" bestFit="1" customWidth="1"/>
    <col min="1043" max="1043" width="14.28515625" style="209" customWidth="1"/>
    <col min="1044" max="1044" width="6.5703125" style="209" bestFit="1" customWidth="1"/>
    <col min="1045" max="1280" width="31.28515625" style="209"/>
    <col min="1281" max="1281" width="60.28515625" style="209" bestFit="1" customWidth="1"/>
    <col min="1282" max="1282" width="22" style="209" bestFit="1" customWidth="1"/>
    <col min="1283" max="1283" width="15.7109375" style="209" customWidth="1"/>
    <col min="1284" max="1285" width="16.140625" style="209" customWidth="1"/>
    <col min="1286" max="1286" width="13.28515625" style="209" customWidth="1"/>
    <col min="1287" max="1287" width="16.7109375" style="209" customWidth="1"/>
    <col min="1288" max="1288" width="12.85546875" style="209" customWidth="1"/>
    <col min="1289" max="1289" width="12.85546875" style="209" bestFit="1" customWidth="1"/>
    <col min="1290" max="1290" width="53.7109375" style="209" bestFit="1" customWidth="1"/>
    <col min="1291" max="1291" width="16" style="209" bestFit="1" customWidth="1"/>
    <col min="1292" max="1292" width="28.28515625" style="209" bestFit="1" customWidth="1"/>
    <col min="1293" max="1293" width="22" style="209" bestFit="1" customWidth="1"/>
    <col min="1294" max="1294" width="17.7109375" style="209" bestFit="1" customWidth="1"/>
    <col min="1295" max="1295" width="50" style="209" bestFit="1" customWidth="1"/>
    <col min="1296" max="1296" width="21.140625" style="209" bestFit="1" customWidth="1"/>
    <col min="1297" max="1297" width="9.85546875" style="209" customWidth="1"/>
    <col min="1298" max="1298" width="9" style="209" bestFit="1" customWidth="1"/>
    <col min="1299" max="1299" width="14.28515625" style="209" customWidth="1"/>
    <col min="1300" max="1300" width="6.5703125" style="209" bestFit="1" customWidth="1"/>
    <col min="1301" max="1536" width="31.28515625" style="209"/>
    <col min="1537" max="1537" width="60.28515625" style="209" bestFit="1" customWidth="1"/>
    <col min="1538" max="1538" width="22" style="209" bestFit="1" customWidth="1"/>
    <col min="1539" max="1539" width="15.7109375" style="209" customWidth="1"/>
    <col min="1540" max="1541" width="16.140625" style="209" customWidth="1"/>
    <col min="1542" max="1542" width="13.28515625" style="209" customWidth="1"/>
    <col min="1543" max="1543" width="16.7109375" style="209" customWidth="1"/>
    <col min="1544" max="1544" width="12.85546875" style="209" customWidth="1"/>
    <col min="1545" max="1545" width="12.85546875" style="209" bestFit="1" customWidth="1"/>
    <col min="1546" max="1546" width="53.7109375" style="209" bestFit="1" customWidth="1"/>
    <col min="1547" max="1547" width="16" style="209" bestFit="1" customWidth="1"/>
    <col min="1548" max="1548" width="28.28515625" style="209" bestFit="1" customWidth="1"/>
    <col min="1549" max="1549" width="22" style="209" bestFit="1" customWidth="1"/>
    <col min="1550" max="1550" width="17.7109375" style="209" bestFit="1" customWidth="1"/>
    <col min="1551" max="1551" width="50" style="209" bestFit="1" customWidth="1"/>
    <col min="1552" max="1552" width="21.140625" style="209" bestFit="1" customWidth="1"/>
    <col min="1553" max="1553" width="9.85546875" style="209" customWidth="1"/>
    <col min="1554" max="1554" width="9" style="209" bestFit="1" customWidth="1"/>
    <col min="1555" max="1555" width="14.28515625" style="209" customWidth="1"/>
    <col min="1556" max="1556" width="6.5703125" style="209" bestFit="1" customWidth="1"/>
    <col min="1557" max="1792" width="31.28515625" style="209"/>
    <col min="1793" max="1793" width="60.28515625" style="209" bestFit="1" customWidth="1"/>
    <col min="1794" max="1794" width="22" style="209" bestFit="1" customWidth="1"/>
    <col min="1795" max="1795" width="15.7109375" style="209" customWidth="1"/>
    <col min="1796" max="1797" width="16.140625" style="209" customWidth="1"/>
    <col min="1798" max="1798" width="13.28515625" style="209" customWidth="1"/>
    <col min="1799" max="1799" width="16.7109375" style="209" customWidth="1"/>
    <col min="1800" max="1800" width="12.85546875" style="209" customWidth="1"/>
    <col min="1801" max="1801" width="12.85546875" style="209" bestFit="1" customWidth="1"/>
    <col min="1802" max="1802" width="53.7109375" style="209" bestFit="1" customWidth="1"/>
    <col min="1803" max="1803" width="16" style="209" bestFit="1" customWidth="1"/>
    <col min="1804" max="1804" width="28.28515625" style="209" bestFit="1" customWidth="1"/>
    <col min="1805" max="1805" width="22" style="209" bestFit="1" customWidth="1"/>
    <col min="1806" max="1806" width="17.7109375" style="209" bestFit="1" customWidth="1"/>
    <col min="1807" max="1807" width="50" style="209" bestFit="1" customWidth="1"/>
    <col min="1808" max="1808" width="21.140625" style="209" bestFit="1" customWidth="1"/>
    <col min="1809" max="1809" width="9.85546875" style="209" customWidth="1"/>
    <col min="1810" max="1810" width="9" style="209" bestFit="1" customWidth="1"/>
    <col min="1811" max="1811" width="14.28515625" style="209" customWidth="1"/>
    <col min="1812" max="1812" width="6.5703125" style="209" bestFit="1" customWidth="1"/>
    <col min="1813" max="2048" width="31.28515625" style="209"/>
    <col min="2049" max="2049" width="60.28515625" style="209" bestFit="1" customWidth="1"/>
    <col min="2050" max="2050" width="22" style="209" bestFit="1" customWidth="1"/>
    <col min="2051" max="2051" width="15.7109375" style="209" customWidth="1"/>
    <col min="2052" max="2053" width="16.140625" style="209" customWidth="1"/>
    <col min="2054" max="2054" width="13.28515625" style="209" customWidth="1"/>
    <col min="2055" max="2055" width="16.7109375" style="209" customWidth="1"/>
    <col min="2056" max="2056" width="12.85546875" style="209" customWidth="1"/>
    <col min="2057" max="2057" width="12.85546875" style="209" bestFit="1" customWidth="1"/>
    <col min="2058" max="2058" width="53.7109375" style="209" bestFit="1" customWidth="1"/>
    <col min="2059" max="2059" width="16" style="209" bestFit="1" customWidth="1"/>
    <col min="2060" max="2060" width="28.28515625" style="209" bestFit="1" customWidth="1"/>
    <col min="2061" max="2061" width="22" style="209" bestFit="1" customWidth="1"/>
    <col min="2062" max="2062" width="17.7109375" style="209" bestFit="1" customWidth="1"/>
    <col min="2063" max="2063" width="50" style="209" bestFit="1" customWidth="1"/>
    <col min="2064" max="2064" width="21.140625" style="209" bestFit="1" customWidth="1"/>
    <col min="2065" max="2065" width="9.85546875" style="209" customWidth="1"/>
    <col min="2066" max="2066" width="9" style="209" bestFit="1" customWidth="1"/>
    <col min="2067" max="2067" width="14.28515625" style="209" customWidth="1"/>
    <col min="2068" max="2068" width="6.5703125" style="209" bestFit="1" customWidth="1"/>
    <col min="2069" max="2304" width="31.28515625" style="209"/>
    <col min="2305" max="2305" width="60.28515625" style="209" bestFit="1" customWidth="1"/>
    <col min="2306" max="2306" width="22" style="209" bestFit="1" customWidth="1"/>
    <col min="2307" max="2307" width="15.7109375" style="209" customWidth="1"/>
    <col min="2308" max="2309" width="16.140625" style="209" customWidth="1"/>
    <col min="2310" max="2310" width="13.28515625" style="209" customWidth="1"/>
    <col min="2311" max="2311" width="16.7109375" style="209" customWidth="1"/>
    <col min="2312" max="2312" width="12.85546875" style="209" customWidth="1"/>
    <col min="2313" max="2313" width="12.85546875" style="209" bestFit="1" customWidth="1"/>
    <col min="2314" max="2314" width="53.7109375" style="209" bestFit="1" customWidth="1"/>
    <col min="2315" max="2315" width="16" style="209" bestFit="1" customWidth="1"/>
    <col min="2316" max="2316" width="28.28515625" style="209" bestFit="1" customWidth="1"/>
    <col min="2317" max="2317" width="22" style="209" bestFit="1" customWidth="1"/>
    <col min="2318" max="2318" width="17.7109375" style="209" bestFit="1" customWidth="1"/>
    <col min="2319" max="2319" width="50" style="209" bestFit="1" customWidth="1"/>
    <col min="2320" max="2320" width="21.140625" style="209" bestFit="1" customWidth="1"/>
    <col min="2321" max="2321" width="9.85546875" style="209" customWidth="1"/>
    <col min="2322" max="2322" width="9" style="209" bestFit="1" customWidth="1"/>
    <col min="2323" max="2323" width="14.28515625" style="209" customWidth="1"/>
    <col min="2324" max="2324" width="6.5703125" style="209" bestFit="1" customWidth="1"/>
    <col min="2325" max="2560" width="31.28515625" style="209"/>
    <col min="2561" max="2561" width="60.28515625" style="209" bestFit="1" customWidth="1"/>
    <col min="2562" max="2562" width="22" style="209" bestFit="1" customWidth="1"/>
    <col min="2563" max="2563" width="15.7109375" style="209" customWidth="1"/>
    <col min="2564" max="2565" width="16.140625" style="209" customWidth="1"/>
    <col min="2566" max="2566" width="13.28515625" style="209" customWidth="1"/>
    <col min="2567" max="2567" width="16.7109375" style="209" customWidth="1"/>
    <col min="2568" max="2568" width="12.85546875" style="209" customWidth="1"/>
    <col min="2569" max="2569" width="12.85546875" style="209" bestFit="1" customWidth="1"/>
    <col min="2570" max="2570" width="53.7109375" style="209" bestFit="1" customWidth="1"/>
    <col min="2571" max="2571" width="16" style="209" bestFit="1" customWidth="1"/>
    <col min="2572" max="2572" width="28.28515625" style="209" bestFit="1" customWidth="1"/>
    <col min="2573" max="2573" width="22" style="209" bestFit="1" customWidth="1"/>
    <col min="2574" max="2574" width="17.7109375" style="209" bestFit="1" customWidth="1"/>
    <col min="2575" max="2575" width="50" style="209" bestFit="1" customWidth="1"/>
    <col min="2576" max="2576" width="21.140625" style="209" bestFit="1" customWidth="1"/>
    <col min="2577" max="2577" width="9.85546875" style="209" customWidth="1"/>
    <col min="2578" max="2578" width="9" style="209" bestFit="1" customWidth="1"/>
    <col min="2579" max="2579" width="14.28515625" style="209" customWidth="1"/>
    <col min="2580" max="2580" width="6.5703125" style="209" bestFit="1" customWidth="1"/>
    <col min="2581" max="2816" width="31.28515625" style="209"/>
    <col min="2817" max="2817" width="60.28515625" style="209" bestFit="1" customWidth="1"/>
    <col min="2818" max="2818" width="22" style="209" bestFit="1" customWidth="1"/>
    <col min="2819" max="2819" width="15.7109375" style="209" customWidth="1"/>
    <col min="2820" max="2821" width="16.140625" style="209" customWidth="1"/>
    <col min="2822" max="2822" width="13.28515625" style="209" customWidth="1"/>
    <col min="2823" max="2823" width="16.7109375" style="209" customWidth="1"/>
    <col min="2824" max="2824" width="12.85546875" style="209" customWidth="1"/>
    <col min="2825" max="2825" width="12.85546875" style="209" bestFit="1" customWidth="1"/>
    <col min="2826" max="2826" width="53.7109375" style="209" bestFit="1" customWidth="1"/>
    <col min="2827" max="2827" width="16" style="209" bestFit="1" customWidth="1"/>
    <col min="2828" max="2828" width="28.28515625" style="209" bestFit="1" customWidth="1"/>
    <col min="2829" max="2829" width="22" style="209" bestFit="1" customWidth="1"/>
    <col min="2830" max="2830" width="17.7109375" style="209" bestFit="1" customWidth="1"/>
    <col min="2831" max="2831" width="50" style="209" bestFit="1" customWidth="1"/>
    <col min="2832" max="2832" width="21.140625" style="209" bestFit="1" customWidth="1"/>
    <col min="2833" max="2833" width="9.85546875" style="209" customWidth="1"/>
    <col min="2834" max="2834" width="9" style="209" bestFit="1" customWidth="1"/>
    <col min="2835" max="2835" width="14.28515625" style="209" customWidth="1"/>
    <col min="2836" max="2836" width="6.5703125" style="209" bestFit="1" customWidth="1"/>
    <col min="2837" max="3072" width="31.28515625" style="209"/>
    <col min="3073" max="3073" width="60.28515625" style="209" bestFit="1" customWidth="1"/>
    <col min="3074" max="3074" width="22" style="209" bestFit="1" customWidth="1"/>
    <col min="3075" max="3075" width="15.7109375" style="209" customWidth="1"/>
    <col min="3076" max="3077" width="16.140625" style="209" customWidth="1"/>
    <col min="3078" max="3078" width="13.28515625" style="209" customWidth="1"/>
    <col min="3079" max="3079" width="16.7109375" style="209" customWidth="1"/>
    <col min="3080" max="3080" width="12.85546875" style="209" customWidth="1"/>
    <col min="3081" max="3081" width="12.85546875" style="209" bestFit="1" customWidth="1"/>
    <col min="3082" max="3082" width="53.7109375" style="209" bestFit="1" customWidth="1"/>
    <col min="3083" max="3083" width="16" style="209" bestFit="1" customWidth="1"/>
    <col min="3084" max="3084" width="28.28515625" style="209" bestFit="1" customWidth="1"/>
    <col min="3085" max="3085" width="22" style="209" bestFit="1" customWidth="1"/>
    <col min="3086" max="3086" width="17.7109375" style="209" bestFit="1" customWidth="1"/>
    <col min="3087" max="3087" width="50" style="209" bestFit="1" customWidth="1"/>
    <col min="3088" max="3088" width="21.140625" style="209" bestFit="1" customWidth="1"/>
    <col min="3089" max="3089" width="9.85546875" style="209" customWidth="1"/>
    <col min="3090" max="3090" width="9" style="209" bestFit="1" customWidth="1"/>
    <col min="3091" max="3091" width="14.28515625" style="209" customWidth="1"/>
    <col min="3092" max="3092" width="6.5703125" style="209" bestFit="1" customWidth="1"/>
    <col min="3093" max="3328" width="31.28515625" style="209"/>
    <col min="3329" max="3329" width="60.28515625" style="209" bestFit="1" customWidth="1"/>
    <col min="3330" max="3330" width="22" style="209" bestFit="1" customWidth="1"/>
    <col min="3331" max="3331" width="15.7109375" style="209" customWidth="1"/>
    <col min="3332" max="3333" width="16.140625" style="209" customWidth="1"/>
    <col min="3334" max="3334" width="13.28515625" style="209" customWidth="1"/>
    <col min="3335" max="3335" width="16.7109375" style="209" customWidth="1"/>
    <col min="3336" max="3336" width="12.85546875" style="209" customWidth="1"/>
    <col min="3337" max="3337" width="12.85546875" style="209" bestFit="1" customWidth="1"/>
    <col min="3338" max="3338" width="53.7109375" style="209" bestFit="1" customWidth="1"/>
    <col min="3339" max="3339" width="16" style="209" bestFit="1" customWidth="1"/>
    <col min="3340" max="3340" width="28.28515625" style="209" bestFit="1" customWidth="1"/>
    <col min="3341" max="3341" width="22" style="209" bestFit="1" customWidth="1"/>
    <col min="3342" max="3342" width="17.7109375" style="209" bestFit="1" customWidth="1"/>
    <col min="3343" max="3343" width="50" style="209" bestFit="1" customWidth="1"/>
    <col min="3344" max="3344" width="21.140625" style="209" bestFit="1" customWidth="1"/>
    <col min="3345" max="3345" width="9.85546875" style="209" customWidth="1"/>
    <col min="3346" max="3346" width="9" style="209" bestFit="1" customWidth="1"/>
    <col min="3347" max="3347" width="14.28515625" style="209" customWidth="1"/>
    <col min="3348" max="3348" width="6.5703125" style="209" bestFit="1" customWidth="1"/>
    <col min="3349" max="3584" width="31.28515625" style="209"/>
    <col min="3585" max="3585" width="60.28515625" style="209" bestFit="1" customWidth="1"/>
    <col min="3586" max="3586" width="22" style="209" bestFit="1" customWidth="1"/>
    <col min="3587" max="3587" width="15.7109375" style="209" customWidth="1"/>
    <col min="3588" max="3589" width="16.140625" style="209" customWidth="1"/>
    <col min="3590" max="3590" width="13.28515625" style="209" customWidth="1"/>
    <col min="3591" max="3591" width="16.7109375" style="209" customWidth="1"/>
    <col min="3592" max="3592" width="12.85546875" style="209" customWidth="1"/>
    <col min="3593" max="3593" width="12.85546875" style="209" bestFit="1" customWidth="1"/>
    <col min="3594" max="3594" width="53.7109375" style="209" bestFit="1" customWidth="1"/>
    <col min="3595" max="3595" width="16" style="209" bestFit="1" customWidth="1"/>
    <col min="3596" max="3596" width="28.28515625" style="209" bestFit="1" customWidth="1"/>
    <col min="3597" max="3597" width="22" style="209" bestFit="1" customWidth="1"/>
    <col min="3598" max="3598" width="17.7109375" style="209" bestFit="1" customWidth="1"/>
    <col min="3599" max="3599" width="50" style="209" bestFit="1" customWidth="1"/>
    <col min="3600" max="3600" width="21.140625" style="209" bestFit="1" customWidth="1"/>
    <col min="3601" max="3601" width="9.85546875" style="209" customWidth="1"/>
    <col min="3602" max="3602" width="9" style="209" bestFit="1" customWidth="1"/>
    <col min="3603" max="3603" width="14.28515625" style="209" customWidth="1"/>
    <col min="3604" max="3604" width="6.5703125" style="209" bestFit="1" customWidth="1"/>
    <col min="3605" max="3840" width="31.28515625" style="209"/>
    <col min="3841" max="3841" width="60.28515625" style="209" bestFit="1" customWidth="1"/>
    <col min="3842" max="3842" width="22" style="209" bestFit="1" customWidth="1"/>
    <col min="3843" max="3843" width="15.7109375" style="209" customWidth="1"/>
    <col min="3844" max="3845" width="16.140625" style="209" customWidth="1"/>
    <col min="3846" max="3846" width="13.28515625" style="209" customWidth="1"/>
    <col min="3847" max="3847" width="16.7109375" style="209" customWidth="1"/>
    <col min="3848" max="3848" width="12.85546875" style="209" customWidth="1"/>
    <col min="3849" max="3849" width="12.85546875" style="209" bestFit="1" customWidth="1"/>
    <col min="3850" max="3850" width="53.7109375" style="209" bestFit="1" customWidth="1"/>
    <col min="3851" max="3851" width="16" style="209" bestFit="1" customWidth="1"/>
    <col min="3852" max="3852" width="28.28515625" style="209" bestFit="1" customWidth="1"/>
    <col min="3853" max="3853" width="22" style="209" bestFit="1" customWidth="1"/>
    <col min="3854" max="3854" width="17.7109375" style="209" bestFit="1" customWidth="1"/>
    <col min="3855" max="3855" width="50" style="209" bestFit="1" customWidth="1"/>
    <col min="3856" max="3856" width="21.140625" style="209" bestFit="1" customWidth="1"/>
    <col min="3857" max="3857" width="9.85546875" style="209" customWidth="1"/>
    <col min="3858" max="3858" width="9" style="209" bestFit="1" customWidth="1"/>
    <col min="3859" max="3859" width="14.28515625" style="209" customWidth="1"/>
    <col min="3860" max="3860" width="6.5703125" style="209" bestFit="1" customWidth="1"/>
    <col min="3861" max="4096" width="31.28515625" style="209"/>
    <col min="4097" max="4097" width="60.28515625" style="209" bestFit="1" customWidth="1"/>
    <col min="4098" max="4098" width="22" style="209" bestFit="1" customWidth="1"/>
    <col min="4099" max="4099" width="15.7109375" style="209" customWidth="1"/>
    <col min="4100" max="4101" width="16.140625" style="209" customWidth="1"/>
    <col min="4102" max="4102" width="13.28515625" style="209" customWidth="1"/>
    <col min="4103" max="4103" width="16.7109375" style="209" customWidth="1"/>
    <col min="4104" max="4104" width="12.85546875" style="209" customWidth="1"/>
    <col min="4105" max="4105" width="12.85546875" style="209" bestFit="1" customWidth="1"/>
    <col min="4106" max="4106" width="53.7109375" style="209" bestFit="1" customWidth="1"/>
    <col min="4107" max="4107" width="16" style="209" bestFit="1" customWidth="1"/>
    <col min="4108" max="4108" width="28.28515625" style="209" bestFit="1" customWidth="1"/>
    <col min="4109" max="4109" width="22" style="209" bestFit="1" customWidth="1"/>
    <col min="4110" max="4110" width="17.7109375" style="209" bestFit="1" customWidth="1"/>
    <col min="4111" max="4111" width="50" style="209" bestFit="1" customWidth="1"/>
    <col min="4112" max="4112" width="21.140625" style="209" bestFit="1" customWidth="1"/>
    <col min="4113" max="4113" width="9.85546875" style="209" customWidth="1"/>
    <col min="4114" max="4114" width="9" style="209" bestFit="1" customWidth="1"/>
    <col min="4115" max="4115" width="14.28515625" style="209" customWidth="1"/>
    <col min="4116" max="4116" width="6.5703125" style="209" bestFit="1" customWidth="1"/>
    <col min="4117" max="4352" width="31.28515625" style="209"/>
    <col min="4353" max="4353" width="60.28515625" style="209" bestFit="1" customWidth="1"/>
    <col min="4354" max="4354" width="22" style="209" bestFit="1" customWidth="1"/>
    <col min="4355" max="4355" width="15.7109375" style="209" customWidth="1"/>
    <col min="4356" max="4357" width="16.140625" style="209" customWidth="1"/>
    <col min="4358" max="4358" width="13.28515625" style="209" customWidth="1"/>
    <col min="4359" max="4359" width="16.7109375" style="209" customWidth="1"/>
    <col min="4360" max="4360" width="12.85546875" style="209" customWidth="1"/>
    <col min="4361" max="4361" width="12.85546875" style="209" bestFit="1" customWidth="1"/>
    <col min="4362" max="4362" width="53.7109375" style="209" bestFit="1" customWidth="1"/>
    <col min="4363" max="4363" width="16" style="209" bestFit="1" customWidth="1"/>
    <col min="4364" max="4364" width="28.28515625" style="209" bestFit="1" customWidth="1"/>
    <col min="4365" max="4365" width="22" style="209" bestFit="1" customWidth="1"/>
    <col min="4366" max="4366" width="17.7109375" style="209" bestFit="1" customWidth="1"/>
    <col min="4367" max="4367" width="50" style="209" bestFit="1" customWidth="1"/>
    <col min="4368" max="4368" width="21.140625" style="209" bestFit="1" customWidth="1"/>
    <col min="4369" max="4369" width="9.85546875" style="209" customWidth="1"/>
    <col min="4370" max="4370" width="9" style="209" bestFit="1" customWidth="1"/>
    <col min="4371" max="4371" width="14.28515625" style="209" customWidth="1"/>
    <col min="4372" max="4372" width="6.5703125" style="209" bestFit="1" customWidth="1"/>
    <col min="4373" max="4608" width="31.28515625" style="209"/>
    <col min="4609" max="4609" width="60.28515625" style="209" bestFit="1" customWidth="1"/>
    <col min="4610" max="4610" width="22" style="209" bestFit="1" customWidth="1"/>
    <col min="4611" max="4611" width="15.7109375" style="209" customWidth="1"/>
    <col min="4612" max="4613" width="16.140625" style="209" customWidth="1"/>
    <col min="4614" max="4614" width="13.28515625" style="209" customWidth="1"/>
    <col min="4615" max="4615" width="16.7109375" style="209" customWidth="1"/>
    <col min="4616" max="4616" width="12.85546875" style="209" customWidth="1"/>
    <col min="4617" max="4617" width="12.85546875" style="209" bestFit="1" customWidth="1"/>
    <col min="4618" max="4618" width="53.7109375" style="209" bestFit="1" customWidth="1"/>
    <col min="4619" max="4619" width="16" style="209" bestFit="1" customWidth="1"/>
    <col min="4620" max="4620" width="28.28515625" style="209" bestFit="1" customWidth="1"/>
    <col min="4621" max="4621" width="22" style="209" bestFit="1" customWidth="1"/>
    <col min="4622" max="4622" width="17.7109375" style="209" bestFit="1" customWidth="1"/>
    <col min="4623" max="4623" width="50" style="209" bestFit="1" customWidth="1"/>
    <col min="4624" max="4624" width="21.140625" style="209" bestFit="1" customWidth="1"/>
    <col min="4625" max="4625" width="9.85546875" style="209" customWidth="1"/>
    <col min="4626" max="4626" width="9" style="209" bestFit="1" customWidth="1"/>
    <col min="4627" max="4627" width="14.28515625" style="209" customWidth="1"/>
    <col min="4628" max="4628" width="6.5703125" style="209" bestFit="1" customWidth="1"/>
    <col min="4629" max="4864" width="31.28515625" style="209"/>
    <col min="4865" max="4865" width="60.28515625" style="209" bestFit="1" customWidth="1"/>
    <col min="4866" max="4866" width="22" style="209" bestFit="1" customWidth="1"/>
    <col min="4867" max="4867" width="15.7109375" style="209" customWidth="1"/>
    <col min="4868" max="4869" width="16.140625" style="209" customWidth="1"/>
    <col min="4870" max="4870" width="13.28515625" style="209" customWidth="1"/>
    <col min="4871" max="4871" width="16.7109375" style="209" customWidth="1"/>
    <col min="4872" max="4872" width="12.85546875" style="209" customWidth="1"/>
    <col min="4873" max="4873" width="12.85546875" style="209" bestFit="1" customWidth="1"/>
    <col min="4874" max="4874" width="53.7109375" style="209" bestFit="1" customWidth="1"/>
    <col min="4875" max="4875" width="16" style="209" bestFit="1" customWidth="1"/>
    <col min="4876" max="4876" width="28.28515625" style="209" bestFit="1" customWidth="1"/>
    <col min="4877" max="4877" width="22" style="209" bestFit="1" customWidth="1"/>
    <col min="4878" max="4878" width="17.7109375" style="209" bestFit="1" customWidth="1"/>
    <col min="4879" max="4879" width="50" style="209" bestFit="1" customWidth="1"/>
    <col min="4880" max="4880" width="21.140625" style="209" bestFit="1" customWidth="1"/>
    <col min="4881" max="4881" width="9.85546875" style="209" customWidth="1"/>
    <col min="4882" max="4882" width="9" style="209" bestFit="1" customWidth="1"/>
    <col min="4883" max="4883" width="14.28515625" style="209" customWidth="1"/>
    <col min="4884" max="4884" width="6.5703125" style="209" bestFit="1" customWidth="1"/>
    <col min="4885" max="5120" width="31.28515625" style="209"/>
    <col min="5121" max="5121" width="60.28515625" style="209" bestFit="1" customWidth="1"/>
    <col min="5122" max="5122" width="22" style="209" bestFit="1" customWidth="1"/>
    <col min="5123" max="5123" width="15.7109375" style="209" customWidth="1"/>
    <col min="5124" max="5125" width="16.140625" style="209" customWidth="1"/>
    <col min="5126" max="5126" width="13.28515625" style="209" customWidth="1"/>
    <col min="5127" max="5127" width="16.7109375" style="209" customWidth="1"/>
    <col min="5128" max="5128" width="12.85546875" style="209" customWidth="1"/>
    <col min="5129" max="5129" width="12.85546875" style="209" bestFit="1" customWidth="1"/>
    <col min="5130" max="5130" width="53.7109375" style="209" bestFit="1" customWidth="1"/>
    <col min="5131" max="5131" width="16" style="209" bestFit="1" customWidth="1"/>
    <col min="5132" max="5132" width="28.28515625" style="209" bestFit="1" customWidth="1"/>
    <col min="5133" max="5133" width="22" style="209" bestFit="1" customWidth="1"/>
    <col min="5134" max="5134" width="17.7109375" style="209" bestFit="1" customWidth="1"/>
    <col min="5135" max="5135" width="50" style="209" bestFit="1" customWidth="1"/>
    <col min="5136" max="5136" width="21.140625" style="209" bestFit="1" customWidth="1"/>
    <col min="5137" max="5137" width="9.85546875" style="209" customWidth="1"/>
    <col min="5138" max="5138" width="9" style="209" bestFit="1" customWidth="1"/>
    <col min="5139" max="5139" width="14.28515625" style="209" customWidth="1"/>
    <col min="5140" max="5140" width="6.5703125" style="209" bestFit="1" customWidth="1"/>
    <col min="5141" max="5376" width="31.28515625" style="209"/>
    <col min="5377" max="5377" width="60.28515625" style="209" bestFit="1" customWidth="1"/>
    <col min="5378" max="5378" width="22" style="209" bestFit="1" customWidth="1"/>
    <col min="5379" max="5379" width="15.7109375" style="209" customWidth="1"/>
    <col min="5380" max="5381" width="16.140625" style="209" customWidth="1"/>
    <col min="5382" max="5382" width="13.28515625" style="209" customWidth="1"/>
    <col min="5383" max="5383" width="16.7109375" style="209" customWidth="1"/>
    <col min="5384" max="5384" width="12.85546875" style="209" customWidth="1"/>
    <col min="5385" max="5385" width="12.85546875" style="209" bestFit="1" customWidth="1"/>
    <col min="5386" max="5386" width="53.7109375" style="209" bestFit="1" customWidth="1"/>
    <col min="5387" max="5387" width="16" style="209" bestFit="1" customWidth="1"/>
    <col min="5388" max="5388" width="28.28515625" style="209" bestFit="1" customWidth="1"/>
    <col min="5389" max="5389" width="22" style="209" bestFit="1" customWidth="1"/>
    <col min="5390" max="5390" width="17.7109375" style="209" bestFit="1" customWidth="1"/>
    <col min="5391" max="5391" width="50" style="209" bestFit="1" customWidth="1"/>
    <col min="5392" max="5392" width="21.140625" style="209" bestFit="1" customWidth="1"/>
    <col min="5393" max="5393" width="9.85546875" style="209" customWidth="1"/>
    <col min="5394" max="5394" width="9" style="209" bestFit="1" customWidth="1"/>
    <col min="5395" max="5395" width="14.28515625" style="209" customWidth="1"/>
    <col min="5396" max="5396" width="6.5703125" style="209" bestFit="1" customWidth="1"/>
    <col min="5397" max="5632" width="31.28515625" style="209"/>
    <col min="5633" max="5633" width="60.28515625" style="209" bestFit="1" customWidth="1"/>
    <col min="5634" max="5634" width="22" style="209" bestFit="1" customWidth="1"/>
    <col min="5635" max="5635" width="15.7109375" style="209" customWidth="1"/>
    <col min="5636" max="5637" width="16.140625" style="209" customWidth="1"/>
    <col min="5638" max="5638" width="13.28515625" style="209" customWidth="1"/>
    <col min="5639" max="5639" width="16.7109375" style="209" customWidth="1"/>
    <col min="5640" max="5640" width="12.85546875" style="209" customWidth="1"/>
    <col min="5641" max="5641" width="12.85546875" style="209" bestFit="1" customWidth="1"/>
    <col min="5642" max="5642" width="53.7109375" style="209" bestFit="1" customWidth="1"/>
    <col min="5643" max="5643" width="16" style="209" bestFit="1" customWidth="1"/>
    <col min="5644" max="5644" width="28.28515625" style="209" bestFit="1" customWidth="1"/>
    <col min="5645" max="5645" width="22" style="209" bestFit="1" customWidth="1"/>
    <col min="5646" max="5646" width="17.7109375" style="209" bestFit="1" customWidth="1"/>
    <col min="5647" max="5647" width="50" style="209" bestFit="1" customWidth="1"/>
    <col min="5648" max="5648" width="21.140625" style="209" bestFit="1" customWidth="1"/>
    <col min="5649" max="5649" width="9.85546875" style="209" customWidth="1"/>
    <col min="5650" max="5650" width="9" style="209" bestFit="1" customWidth="1"/>
    <col min="5651" max="5651" width="14.28515625" style="209" customWidth="1"/>
    <col min="5652" max="5652" width="6.5703125" style="209" bestFit="1" customWidth="1"/>
    <col min="5653" max="5888" width="31.28515625" style="209"/>
    <col min="5889" max="5889" width="60.28515625" style="209" bestFit="1" customWidth="1"/>
    <col min="5890" max="5890" width="22" style="209" bestFit="1" customWidth="1"/>
    <col min="5891" max="5891" width="15.7109375" style="209" customWidth="1"/>
    <col min="5892" max="5893" width="16.140625" style="209" customWidth="1"/>
    <col min="5894" max="5894" width="13.28515625" style="209" customWidth="1"/>
    <col min="5895" max="5895" width="16.7109375" style="209" customWidth="1"/>
    <col min="5896" max="5896" width="12.85546875" style="209" customWidth="1"/>
    <col min="5897" max="5897" width="12.85546875" style="209" bestFit="1" customWidth="1"/>
    <col min="5898" max="5898" width="53.7109375" style="209" bestFit="1" customWidth="1"/>
    <col min="5899" max="5899" width="16" style="209" bestFit="1" customWidth="1"/>
    <col min="5900" max="5900" width="28.28515625" style="209" bestFit="1" customWidth="1"/>
    <col min="5901" max="5901" width="22" style="209" bestFit="1" customWidth="1"/>
    <col min="5902" max="5902" width="17.7109375" style="209" bestFit="1" customWidth="1"/>
    <col min="5903" max="5903" width="50" style="209" bestFit="1" customWidth="1"/>
    <col min="5904" max="5904" width="21.140625" style="209" bestFit="1" customWidth="1"/>
    <col min="5905" max="5905" width="9.85546875" style="209" customWidth="1"/>
    <col min="5906" max="5906" width="9" style="209" bestFit="1" customWidth="1"/>
    <col min="5907" max="5907" width="14.28515625" style="209" customWidth="1"/>
    <col min="5908" max="5908" width="6.5703125" style="209" bestFit="1" customWidth="1"/>
    <col min="5909" max="6144" width="31.28515625" style="209"/>
    <col min="6145" max="6145" width="60.28515625" style="209" bestFit="1" customWidth="1"/>
    <col min="6146" max="6146" width="22" style="209" bestFit="1" customWidth="1"/>
    <col min="6147" max="6147" width="15.7109375" style="209" customWidth="1"/>
    <col min="6148" max="6149" width="16.140625" style="209" customWidth="1"/>
    <col min="6150" max="6150" width="13.28515625" style="209" customWidth="1"/>
    <col min="6151" max="6151" width="16.7109375" style="209" customWidth="1"/>
    <col min="6152" max="6152" width="12.85546875" style="209" customWidth="1"/>
    <col min="6153" max="6153" width="12.85546875" style="209" bestFit="1" customWidth="1"/>
    <col min="6154" max="6154" width="53.7109375" style="209" bestFit="1" customWidth="1"/>
    <col min="6155" max="6155" width="16" style="209" bestFit="1" customWidth="1"/>
    <col min="6156" max="6156" width="28.28515625" style="209" bestFit="1" customWidth="1"/>
    <col min="6157" max="6157" width="22" style="209" bestFit="1" customWidth="1"/>
    <col min="6158" max="6158" width="17.7109375" style="209" bestFit="1" customWidth="1"/>
    <col min="6159" max="6159" width="50" style="209" bestFit="1" customWidth="1"/>
    <col min="6160" max="6160" width="21.140625" style="209" bestFit="1" customWidth="1"/>
    <col min="6161" max="6161" width="9.85546875" style="209" customWidth="1"/>
    <col min="6162" max="6162" width="9" style="209" bestFit="1" customWidth="1"/>
    <col min="6163" max="6163" width="14.28515625" style="209" customWidth="1"/>
    <col min="6164" max="6164" width="6.5703125" style="209" bestFit="1" customWidth="1"/>
    <col min="6165" max="6400" width="31.28515625" style="209"/>
    <col min="6401" max="6401" width="60.28515625" style="209" bestFit="1" customWidth="1"/>
    <col min="6402" max="6402" width="22" style="209" bestFit="1" customWidth="1"/>
    <col min="6403" max="6403" width="15.7109375" style="209" customWidth="1"/>
    <col min="6404" max="6405" width="16.140625" style="209" customWidth="1"/>
    <col min="6406" max="6406" width="13.28515625" style="209" customWidth="1"/>
    <col min="6407" max="6407" width="16.7109375" style="209" customWidth="1"/>
    <col min="6408" max="6408" width="12.85546875" style="209" customWidth="1"/>
    <col min="6409" max="6409" width="12.85546875" style="209" bestFit="1" customWidth="1"/>
    <col min="6410" max="6410" width="53.7109375" style="209" bestFit="1" customWidth="1"/>
    <col min="6411" max="6411" width="16" style="209" bestFit="1" customWidth="1"/>
    <col min="6412" max="6412" width="28.28515625" style="209" bestFit="1" customWidth="1"/>
    <col min="6413" max="6413" width="22" style="209" bestFit="1" customWidth="1"/>
    <col min="6414" max="6414" width="17.7109375" style="209" bestFit="1" customWidth="1"/>
    <col min="6415" max="6415" width="50" style="209" bestFit="1" customWidth="1"/>
    <col min="6416" max="6416" width="21.140625" style="209" bestFit="1" customWidth="1"/>
    <col min="6417" max="6417" width="9.85546875" style="209" customWidth="1"/>
    <col min="6418" max="6418" width="9" style="209" bestFit="1" customWidth="1"/>
    <col min="6419" max="6419" width="14.28515625" style="209" customWidth="1"/>
    <col min="6420" max="6420" width="6.5703125" style="209" bestFit="1" customWidth="1"/>
    <col min="6421" max="6656" width="31.28515625" style="209"/>
    <col min="6657" max="6657" width="60.28515625" style="209" bestFit="1" customWidth="1"/>
    <col min="6658" max="6658" width="22" style="209" bestFit="1" customWidth="1"/>
    <col min="6659" max="6659" width="15.7109375" style="209" customWidth="1"/>
    <col min="6660" max="6661" width="16.140625" style="209" customWidth="1"/>
    <col min="6662" max="6662" width="13.28515625" style="209" customWidth="1"/>
    <col min="6663" max="6663" width="16.7109375" style="209" customWidth="1"/>
    <col min="6664" max="6664" width="12.85546875" style="209" customWidth="1"/>
    <col min="6665" max="6665" width="12.85546875" style="209" bestFit="1" customWidth="1"/>
    <col min="6666" max="6666" width="53.7109375" style="209" bestFit="1" customWidth="1"/>
    <col min="6667" max="6667" width="16" style="209" bestFit="1" customWidth="1"/>
    <col min="6668" max="6668" width="28.28515625" style="209" bestFit="1" customWidth="1"/>
    <col min="6669" max="6669" width="22" style="209" bestFit="1" customWidth="1"/>
    <col min="6670" max="6670" width="17.7109375" style="209" bestFit="1" customWidth="1"/>
    <col min="6671" max="6671" width="50" style="209" bestFit="1" customWidth="1"/>
    <col min="6672" max="6672" width="21.140625" style="209" bestFit="1" customWidth="1"/>
    <col min="6673" max="6673" width="9.85546875" style="209" customWidth="1"/>
    <col min="6674" max="6674" width="9" style="209" bestFit="1" customWidth="1"/>
    <col min="6675" max="6675" width="14.28515625" style="209" customWidth="1"/>
    <col min="6676" max="6676" width="6.5703125" style="209" bestFit="1" customWidth="1"/>
    <col min="6677" max="6912" width="31.28515625" style="209"/>
    <col min="6913" max="6913" width="60.28515625" style="209" bestFit="1" customWidth="1"/>
    <col min="6914" max="6914" width="22" style="209" bestFit="1" customWidth="1"/>
    <col min="6915" max="6915" width="15.7109375" style="209" customWidth="1"/>
    <col min="6916" max="6917" width="16.140625" style="209" customWidth="1"/>
    <col min="6918" max="6918" width="13.28515625" style="209" customWidth="1"/>
    <col min="6919" max="6919" width="16.7109375" style="209" customWidth="1"/>
    <col min="6920" max="6920" width="12.85546875" style="209" customWidth="1"/>
    <col min="6921" max="6921" width="12.85546875" style="209" bestFit="1" customWidth="1"/>
    <col min="6922" max="6922" width="53.7109375" style="209" bestFit="1" customWidth="1"/>
    <col min="6923" max="6923" width="16" style="209" bestFit="1" customWidth="1"/>
    <col min="6924" max="6924" width="28.28515625" style="209" bestFit="1" customWidth="1"/>
    <col min="6925" max="6925" width="22" style="209" bestFit="1" customWidth="1"/>
    <col min="6926" max="6926" width="17.7109375" style="209" bestFit="1" customWidth="1"/>
    <col min="6927" max="6927" width="50" style="209" bestFit="1" customWidth="1"/>
    <col min="6928" max="6928" width="21.140625" style="209" bestFit="1" customWidth="1"/>
    <col min="6929" max="6929" width="9.85546875" style="209" customWidth="1"/>
    <col min="6930" max="6930" width="9" style="209" bestFit="1" customWidth="1"/>
    <col min="6931" max="6931" width="14.28515625" style="209" customWidth="1"/>
    <col min="6932" max="6932" width="6.5703125" style="209" bestFit="1" customWidth="1"/>
    <col min="6933" max="7168" width="31.28515625" style="209"/>
    <col min="7169" max="7169" width="60.28515625" style="209" bestFit="1" customWidth="1"/>
    <col min="7170" max="7170" width="22" style="209" bestFit="1" customWidth="1"/>
    <col min="7171" max="7171" width="15.7109375" style="209" customWidth="1"/>
    <col min="7172" max="7173" width="16.140625" style="209" customWidth="1"/>
    <col min="7174" max="7174" width="13.28515625" style="209" customWidth="1"/>
    <col min="7175" max="7175" width="16.7109375" style="209" customWidth="1"/>
    <col min="7176" max="7176" width="12.85546875" style="209" customWidth="1"/>
    <col min="7177" max="7177" width="12.85546875" style="209" bestFit="1" customWidth="1"/>
    <col min="7178" max="7178" width="53.7109375" style="209" bestFit="1" customWidth="1"/>
    <col min="7179" max="7179" width="16" style="209" bestFit="1" customWidth="1"/>
    <col min="7180" max="7180" width="28.28515625" style="209" bestFit="1" customWidth="1"/>
    <col min="7181" max="7181" width="22" style="209" bestFit="1" customWidth="1"/>
    <col min="7182" max="7182" width="17.7109375" style="209" bestFit="1" customWidth="1"/>
    <col min="7183" max="7183" width="50" style="209" bestFit="1" customWidth="1"/>
    <col min="7184" max="7184" width="21.140625" style="209" bestFit="1" customWidth="1"/>
    <col min="7185" max="7185" width="9.85546875" style="209" customWidth="1"/>
    <col min="7186" max="7186" width="9" style="209" bestFit="1" customWidth="1"/>
    <col min="7187" max="7187" width="14.28515625" style="209" customWidth="1"/>
    <col min="7188" max="7188" width="6.5703125" style="209" bestFit="1" customWidth="1"/>
    <col min="7189" max="7424" width="31.28515625" style="209"/>
    <col min="7425" max="7425" width="60.28515625" style="209" bestFit="1" customWidth="1"/>
    <col min="7426" max="7426" width="22" style="209" bestFit="1" customWidth="1"/>
    <col min="7427" max="7427" width="15.7109375" style="209" customWidth="1"/>
    <col min="7428" max="7429" width="16.140625" style="209" customWidth="1"/>
    <col min="7430" max="7430" width="13.28515625" style="209" customWidth="1"/>
    <col min="7431" max="7431" width="16.7109375" style="209" customWidth="1"/>
    <col min="7432" max="7432" width="12.85546875" style="209" customWidth="1"/>
    <col min="7433" max="7433" width="12.85546875" style="209" bestFit="1" customWidth="1"/>
    <col min="7434" max="7434" width="53.7109375" style="209" bestFit="1" customWidth="1"/>
    <col min="7435" max="7435" width="16" style="209" bestFit="1" customWidth="1"/>
    <col min="7436" max="7436" width="28.28515625" style="209" bestFit="1" customWidth="1"/>
    <col min="7437" max="7437" width="22" style="209" bestFit="1" customWidth="1"/>
    <col min="7438" max="7438" width="17.7109375" style="209" bestFit="1" customWidth="1"/>
    <col min="7439" max="7439" width="50" style="209" bestFit="1" customWidth="1"/>
    <col min="7440" max="7440" width="21.140625" style="209" bestFit="1" customWidth="1"/>
    <col min="7441" max="7441" width="9.85546875" style="209" customWidth="1"/>
    <col min="7442" max="7442" width="9" style="209" bestFit="1" customWidth="1"/>
    <col min="7443" max="7443" width="14.28515625" style="209" customWidth="1"/>
    <col min="7444" max="7444" width="6.5703125" style="209" bestFit="1" customWidth="1"/>
    <col min="7445" max="7680" width="31.28515625" style="209"/>
    <col min="7681" max="7681" width="60.28515625" style="209" bestFit="1" customWidth="1"/>
    <col min="7682" max="7682" width="22" style="209" bestFit="1" customWidth="1"/>
    <col min="7683" max="7683" width="15.7109375" style="209" customWidth="1"/>
    <col min="7684" max="7685" width="16.140625" style="209" customWidth="1"/>
    <col min="7686" max="7686" width="13.28515625" style="209" customWidth="1"/>
    <col min="7687" max="7687" width="16.7109375" style="209" customWidth="1"/>
    <col min="7688" max="7688" width="12.85546875" style="209" customWidth="1"/>
    <col min="7689" max="7689" width="12.85546875" style="209" bestFit="1" customWidth="1"/>
    <col min="7690" max="7690" width="53.7109375" style="209" bestFit="1" customWidth="1"/>
    <col min="7691" max="7691" width="16" style="209" bestFit="1" customWidth="1"/>
    <col min="7692" max="7692" width="28.28515625" style="209" bestFit="1" customWidth="1"/>
    <col min="7693" max="7693" width="22" style="209" bestFit="1" customWidth="1"/>
    <col min="7694" max="7694" width="17.7109375" style="209" bestFit="1" customWidth="1"/>
    <col min="7695" max="7695" width="50" style="209" bestFit="1" customWidth="1"/>
    <col min="7696" max="7696" width="21.140625" style="209" bestFit="1" customWidth="1"/>
    <col min="7697" max="7697" width="9.85546875" style="209" customWidth="1"/>
    <col min="7698" max="7698" width="9" style="209" bestFit="1" customWidth="1"/>
    <col min="7699" max="7699" width="14.28515625" style="209" customWidth="1"/>
    <col min="7700" max="7700" width="6.5703125" style="209" bestFit="1" customWidth="1"/>
    <col min="7701" max="7936" width="31.28515625" style="209"/>
    <col min="7937" max="7937" width="60.28515625" style="209" bestFit="1" customWidth="1"/>
    <col min="7938" max="7938" width="22" style="209" bestFit="1" customWidth="1"/>
    <col min="7939" max="7939" width="15.7109375" style="209" customWidth="1"/>
    <col min="7940" max="7941" width="16.140625" style="209" customWidth="1"/>
    <col min="7942" max="7942" width="13.28515625" style="209" customWidth="1"/>
    <col min="7943" max="7943" width="16.7109375" style="209" customWidth="1"/>
    <col min="7944" max="7944" width="12.85546875" style="209" customWidth="1"/>
    <col min="7945" max="7945" width="12.85546875" style="209" bestFit="1" customWidth="1"/>
    <col min="7946" max="7946" width="53.7109375" style="209" bestFit="1" customWidth="1"/>
    <col min="7947" max="7947" width="16" style="209" bestFit="1" customWidth="1"/>
    <col min="7948" max="7948" width="28.28515625" style="209" bestFit="1" customWidth="1"/>
    <col min="7949" max="7949" width="22" style="209" bestFit="1" customWidth="1"/>
    <col min="7950" max="7950" width="17.7109375" style="209" bestFit="1" customWidth="1"/>
    <col min="7951" max="7951" width="50" style="209" bestFit="1" customWidth="1"/>
    <col min="7952" max="7952" width="21.140625" style="209" bestFit="1" customWidth="1"/>
    <col min="7953" max="7953" width="9.85546875" style="209" customWidth="1"/>
    <col min="7954" max="7954" width="9" style="209" bestFit="1" customWidth="1"/>
    <col min="7955" max="7955" width="14.28515625" style="209" customWidth="1"/>
    <col min="7956" max="7956" width="6.5703125" style="209" bestFit="1" customWidth="1"/>
    <col min="7957" max="8192" width="31.28515625" style="209"/>
    <col min="8193" max="8193" width="60.28515625" style="209" bestFit="1" customWidth="1"/>
    <col min="8194" max="8194" width="22" style="209" bestFit="1" customWidth="1"/>
    <col min="8195" max="8195" width="15.7109375" style="209" customWidth="1"/>
    <col min="8196" max="8197" width="16.140625" style="209" customWidth="1"/>
    <col min="8198" max="8198" width="13.28515625" style="209" customWidth="1"/>
    <col min="8199" max="8199" width="16.7109375" style="209" customWidth="1"/>
    <col min="8200" max="8200" width="12.85546875" style="209" customWidth="1"/>
    <col min="8201" max="8201" width="12.85546875" style="209" bestFit="1" customWidth="1"/>
    <col min="8202" max="8202" width="53.7109375" style="209" bestFit="1" customWidth="1"/>
    <col min="8203" max="8203" width="16" style="209" bestFit="1" customWidth="1"/>
    <col min="8204" max="8204" width="28.28515625" style="209" bestFit="1" customWidth="1"/>
    <col min="8205" max="8205" width="22" style="209" bestFit="1" customWidth="1"/>
    <col min="8206" max="8206" width="17.7109375" style="209" bestFit="1" customWidth="1"/>
    <col min="8207" max="8207" width="50" style="209" bestFit="1" customWidth="1"/>
    <col min="8208" max="8208" width="21.140625" style="209" bestFit="1" customWidth="1"/>
    <col min="8209" max="8209" width="9.85546875" style="209" customWidth="1"/>
    <col min="8210" max="8210" width="9" style="209" bestFit="1" customWidth="1"/>
    <col min="8211" max="8211" width="14.28515625" style="209" customWidth="1"/>
    <col min="8212" max="8212" width="6.5703125" style="209" bestFit="1" customWidth="1"/>
    <col min="8213" max="8448" width="31.28515625" style="209"/>
    <col min="8449" max="8449" width="60.28515625" style="209" bestFit="1" customWidth="1"/>
    <col min="8450" max="8450" width="22" style="209" bestFit="1" customWidth="1"/>
    <col min="8451" max="8451" width="15.7109375" style="209" customWidth="1"/>
    <col min="8452" max="8453" width="16.140625" style="209" customWidth="1"/>
    <col min="8454" max="8454" width="13.28515625" style="209" customWidth="1"/>
    <col min="8455" max="8455" width="16.7109375" style="209" customWidth="1"/>
    <col min="8456" max="8456" width="12.85546875" style="209" customWidth="1"/>
    <col min="8457" max="8457" width="12.85546875" style="209" bestFit="1" customWidth="1"/>
    <col min="8458" max="8458" width="53.7109375" style="209" bestFit="1" customWidth="1"/>
    <col min="8459" max="8459" width="16" style="209" bestFit="1" customWidth="1"/>
    <col min="8460" max="8460" width="28.28515625" style="209" bestFit="1" customWidth="1"/>
    <col min="8461" max="8461" width="22" style="209" bestFit="1" customWidth="1"/>
    <col min="8462" max="8462" width="17.7109375" style="209" bestFit="1" customWidth="1"/>
    <col min="8463" max="8463" width="50" style="209" bestFit="1" customWidth="1"/>
    <col min="8464" max="8464" width="21.140625" style="209" bestFit="1" customWidth="1"/>
    <col min="8465" max="8465" width="9.85546875" style="209" customWidth="1"/>
    <col min="8466" max="8466" width="9" style="209" bestFit="1" customWidth="1"/>
    <col min="8467" max="8467" width="14.28515625" style="209" customWidth="1"/>
    <col min="8468" max="8468" width="6.5703125" style="209" bestFit="1" customWidth="1"/>
    <col min="8469" max="8704" width="31.28515625" style="209"/>
    <col min="8705" max="8705" width="60.28515625" style="209" bestFit="1" customWidth="1"/>
    <col min="8706" max="8706" width="22" style="209" bestFit="1" customWidth="1"/>
    <col min="8707" max="8707" width="15.7109375" style="209" customWidth="1"/>
    <col min="8708" max="8709" width="16.140625" style="209" customWidth="1"/>
    <col min="8710" max="8710" width="13.28515625" style="209" customWidth="1"/>
    <col min="8711" max="8711" width="16.7109375" style="209" customWidth="1"/>
    <col min="8712" max="8712" width="12.85546875" style="209" customWidth="1"/>
    <col min="8713" max="8713" width="12.85546875" style="209" bestFit="1" customWidth="1"/>
    <col min="8714" max="8714" width="53.7109375" style="209" bestFit="1" customWidth="1"/>
    <col min="8715" max="8715" width="16" style="209" bestFit="1" customWidth="1"/>
    <col min="8716" max="8716" width="28.28515625" style="209" bestFit="1" customWidth="1"/>
    <col min="8717" max="8717" width="22" style="209" bestFit="1" customWidth="1"/>
    <col min="8718" max="8718" width="17.7109375" style="209" bestFit="1" customWidth="1"/>
    <col min="8719" max="8719" width="50" style="209" bestFit="1" customWidth="1"/>
    <col min="8720" max="8720" width="21.140625" style="209" bestFit="1" customWidth="1"/>
    <col min="8721" max="8721" width="9.85546875" style="209" customWidth="1"/>
    <col min="8722" max="8722" width="9" style="209" bestFit="1" customWidth="1"/>
    <col min="8723" max="8723" width="14.28515625" style="209" customWidth="1"/>
    <col min="8724" max="8724" width="6.5703125" style="209" bestFit="1" customWidth="1"/>
    <col min="8725" max="8960" width="31.28515625" style="209"/>
    <col min="8961" max="8961" width="60.28515625" style="209" bestFit="1" customWidth="1"/>
    <col min="8962" max="8962" width="22" style="209" bestFit="1" customWidth="1"/>
    <col min="8963" max="8963" width="15.7109375" style="209" customWidth="1"/>
    <col min="8964" max="8965" width="16.140625" style="209" customWidth="1"/>
    <col min="8966" max="8966" width="13.28515625" style="209" customWidth="1"/>
    <col min="8967" max="8967" width="16.7109375" style="209" customWidth="1"/>
    <col min="8968" max="8968" width="12.85546875" style="209" customWidth="1"/>
    <col min="8969" max="8969" width="12.85546875" style="209" bestFit="1" customWidth="1"/>
    <col min="8970" max="8970" width="53.7109375" style="209" bestFit="1" customWidth="1"/>
    <col min="8971" max="8971" width="16" style="209" bestFit="1" customWidth="1"/>
    <col min="8972" max="8972" width="28.28515625" style="209" bestFit="1" customWidth="1"/>
    <col min="8973" max="8973" width="22" style="209" bestFit="1" customWidth="1"/>
    <col min="8974" max="8974" width="17.7109375" style="209" bestFit="1" customWidth="1"/>
    <col min="8975" max="8975" width="50" style="209" bestFit="1" customWidth="1"/>
    <col min="8976" max="8976" width="21.140625" style="209" bestFit="1" customWidth="1"/>
    <col min="8977" max="8977" width="9.85546875" style="209" customWidth="1"/>
    <col min="8978" max="8978" width="9" style="209" bestFit="1" customWidth="1"/>
    <col min="8979" max="8979" width="14.28515625" style="209" customWidth="1"/>
    <col min="8980" max="8980" width="6.5703125" style="209" bestFit="1" customWidth="1"/>
    <col min="8981" max="9216" width="31.28515625" style="209"/>
    <col min="9217" max="9217" width="60.28515625" style="209" bestFit="1" customWidth="1"/>
    <col min="9218" max="9218" width="22" style="209" bestFit="1" customWidth="1"/>
    <col min="9219" max="9219" width="15.7109375" style="209" customWidth="1"/>
    <col min="9220" max="9221" width="16.140625" style="209" customWidth="1"/>
    <col min="9222" max="9222" width="13.28515625" style="209" customWidth="1"/>
    <col min="9223" max="9223" width="16.7109375" style="209" customWidth="1"/>
    <col min="9224" max="9224" width="12.85546875" style="209" customWidth="1"/>
    <col min="9225" max="9225" width="12.85546875" style="209" bestFit="1" customWidth="1"/>
    <col min="9226" max="9226" width="53.7109375" style="209" bestFit="1" customWidth="1"/>
    <col min="9227" max="9227" width="16" style="209" bestFit="1" customWidth="1"/>
    <col min="9228" max="9228" width="28.28515625" style="209" bestFit="1" customWidth="1"/>
    <col min="9229" max="9229" width="22" style="209" bestFit="1" customWidth="1"/>
    <col min="9230" max="9230" width="17.7109375" style="209" bestFit="1" customWidth="1"/>
    <col min="9231" max="9231" width="50" style="209" bestFit="1" customWidth="1"/>
    <col min="9232" max="9232" width="21.140625" style="209" bestFit="1" customWidth="1"/>
    <col min="9233" max="9233" width="9.85546875" style="209" customWidth="1"/>
    <col min="9234" max="9234" width="9" style="209" bestFit="1" customWidth="1"/>
    <col min="9235" max="9235" width="14.28515625" style="209" customWidth="1"/>
    <col min="9236" max="9236" width="6.5703125" style="209" bestFit="1" customWidth="1"/>
    <col min="9237" max="9472" width="31.28515625" style="209"/>
    <col min="9473" max="9473" width="60.28515625" style="209" bestFit="1" customWidth="1"/>
    <col min="9474" max="9474" width="22" style="209" bestFit="1" customWidth="1"/>
    <col min="9475" max="9475" width="15.7109375" style="209" customWidth="1"/>
    <col min="9476" max="9477" width="16.140625" style="209" customWidth="1"/>
    <col min="9478" max="9478" width="13.28515625" style="209" customWidth="1"/>
    <col min="9479" max="9479" width="16.7109375" style="209" customWidth="1"/>
    <col min="9480" max="9480" width="12.85546875" style="209" customWidth="1"/>
    <col min="9481" max="9481" width="12.85546875" style="209" bestFit="1" customWidth="1"/>
    <col min="9482" max="9482" width="53.7109375" style="209" bestFit="1" customWidth="1"/>
    <col min="9483" max="9483" width="16" style="209" bestFit="1" customWidth="1"/>
    <col min="9484" max="9484" width="28.28515625" style="209" bestFit="1" customWidth="1"/>
    <col min="9485" max="9485" width="22" style="209" bestFit="1" customWidth="1"/>
    <col min="9486" max="9486" width="17.7109375" style="209" bestFit="1" customWidth="1"/>
    <col min="9487" max="9487" width="50" style="209" bestFit="1" customWidth="1"/>
    <col min="9488" max="9488" width="21.140625" style="209" bestFit="1" customWidth="1"/>
    <col min="9489" max="9489" width="9.85546875" style="209" customWidth="1"/>
    <col min="9490" max="9490" width="9" style="209" bestFit="1" customWidth="1"/>
    <col min="9491" max="9491" width="14.28515625" style="209" customWidth="1"/>
    <col min="9492" max="9492" width="6.5703125" style="209" bestFit="1" customWidth="1"/>
    <col min="9493" max="9728" width="31.28515625" style="209"/>
    <col min="9729" max="9729" width="60.28515625" style="209" bestFit="1" customWidth="1"/>
    <col min="9730" max="9730" width="22" style="209" bestFit="1" customWidth="1"/>
    <col min="9731" max="9731" width="15.7109375" style="209" customWidth="1"/>
    <col min="9732" max="9733" width="16.140625" style="209" customWidth="1"/>
    <col min="9734" max="9734" width="13.28515625" style="209" customWidth="1"/>
    <col min="9735" max="9735" width="16.7109375" style="209" customWidth="1"/>
    <col min="9736" max="9736" width="12.85546875" style="209" customWidth="1"/>
    <col min="9737" max="9737" width="12.85546875" style="209" bestFit="1" customWidth="1"/>
    <col min="9738" max="9738" width="53.7109375" style="209" bestFit="1" customWidth="1"/>
    <col min="9739" max="9739" width="16" style="209" bestFit="1" customWidth="1"/>
    <col min="9740" max="9740" width="28.28515625" style="209" bestFit="1" customWidth="1"/>
    <col min="9741" max="9741" width="22" style="209" bestFit="1" customWidth="1"/>
    <col min="9742" max="9742" width="17.7109375" style="209" bestFit="1" customWidth="1"/>
    <col min="9743" max="9743" width="50" style="209" bestFit="1" customWidth="1"/>
    <col min="9744" max="9744" width="21.140625" style="209" bestFit="1" customWidth="1"/>
    <col min="9745" max="9745" width="9.85546875" style="209" customWidth="1"/>
    <col min="9746" max="9746" width="9" style="209" bestFit="1" customWidth="1"/>
    <col min="9747" max="9747" width="14.28515625" style="209" customWidth="1"/>
    <col min="9748" max="9748" width="6.5703125" style="209" bestFit="1" customWidth="1"/>
    <col min="9749" max="9984" width="31.28515625" style="209"/>
    <col min="9985" max="9985" width="60.28515625" style="209" bestFit="1" customWidth="1"/>
    <col min="9986" max="9986" width="22" style="209" bestFit="1" customWidth="1"/>
    <col min="9987" max="9987" width="15.7109375" style="209" customWidth="1"/>
    <col min="9988" max="9989" width="16.140625" style="209" customWidth="1"/>
    <col min="9990" max="9990" width="13.28515625" style="209" customWidth="1"/>
    <col min="9991" max="9991" width="16.7109375" style="209" customWidth="1"/>
    <col min="9992" max="9992" width="12.85546875" style="209" customWidth="1"/>
    <col min="9993" max="9993" width="12.85546875" style="209" bestFit="1" customWidth="1"/>
    <col min="9994" max="9994" width="53.7109375" style="209" bestFit="1" customWidth="1"/>
    <col min="9995" max="9995" width="16" style="209" bestFit="1" customWidth="1"/>
    <col min="9996" max="9996" width="28.28515625" style="209" bestFit="1" customWidth="1"/>
    <col min="9997" max="9997" width="22" style="209" bestFit="1" customWidth="1"/>
    <col min="9998" max="9998" width="17.7109375" style="209" bestFit="1" customWidth="1"/>
    <col min="9999" max="9999" width="50" style="209" bestFit="1" customWidth="1"/>
    <col min="10000" max="10000" width="21.140625" style="209" bestFit="1" customWidth="1"/>
    <col min="10001" max="10001" width="9.85546875" style="209" customWidth="1"/>
    <col min="10002" max="10002" width="9" style="209" bestFit="1" customWidth="1"/>
    <col min="10003" max="10003" width="14.28515625" style="209" customWidth="1"/>
    <col min="10004" max="10004" width="6.5703125" style="209" bestFit="1" customWidth="1"/>
    <col min="10005" max="10240" width="31.28515625" style="209"/>
    <col min="10241" max="10241" width="60.28515625" style="209" bestFit="1" customWidth="1"/>
    <col min="10242" max="10242" width="22" style="209" bestFit="1" customWidth="1"/>
    <col min="10243" max="10243" width="15.7109375" style="209" customWidth="1"/>
    <col min="10244" max="10245" width="16.140625" style="209" customWidth="1"/>
    <col min="10246" max="10246" width="13.28515625" style="209" customWidth="1"/>
    <col min="10247" max="10247" width="16.7109375" style="209" customWidth="1"/>
    <col min="10248" max="10248" width="12.85546875" style="209" customWidth="1"/>
    <col min="10249" max="10249" width="12.85546875" style="209" bestFit="1" customWidth="1"/>
    <col min="10250" max="10250" width="53.7109375" style="209" bestFit="1" customWidth="1"/>
    <col min="10251" max="10251" width="16" style="209" bestFit="1" customWidth="1"/>
    <col min="10252" max="10252" width="28.28515625" style="209" bestFit="1" customWidth="1"/>
    <col min="10253" max="10253" width="22" style="209" bestFit="1" customWidth="1"/>
    <col min="10254" max="10254" width="17.7109375" style="209" bestFit="1" customWidth="1"/>
    <col min="10255" max="10255" width="50" style="209" bestFit="1" customWidth="1"/>
    <col min="10256" max="10256" width="21.140625" style="209" bestFit="1" customWidth="1"/>
    <col min="10257" max="10257" width="9.85546875" style="209" customWidth="1"/>
    <col min="10258" max="10258" width="9" style="209" bestFit="1" customWidth="1"/>
    <col min="10259" max="10259" width="14.28515625" style="209" customWidth="1"/>
    <col min="10260" max="10260" width="6.5703125" style="209" bestFit="1" customWidth="1"/>
    <col min="10261" max="10496" width="31.28515625" style="209"/>
    <col min="10497" max="10497" width="60.28515625" style="209" bestFit="1" customWidth="1"/>
    <col min="10498" max="10498" width="22" style="209" bestFit="1" customWidth="1"/>
    <col min="10499" max="10499" width="15.7109375" style="209" customWidth="1"/>
    <col min="10500" max="10501" width="16.140625" style="209" customWidth="1"/>
    <col min="10502" max="10502" width="13.28515625" style="209" customWidth="1"/>
    <col min="10503" max="10503" width="16.7109375" style="209" customWidth="1"/>
    <col min="10504" max="10504" width="12.85546875" style="209" customWidth="1"/>
    <col min="10505" max="10505" width="12.85546875" style="209" bestFit="1" customWidth="1"/>
    <col min="10506" max="10506" width="53.7109375" style="209" bestFit="1" customWidth="1"/>
    <col min="10507" max="10507" width="16" style="209" bestFit="1" customWidth="1"/>
    <col min="10508" max="10508" width="28.28515625" style="209" bestFit="1" customWidth="1"/>
    <col min="10509" max="10509" width="22" style="209" bestFit="1" customWidth="1"/>
    <col min="10510" max="10510" width="17.7109375" style="209" bestFit="1" customWidth="1"/>
    <col min="10511" max="10511" width="50" style="209" bestFit="1" customWidth="1"/>
    <col min="10512" max="10512" width="21.140625" style="209" bestFit="1" customWidth="1"/>
    <col min="10513" max="10513" width="9.85546875" style="209" customWidth="1"/>
    <col min="10514" max="10514" width="9" style="209" bestFit="1" customWidth="1"/>
    <col min="10515" max="10515" width="14.28515625" style="209" customWidth="1"/>
    <col min="10516" max="10516" width="6.5703125" style="209" bestFit="1" customWidth="1"/>
    <col min="10517" max="10752" width="31.28515625" style="209"/>
    <col min="10753" max="10753" width="60.28515625" style="209" bestFit="1" customWidth="1"/>
    <col min="10754" max="10754" width="22" style="209" bestFit="1" customWidth="1"/>
    <col min="10755" max="10755" width="15.7109375" style="209" customWidth="1"/>
    <col min="10756" max="10757" width="16.140625" style="209" customWidth="1"/>
    <col min="10758" max="10758" width="13.28515625" style="209" customWidth="1"/>
    <col min="10759" max="10759" width="16.7109375" style="209" customWidth="1"/>
    <col min="10760" max="10760" width="12.85546875" style="209" customWidth="1"/>
    <col min="10761" max="10761" width="12.85546875" style="209" bestFit="1" customWidth="1"/>
    <col min="10762" max="10762" width="53.7109375" style="209" bestFit="1" customWidth="1"/>
    <col min="10763" max="10763" width="16" style="209" bestFit="1" customWidth="1"/>
    <col min="10764" max="10764" width="28.28515625" style="209" bestFit="1" customWidth="1"/>
    <col min="10765" max="10765" width="22" style="209" bestFit="1" customWidth="1"/>
    <col min="10766" max="10766" width="17.7109375" style="209" bestFit="1" customWidth="1"/>
    <col min="10767" max="10767" width="50" style="209" bestFit="1" customWidth="1"/>
    <col min="10768" max="10768" width="21.140625" style="209" bestFit="1" customWidth="1"/>
    <col min="10769" max="10769" width="9.85546875" style="209" customWidth="1"/>
    <col min="10770" max="10770" width="9" style="209" bestFit="1" customWidth="1"/>
    <col min="10771" max="10771" width="14.28515625" style="209" customWidth="1"/>
    <col min="10772" max="10772" width="6.5703125" style="209" bestFit="1" customWidth="1"/>
    <col min="10773" max="11008" width="31.28515625" style="209"/>
    <col min="11009" max="11009" width="60.28515625" style="209" bestFit="1" customWidth="1"/>
    <col min="11010" max="11010" width="22" style="209" bestFit="1" customWidth="1"/>
    <col min="11011" max="11011" width="15.7109375" style="209" customWidth="1"/>
    <col min="11012" max="11013" width="16.140625" style="209" customWidth="1"/>
    <col min="11014" max="11014" width="13.28515625" style="209" customWidth="1"/>
    <col min="11015" max="11015" width="16.7109375" style="209" customWidth="1"/>
    <col min="11016" max="11016" width="12.85546875" style="209" customWidth="1"/>
    <col min="11017" max="11017" width="12.85546875" style="209" bestFit="1" customWidth="1"/>
    <col min="11018" max="11018" width="53.7109375" style="209" bestFit="1" customWidth="1"/>
    <col min="11019" max="11019" width="16" style="209" bestFit="1" customWidth="1"/>
    <col min="11020" max="11020" width="28.28515625" style="209" bestFit="1" customWidth="1"/>
    <col min="11021" max="11021" width="22" style="209" bestFit="1" customWidth="1"/>
    <col min="11022" max="11022" width="17.7109375" style="209" bestFit="1" customWidth="1"/>
    <col min="11023" max="11023" width="50" style="209" bestFit="1" customWidth="1"/>
    <col min="11024" max="11024" width="21.140625" style="209" bestFit="1" customWidth="1"/>
    <col min="11025" max="11025" width="9.85546875" style="209" customWidth="1"/>
    <col min="11026" max="11026" width="9" style="209" bestFit="1" customWidth="1"/>
    <col min="11027" max="11027" width="14.28515625" style="209" customWidth="1"/>
    <col min="11028" max="11028" width="6.5703125" style="209" bestFit="1" customWidth="1"/>
    <col min="11029" max="11264" width="31.28515625" style="209"/>
    <col min="11265" max="11265" width="60.28515625" style="209" bestFit="1" customWidth="1"/>
    <col min="11266" max="11266" width="22" style="209" bestFit="1" customWidth="1"/>
    <col min="11267" max="11267" width="15.7109375" style="209" customWidth="1"/>
    <col min="11268" max="11269" width="16.140625" style="209" customWidth="1"/>
    <col min="11270" max="11270" width="13.28515625" style="209" customWidth="1"/>
    <col min="11271" max="11271" width="16.7109375" style="209" customWidth="1"/>
    <col min="11272" max="11272" width="12.85546875" style="209" customWidth="1"/>
    <col min="11273" max="11273" width="12.85546875" style="209" bestFit="1" customWidth="1"/>
    <col min="11274" max="11274" width="53.7109375" style="209" bestFit="1" customWidth="1"/>
    <col min="11275" max="11275" width="16" style="209" bestFit="1" customWidth="1"/>
    <col min="11276" max="11276" width="28.28515625" style="209" bestFit="1" customWidth="1"/>
    <col min="11277" max="11277" width="22" style="209" bestFit="1" customWidth="1"/>
    <col min="11278" max="11278" width="17.7109375" style="209" bestFit="1" customWidth="1"/>
    <col min="11279" max="11279" width="50" style="209" bestFit="1" customWidth="1"/>
    <col min="11280" max="11280" width="21.140625" style="209" bestFit="1" customWidth="1"/>
    <col min="11281" max="11281" width="9.85546875" style="209" customWidth="1"/>
    <col min="11282" max="11282" width="9" style="209" bestFit="1" customWidth="1"/>
    <col min="11283" max="11283" width="14.28515625" style="209" customWidth="1"/>
    <col min="11284" max="11284" width="6.5703125" style="209" bestFit="1" customWidth="1"/>
    <col min="11285" max="11520" width="31.28515625" style="209"/>
    <col min="11521" max="11521" width="60.28515625" style="209" bestFit="1" customWidth="1"/>
    <col min="11522" max="11522" width="22" style="209" bestFit="1" customWidth="1"/>
    <col min="11523" max="11523" width="15.7109375" style="209" customWidth="1"/>
    <col min="11524" max="11525" width="16.140625" style="209" customWidth="1"/>
    <col min="11526" max="11526" width="13.28515625" style="209" customWidth="1"/>
    <col min="11527" max="11527" width="16.7109375" style="209" customWidth="1"/>
    <col min="11528" max="11528" width="12.85546875" style="209" customWidth="1"/>
    <col min="11529" max="11529" width="12.85546875" style="209" bestFit="1" customWidth="1"/>
    <col min="11530" max="11530" width="53.7109375" style="209" bestFit="1" customWidth="1"/>
    <col min="11531" max="11531" width="16" style="209" bestFit="1" customWidth="1"/>
    <col min="11532" max="11532" width="28.28515625" style="209" bestFit="1" customWidth="1"/>
    <col min="11533" max="11533" width="22" style="209" bestFit="1" customWidth="1"/>
    <col min="11534" max="11534" width="17.7109375" style="209" bestFit="1" customWidth="1"/>
    <col min="11535" max="11535" width="50" style="209" bestFit="1" customWidth="1"/>
    <col min="11536" max="11536" width="21.140625" style="209" bestFit="1" customWidth="1"/>
    <col min="11537" max="11537" width="9.85546875" style="209" customWidth="1"/>
    <col min="11538" max="11538" width="9" style="209" bestFit="1" customWidth="1"/>
    <col min="11539" max="11539" width="14.28515625" style="209" customWidth="1"/>
    <col min="11540" max="11540" width="6.5703125" style="209" bestFit="1" customWidth="1"/>
    <col min="11541" max="11776" width="31.28515625" style="209"/>
    <col min="11777" max="11777" width="60.28515625" style="209" bestFit="1" customWidth="1"/>
    <col min="11778" max="11778" width="22" style="209" bestFit="1" customWidth="1"/>
    <col min="11779" max="11779" width="15.7109375" style="209" customWidth="1"/>
    <col min="11780" max="11781" width="16.140625" style="209" customWidth="1"/>
    <col min="11782" max="11782" width="13.28515625" style="209" customWidth="1"/>
    <col min="11783" max="11783" width="16.7109375" style="209" customWidth="1"/>
    <col min="11784" max="11784" width="12.85546875" style="209" customWidth="1"/>
    <col min="11785" max="11785" width="12.85546875" style="209" bestFit="1" customWidth="1"/>
    <col min="11786" max="11786" width="53.7109375" style="209" bestFit="1" customWidth="1"/>
    <col min="11787" max="11787" width="16" style="209" bestFit="1" customWidth="1"/>
    <col min="11788" max="11788" width="28.28515625" style="209" bestFit="1" customWidth="1"/>
    <col min="11789" max="11789" width="22" style="209" bestFit="1" customWidth="1"/>
    <col min="11790" max="11790" width="17.7109375" style="209" bestFit="1" customWidth="1"/>
    <col min="11791" max="11791" width="50" style="209" bestFit="1" customWidth="1"/>
    <col min="11792" max="11792" width="21.140625" style="209" bestFit="1" customWidth="1"/>
    <col min="11793" max="11793" width="9.85546875" style="209" customWidth="1"/>
    <col min="11794" max="11794" width="9" style="209" bestFit="1" customWidth="1"/>
    <col min="11795" max="11795" width="14.28515625" style="209" customWidth="1"/>
    <col min="11796" max="11796" width="6.5703125" style="209" bestFit="1" customWidth="1"/>
    <col min="11797" max="12032" width="31.28515625" style="209"/>
    <col min="12033" max="12033" width="60.28515625" style="209" bestFit="1" customWidth="1"/>
    <col min="12034" max="12034" width="22" style="209" bestFit="1" customWidth="1"/>
    <col min="12035" max="12035" width="15.7109375" style="209" customWidth="1"/>
    <col min="12036" max="12037" width="16.140625" style="209" customWidth="1"/>
    <col min="12038" max="12038" width="13.28515625" style="209" customWidth="1"/>
    <col min="12039" max="12039" width="16.7109375" style="209" customWidth="1"/>
    <col min="12040" max="12040" width="12.85546875" style="209" customWidth="1"/>
    <col min="12041" max="12041" width="12.85546875" style="209" bestFit="1" customWidth="1"/>
    <col min="12042" max="12042" width="53.7109375" style="209" bestFit="1" customWidth="1"/>
    <col min="12043" max="12043" width="16" style="209" bestFit="1" customWidth="1"/>
    <col min="12044" max="12044" width="28.28515625" style="209" bestFit="1" customWidth="1"/>
    <col min="12045" max="12045" width="22" style="209" bestFit="1" customWidth="1"/>
    <col min="12046" max="12046" width="17.7109375" style="209" bestFit="1" customWidth="1"/>
    <col min="12047" max="12047" width="50" style="209" bestFit="1" customWidth="1"/>
    <col min="12048" max="12048" width="21.140625" style="209" bestFit="1" customWidth="1"/>
    <col min="12049" max="12049" width="9.85546875" style="209" customWidth="1"/>
    <col min="12050" max="12050" width="9" style="209" bestFit="1" customWidth="1"/>
    <col min="12051" max="12051" width="14.28515625" style="209" customWidth="1"/>
    <col min="12052" max="12052" width="6.5703125" style="209" bestFit="1" customWidth="1"/>
    <col min="12053" max="12288" width="31.28515625" style="209"/>
    <col min="12289" max="12289" width="60.28515625" style="209" bestFit="1" customWidth="1"/>
    <col min="12290" max="12290" width="22" style="209" bestFit="1" customWidth="1"/>
    <col min="12291" max="12291" width="15.7109375" style="209" customWidth="1"/>
    <col min="12292" max="12293" width="16.140625" style="209" customWidth="1"/>
    <col min="12294" max="12294" width="13.28515625" style="209" customWidth="1"/>
    <col min="12295" max="12295" width="16.7109375" style="209" customWidth="1"/>
    <col min="12296" max="12296" width="12.85546875" style="209" customWidth="1"/>
    <col min="12297" max="12297" width="12.85546875" style="209" bestFit="1" customWidth="1"/>
    <col min="12298" max="12298" width="53.7109375" style="209" bestFit="1" customWidth="1"/>
    <col min="12299" max="12299" width="16" style="209" bestFit="1" customWidth="1"/>
    <col min="12300" max="12300" width="28.28515625" style="209" bestFit="1" customWidth="1"/>
    <col min="12301" max="12301" width="22" style="209" bestFit="1" customWidth="1"/>
    <col min="12302" max="12302" width="17.7109375" style="209" bestFit="1" customWidth="1"/>
    <col min="12303" max="12303" width="50" style="209" bestFit="1" customWidth="1"/>
    <col min="12304" max="12304" width="21.140625" style="209" bestFit="1" customWidth="1"/>
    <col min="12305" max="12305" width="9.85546875" style="209" customWidth="1"/>
    <col min="12306" max="12306" width="9" style="209" bestFit="1" customWidth="1"/>
    <col min="12307" max="12307" width="14.28515625" style="209" customWidth="1"/>
    <col min="12308" max="12308" width="6.5703125" style="209" bestFit="1" customWidth="1"/>
    <col min="12309" max="12544" width="31.28515625" style="209"/>
    <col min="12545" max="12545" width="60.28515625" style="209" bestFit="1" customWidth="1"/>
    <col min="12546" max="12546" width="22" style="209" bestFit="1" customWidth="1"/>
    <col min="12547" max="12547" width="15.7109375" style="209" customWidth="1"/>
    <col min="12548" max="12549" width="16.140625" style="209" customWidth="1"/>
    <col min="12550" max="12550" width="13.28515625" style="209" customWidth="1"/>
    <col min="12551" max="12551" width="16.7109375" style="209" customWidth="1"/>
    <col min="12552" max="12552" width="12.85546875" style="209" customWidth="1"/>
    <col min="12553" max="12553" width="12.85546875" style="209" bestFit="1" customWidth="1"/>
    <col min="12554" max="12554" width="53.7109375" style="209" bestFit="1" customWidth="1"/>
    <col min="12555" max="12555" width="16" style="209" bestFit="1" customWidth="1"/>
    <col min="12556" max="12556" width="28.28515625" style="209" bestFit="1" customWidth="1"/>
    <col min="12557" max="12557" width="22" style="209" bestFit="1" customWidth="1"/>
    <col min="12558" max="12558" width="17.7109375" style="209" bestFit="1" customWidth="1"/>
    <col min="12559" max="12559" width="50" style="209" bestFit="1" customWidth="1"/>
    <col min="12560" max="12560" width="21.140625" style="209" bestFit="1" customWidth="1"/>
    <col min="12561" max="12561" width="9.85546875" style="209" customWidth="1"/>
    <col min="12562" max="12562" width="9" style="209" bestFit="1" customWidth="1"/>
    <col min="12563" max="12563" width="14.28515625" style="209" customWidth="1"/>
    <col min="12564" max="12564" width="6.5703125" style="209" bestFit="1" customWidth="1"/>
    <col min="12565" max="12800" width="31.28515625" style="209"/>
    <col min="12801" max="12801" width="60.28515625" style="209" bestFit="1" customWidth="1"/>
    <col min="12802" max="12802" width="22" style="209" bestFit="1" customWidth="1"/>
    <col min="12803" max="12803" width="15.7109375" style="209" customWidth="1"/>
    <col min="12804" max="12805" width="16.140625" style="209" customWidth="1"/>
    <col min="12806" max="12806" width="13.28515625" style="209" customWidth="1"/>
    <col min="12807" max="12807" width="16.7109375" style="209" customWidth="1"/>
    <col min="12808" max="12808" width="12.85546875" style="209" customWidth="1"/>
    <col min="12809" max="12809" width="12.85546875" style="209" bestFit="1" customWidth="1"/>
    <col min="12810" max="12810" width="53.7109375" style="209" bestFit="1" customWidth="1"/>
    <col min="12811" max="12811" width="16" style="209" bestFit="1" customWidth="1"/>
    <col min="12812" max="12812" width="28.28515625" style="209" bestFit="1" customWidth="1"/>
    <col min="12813" max="12813" width="22" style="209" bestFit="1" customWidth="1"/>
    <col min="12814" max="12814" width="17.7109375" style="209" bestFit="1" customWidth="1"/>
    <col min="12815" max="12815" width="50" style="209" bestFit="1" customWidth="1"/>
    <col min="12816" max="12816" width="21.140625" style="209" bestFit="1" customWidth="1"/>
    <col min="12817" max="12817" width="9.85546875" style="209" customWidth="1"/>
    <col min="12818" max="12818" width="9" style="209" bestFit="1" customWidth="1"/>
    <col min="12819" max="12819" width="14.28515625" style="209" customWidth="1"/>
    <col min="12820" max="12820" width="6.5703125" style="209" bestFit="1" customWidth="1"/>
    <col min="12821" max="13056" width="31.28515625" style="209"/>
    <col min="13057" max="13057" width="60.28515625" style="209" bestFit="1" customWidth="1"/>
    <col min="13058" max="13058" width="22" style="209" bestFit="1" customWidth="1"/>
    <col min="13059" max="13059" width="15.7109375" style="209" customWidth="1"/>
    <col min="13060" max="13061" width="16.140625" style="209" customWidth="1"/>
    <col min="13062" max="13062" width="13.28515625" style="209" customWidth="1"/>
    <col min="13063" max="13063" width="16.7109375" style="209" customWidth="1"/>
    <col min="13064" max="13064" width="12.85546875" style="209" customWidth="1"/>
    <col min="13065" max="13065" width="12.85546875" style="209" bestFit="1" customWidth="1"/>
    <col min="13066" max="13066" width="53.7109375" style="209" bestFit="1" customWidth="1"/>
    <col min="13067" max="13067" width="16" style="209" bestFit="1" customWidth="1"/>
    <col min="13068" max="13068" width="28.28515625" style="209" bestFit="1" customWidth="1"/>
    <col min="13069" max="13069" width="22" style="209" bestFit="1" customWidth="1"/>
    <col min="13070" max="13070" width="17.7109375" style="209" bestFit="1" customWidth="1"/>
    <col min="13071" max="13071" width="50" style="209" bestFit="1" customWidth="1"/>
    <col min="13072" max="13072" width="21.140625" style="209" bestFit="1" customWidth="1"/>
    <col min="13073" max="13073" width="9.85546875" style="209" customWidth="1"/>
    <col min="13074" max="13074" width="9" style="209" bestFit="1" customWidth="1"/>
    <col min="13075" max="13075" width="14.28515625" style="209" customWidth="1"/>
    <col min="13076" max="13076" width="6.5703125" style="209" bestFit="1" customWidth="1"/>
    <col min="13077" max="13312" width="31.28515625" style="209"/>
    <col min="13313" max="13313" width="60.28515625" style="209" bestFit="1" customWidth="1"/>
    <col min="13314" max="13314" width="22" style="209" bestFit="1" customWidth="1"/>
    <col min="13315" max="13315" width="15.7109375" style="209" customWidth="1"/>
    <col min="13316" max="13317" width="16.140625" style="209" customWidth="1"/>
    <col min="13318" max="13318" width="13.28515625" style="209" customWidth="1"/>
    <col min="13319" max="13319" width="16.7109375" style="209" customWidth="1"/>
    <col min="13320" max="13320" width="12.85546875" style="209" customWidth="1"/>
    <col min="13321" max="13321" width="12.85546875" style="209" bestFit="1" customWidth="1"/>
    <col min="13322" max="13322" width="53.7109375" style="209" bestFit="1" customWidth="1"/>
    <col min="13323" max="13323" width="16" style="209" bestFit="1" customWidth="1"/>
    <col min="13324" max="13324" width="28.28515625" style="209" bestFit="1" customWidth="1"/>
    <col min="13325" max="13325" width="22" style="209" bestFit="1" customWidth="1"/>
    <col min="13326" max="13326" width="17.7109375" style="209" bestFit="1" customWidth="1"/>
    <col min="13327" max="13327" width="50" style="209" bestFit="1" customWidth="1"/>
    <col min="13328" max="13328" width="21.140625" style="209" bestFit="1" customWidth="1"/>
    <col min="13329" max="13329" width="9.85546875" style="209" customWidth="1"/>
    <col min="13330" max="13330" width="9" style="209" bestFit="1" customWidth="1"/>
    <col min="13331" max="13331" width="14.28515625" style="209" customWidth="1"/>
    <col min="13332" max="13332" width="6.5703125" style="209" bestFit="1" customWidth="1"/>
    <col min="13333" max="13568" width="31.28515625" style="209"/>
    <col min="13569" max="13569" width="60.28515625" style="209" bestFit="1" customWidth="1"/>
    <col min="13570" max="13570" width="22" style="209" bestFit="1" customWidth="1"/>
    <col min="13571" max="13571" width="15.7109375" style="209" customWidth="1"/>
    <col min="13572" max="13573" width="16.140625" style="209" customWidth="1"/>
    <col min="13574" max="13574" width="13.28515625" style="209" customWidth="1"/>
    <col min="13575" max="13575" width="16.7109375" style="209" customWidth="1"/>
    <col min="13576" max="13576" width="12.85546875" style="209" customWidth="1"/>
    <col min="13577" max="13577" width="12.85546875" style="209" bestFit="1" customWidth="1"/>
    <col min="13578" max="13578" width="53.7109375" style="209" bestFit="1" customWidth="1"/>
    <col min="13579" max="13579" width="16" style="209" bestFit="1" customWidth="1"/>
    <col min="13580" max="13580" width="28.28515625" style="209" bestFit="1" customWidth="1"/>
    <col min="13581" max="13581" width="22" style="209" bestFit="1" customWidth="1"/>
    <col min="13582" max="13582" width="17.7109375" style="209" bestFit="1" customWidth="1"/>
    <col min="13583" max="13583" width="50" style="209" bestFit="1" customWidth="1"/>
    <col min="13584" max="13584" width="21.140625" style="209" bestFit="1" customWidth="1"/>
    <col min="13585" max="13585" width="9.85546875" style="209" customWidth="1"/>
    <col min="13586" max="13586" width="9" style="209" bestFit="1" customWidth="1"/>
    <col min="13587" max="13587" width="14.28515625" style="209" customWidth="1"/>
    <col min="13588" max="13588" width="6.5703125" style="209" bestFit="1" customWidth="1"/>
    <col min="13589" max="13824" width="31.28515625" style="209"/>
    <col min="13825" max="13825" width="60.28515625" style="209" bestFit="1" customWidth="1"/>
    <col min="13826" max="13826" width="22" style="209" bestFit="1" customWidth="1"/>
    <col min="13827" max="13827" width="15.7109375" style="209" customWidth="1"/>
    <col min="13828" max="13829" width="16.140625" style="209" customWidth="1"/>
    <col min="13830" max="13830" width="13.28515625" style="209" customWidth="1"/>
    <col min="13831" max="13831" width="16.7109375" style="209" customWidth="1"/>
    <col min="13832" max="13832" width="12.85546875" style="209" customWidth="1"/>
    <col min="13833" max="13833" width="12.85546875" style="209" bestFit="1" customWidth="1"/>
    <col min="13834" max="13834" width="53.7109375" style="209" bestFit="1" customWidth="1"/>
    <col min="13835" max="13835" width="16" style="209" bestFit="1" customWidth="1"/>
    <col min="13836" max="13836" width="28.28515625" style="209" bestFit="1" customWidth="1"/>
    <col min="13837" max="13837" width="22" style="209" bestFit="1" customWidth="1"/>
    <col min="13838" max="13838" width="17.7109375" style="209" bestFit="1" customWidth="1"/>
    <col min="13839" max="13839" width="50" style="209" bestFit="1" customWidth="1"/>
    <col min="13840" max="13840" width="21.140625" style="209" bestFit="1" customWidth="1"/>
    <col min="13841" max="13841" width="9.85546875" style="209" customWidth="1"/>
    <col min="13842" max="13842" width="9" style="209" bestFit="1" customWidth="1"/>
    <col min="13843" max="13843" width="14.28515625" style="209" customWidth="1"/>
    <col min="13844" max="13844" width="6.5703125" style="209" bestFit="1" customWidth="1"/>
    <col min="13845" max="14080" width="31.28515625" style="209"/>
    <col min="14081" max="14081" width="60.28515625" style="209" bestFit="1" customWidth="1"/>
    <col min="14082" max="14082" width="22" style="209" bestFit="1" customWidth="1"/>
    <col min="14083" max="14083" width="15.7109375" style="209" customWidth="1"/>
    <col min="14084" max="14085" width="16.140625" style="209" customWidth="1"/>
    <col min="14086" max="14086" width="13.28515625" style="209" customWidth="1"/>
    <col min="14087" max="14087" width="16.7109375" style="209" customWidth="1"/>
    <col min="14088" max="14088" width="12.85546875" style="209" customWidth="1"/>
    <col min="14089" max="14089" width="12.85546875" style="209" bestFit="1" customWidth="1"/>
    <col min="14090" max="14090" width="53.7109375" style="209" bestFit="1" customWidth="1"/>
    <col min="14091" max="14091" width="16" style="209" bestFit="1" customWidth="1"/>
    <col min="14092" max="14092" width="28.28515625" style="209" bestFit="1" customWidth="1"/>
    <col min="14093" max="14093" width="22" style="209" bestFit="1" customWidth="1"/>
    <col min="14094" max="14094" width="17.7109375" style="209" bestFit="1" customWidth="1"/>
    <col min="14095" max="14095" width="50" style="209" bestFit="1" customWidth="1"/>
    <col min="14096" max="14096" width="21.140625" style="209" bestFit="1" customWidth="1"/>
    <col min="14097" max="14097" width="9.85546875" style="209" customWidth="1"/>
    <col min="14098" max="14098" width="9" style="209" bestFit="1" customWidth="1"/>
    <col min="14099" max="14099" width="14.28515625" style="209" customWidth="1"/>
    <col min="14100" max="14100" width="6.5703125" style="209" bestFit="1" customWidth="1"/>
    <col min="14101" max="14336" width="31.28515625" style="209"/>
    <col min="14337" max="14337" width="60.28515625" style="209" bestFit="1" customWidth="1"/>
    <col min="14338" max="14338" width="22" style="209" bestFit="1" customWidth="1"/>
    <col min="14339" max="14339" width="15.7109375" style="209" customWidth="1"/>
    <col min="14340" max="14341" width="16.140625" style="209" customWidth="1"/>
    <col min="14342" max="14342" width="13.28515625" style="209" customWidth="1"/>
    <col min="14343" max="14343" width="16.7109375" style="209" customWidth="1"/>
    <col min="14344" max="14344" width="12.85546875" style="209" customWidth="1"/>
    <col min="14345" max="14345" width="12.85546875" style="209" bestFit="1" customWidth="1"/>
    <col min="14346" max="14346" width="53.7109375" style="209" bestFit="1" customWidth="1"/>
    <col min="14347" max="14347" width="16" style="209" bestFit="1" customWidth="1"/>
    <col min="14348" max="14348" width="28.28515625" style="209" bestFit="1" customWidth="1"/>
    <col min="14349" max="14349" width="22" style="209" bestFit="1" customWidth="1"/>
    <col min="14350" max="14350" width="17.7109375" style="209" bestFit="1" customWidth="1"/>
    <col min="14351" max="14351" width="50" style="209" bestFit="1" customWidth="1"/>
    <col min="14352" max="14352" width="21.140625" style="209" bestFit="1" customWidth="1"/>
    <col min="14353" max="14353" width="9.85546875" style="209" customWidth="1"/>
    <col min="14354" max="14354" width="9" style="209" bestFit="1" customWidth="1"/>
    <col min="14355" max="14355" width="14.28515625" style="209" customWidth="1"/>
    <col min="14356" max="14356" width="6.5703125" style="209" bestFit="1" customWidth="1"/>
    <col min="14357" max="14592" width="31.28515625" style="209"/>
    <col min="14593" max="14593" width="60.28515625" style="209" bestFit="1" customWidth="1"/>
    <col min="14594" max="14594" width="22" style="209" bestFit="1" customWidth="1"/>
    <col min="14595" max="14595" width="15.7109375" style="209" customWidth="1"/>
    <col min="14596" max="14597" width="16.140625" style="209" customWidth="1"/>
    <col min="14598" max="14598" width="13.28515625" style="209" customWidth="1"/>
    <col min="14599" max="14599" width="16.7109375" style="209" customWidth="1"/>
    <col min="14600" max="14600" width="12.85546875" style="209" customWidth="1"/>
    <col min="14601" max="14601" width="12.85546875" style="209" bestFit="1" customWidth="1"/>
    <col min="14602" max="14602" width="53.7109375" style="209" bestFit="1" customWidth="1"/>
    <col min="14603" max="14603" width="16" style="209" bestFit="1" customWidth="1"/>
    <col min="14604" max="14604" width="28.28515625" style="209" bestFit="1" customWidth="1"/>
    <col min="14605" max="14605" width="22" style="209" bestFit="1" customWidth="1"/>
    <col min="14606" max="14606" width="17.7109375" style="209" bestFit="1" customWidth="1"/>
    <col min="14607" max="14607" width="50" style="209" bestFit="1" customWidth="1"/>
    <col min="14608" max="14608" width="21.140625" style="209" bestFit="1" customWidth="1"/>
    <col min="14609" max="14609" width="9.85546875" style="209" customWidth="1"/>
    <col min="14610" max="14610" width="9" style="209" bestFit="1" customWidth="1"/>
    <col min="14611" max="14611" width="14.28515625" style="209" customWidth="1"/>
    <col min="14612" max="14612" width="6.5703125" style="209" bestFit="1" customWidth="1"/>
    <col min="14613" max="14848" width="31.28515625" style="209"/>
    <col min="14849" max="14849" width="60.28515625" style="209" bestFit="1" customWidth="1"/>
    <col min="14850" max="14850" width="22" style="209" bestFit="1" customWidth="1"/>
    <col min="14851" max="14851" width="15.7109375" style="209" customWidth="1"/>
    <col min="14852" max="14853" width="16.140625" style="209" customWidth="1"/>
    <col min="14854" max="14854" width="13.28515625" style="209" customWidth="1"/>
    <col min="14855" max="14855" width="16.7109375" style="209" customWidth="1"/>
    <col min="14856" max="14856" width="12.85546875" style="209" customWidth="1"/>
    <col min="14857" max="14857" width="12.85546875" style="209" bestFit="1" customWidth="1"/>
    <col min="14858" max="14858" width="53.7109375" style="209" bestFit="1" customWidth="1"/>
    <col min="14859" max="14859" width="16" style="209" bestFit="1" customWidth="1"/>
    <col min="14860" max="14860" width="28.28515625" style="209" bestFit="1" customWidth="1"/>
    <col min="14861" max="14861" width="22" style="209" bestFit="1" customWidth="1"/>
    <col min="14862" max="14862" width="17.7109375" style="209" bestFit="1" customWidth="1"/>
    <col min="14863" max="14863" width="50" style="209" bestFit="1" customWidth="1"/>
    <col min="14864" max="14864" width="21.140625" style="209" bestFit="1" customWidth="1"/>
    <col min="14865" max="14865" width="9.85546875" style="209" customWidth="1"/>
    <col min="14866" max="14866" width="9" style="209" bestFit="1" customWidth="1"/>
    <col min="14867" max="14867" width="14.28515625" style="209" customWidth="1"/>
    <col min="14868" max="14868" width="6.5703125" style="209" bestFit="1" customWidth="1"/>
    <col min="14869" max="15104" width="31.28515625" style="209"/>
    <col min="15105" max="15105" width="60.28515625" style="209" bestFit="1" customWidth="1"/>
    <col min="15106" max="15106" width="22" style="209" bestFit="1" customWidth="1"/>
    <col min="15107" max="15107" width="15.7109375" style="209" customWidth="1"/>
    <col min="15108" max="15109" width="16.140625" style="209" customWidth="1"/>
    <col min="15110" max="15110" width="13.28515625" style="209" customWidth="1"/>
    <col min="15111" max="15111" width="16.7109375" style="209" customWidth="1"/>
    <col min="15112" max="15112" width="12.85546875" style="209" customWidth="1"/>
    <col min="15113" max="15113" width="12.85546875" style="209" bestFit="1" customWidth="1"/>
    <col min="15114" max="15114" width="53.7109375" style="209" bestFit="1" customWidth="1"/>
    <col min="15115" max="15115" width="16" style="209" bestFit="1" customWidth="1"/>
    <col min="15116" max="15116" width="28.28515625" style="209" bestFit="1" customWidth="1"/>
    <col min="15117" max="15117" width="22" style="209" bestFit="1" customWidth="1"/>
    <col min="15118" max="15118" width="17.7109375" style="209" bestFit="1" customWidth="1"/>
    <col min="15119" max="15119" width="50" style="209" bestFit="1" customWidth="1"/>
    <col min="15120" max="15120" width="21.140625" style="209" bestFit="1" customWidth="1"/>
    <col min="15121" max="15121" width="9.85546875" style="209" customWidth="1"/>
    <col min="15122" max="15122" width="9" style="209" bestFit="1" customWidth="1"/>
    <col min="15123" max="15123" width="14.28515625" style="209" customWidth="1"/>
    <col min="15124" max="15124" width="6.5703125" style="209" bestFit="1" customWidth="1"/>
    <col min="15125" max="15360" width="31.28515625" style="209"/>
    <col min="15361" max="15361" width="60.28515625" style="209" bestFit="1" customWidth="1"/>
    <col min="15362" max="15362" width="22" style="209" bestFit="1" customWidth="1"/>
    <col min="15363" max="15363" width="15.7109375" style="209" customWidth="1"/>
    <col min="15364" max="15365" width="16.140625" style="209" customWidth="1"/>
    <col min="15366" max="15366" width="13.28515625" style="209" customWidth="1"/>
    <col min="15367" max="15367" width="16.7109375" style="209" customWidth="1"/>
    <col min="15368" max="15368" width="12.85546875" style="209" customWidth="1"/>
    <col min="15369" max="15369" width="12.85546875" style="209" bestFit="1" customWidth="1"/>
    <col min="15370" max="15370" width="53.7109375" style="209" bestFit="1" customWidth="1"/>
    <col min="15371" max="15371" width="16" style="209" bestFit="1" customWidth="1"/>
    <col min="15372" max="15372" width="28.28515625" style="209" bestFit="1" customWidth="1"/>
    <col min="15373" max="15373" width="22" style="209" bestFit="1" customWidth="1"/>
    <col min="15374" max="15374" width="17.7109375" style="209" bestFit="1" customWidth="1"/>
    <col min="15375" max="15375" width="50" style="209" bestFit="1" customWidth="1"/>
    <col min="15376" max="15376" width="21.140625" style="209" bestFit="1" customWidth="1"/>
    <col min="15377" max="15377" width="9.85546875" style="209" customWidth="1"/>
    <col min="15378" max="15378" width="9" style="209" bestFit="1" customWidth="1"/>
    <col min="15379" max="15379" width="14.28515625" style="209" customWidth="1"/>
    <col min="15380" max="15380" width="6.5703125" style="209" bestFit="1" customWidth="1"/>
    <col min="15381" max="15616" width="31.28515625" style="209"/>
    <col min="15617" max="15617" width="60.28515625" style="209" bestFit="1" customWidth="1"/>
    <col min="15618" max="15618" width="22" style="209" bestFit="1" customWidth="1"/>
    <col min="15619" max="15619" width="15.7109375" style="209" customWidth="1"/>
    <col min="15620" max="15621" width="16.140625" style="209" customWidth="1"/>
    <col min="15622" max="15622" width="13.28515625" style="209" customWidth="1"/>
    <col min="15623" max="15623" width="16.7109375" style="209" customWidth="1"/>
    <col min="15624" max="15624" width="12.85546875" style="209" customWidth="1"/>
    <col min="15625" max="15625" width="12.85546875" style="209" bestFit="1" customWidth="1"/>
    <col min="15626" max="15626" width="53.7109375" style="209" bestFit="1" customWidth="1"/>
    <col min="15627" max="15627" width="16" style="209" bestFit="1" customWidth="1"/>
    <col min="15628" max="15628" width="28.28515625" style="209" bestFit="1" customWidth="1"/>
    <col min="15629" max="15629" width="22" style="209" bestFit="1" customWidth="1"/>
    <col min="15630" max="15630" width="17.7109375" style="209" bestFit="1" customWidth="1"/>
    <col min="15631" max="15631" width="50" style="209" bestFit="1" customWidth="1"/>
    <col min="15632" max="15632" width="21.140625" style="209" bestFit="1" customWidth="1"/>
    <col min="15633" max="15633" width="9.85546875" style="209" customWidth="1"/>
    <col min="15634" max="15634" width="9" style="209" bestFit="1" customWidth="1"/>
    <col min="15635" max="15635" width="14.28515625" style="209" customWidth="1"/>
    <col min="15636" max="15636" width="6.5703125" style="209" bestFit="1" customWidth="1"/>
    <col min="15637" max="15872" width="31.28515625" style="209"/>
    <col min="15873" max="15873" width="60.28515625" style="209" bestFit="1" customWidth="1"/>
    <col min="15874" max="15874" width="22" style="209" bestFit="1" customWidth="1"/>
    <col min="15875" max="15875" width="15.7109375" style="209" customWidth="1"/>
    <col min="15876" max="15877" width="16.140625" style="209" customWidth="1"/>
    <col min="15878" max="15878" width="13.28515625" style="209" customWidth="1"/>
    <col min="15879" max="15879" width="16.7109375" style="209" customWidth="1"/>
    <col min="15880" max="15880" width="12.85546875" style="209" customWidth="1"/>
    <col min="15881" max="15881" width="12.85546875" style="209" bestFit="1" customWidth="1"/>
    <col min="15882" max="15882" width="53.7109375" style="209" bestFit="1" customWidth="1"/>
    <col min="15883" max="15883" width="16" style="209" bestFit="1" customWidth="1"/>
    <col min="15884" max="15884" width="28.28515625" style="209" bestFit="1" customWidth="1"/>
    <col min="15885" max="15885" width="22" style="209" bestFit="1" customWidth="1"/>
    <col min="15886" max="15886" width="17.7109375" style="209" bestFit="1" customWidth="1"/>
    <col min="15887" max="15887" width="50" style="209" bestFit="1" customWidth="1"/>
    <col min="15888" max="15888" width="21.140625" style="209" bestFit="1" customWidth="1"/>
    <col min="15889" max="15889" width="9.85546875" style="209" customWidth="1"/>
    <col min="15890" max="15890" width="9" style="209" bestFit="1" customWidth="1"/>
    <col min="15891" max="15891" width="14.28515625" style="209" customWidth="1"/>
    <col min="15892" max="15892" width="6.5703125" style="209" bestFit="1" customWidth="1"/>
    <col min="15893" max="16128" width="31.28515625" style="209"/>
    <col min="16129" max="16129" width="60.28515625" style="209" bestFit="1" customWidth="1"/>
    <col min="16130" max="16130" width="22" style="209" bestFit="1" customWidth="1"/>
    <col min="16131" max="16131" width="15.7109375" style="209" customWidth="1"/>
    <col min="16132" max="16133" width="16.140625" style="209" customWidth="1"/>
    <col min="16134" max="16134" width="13.28515625" style="209" customWidth="1"/>
    <col min="16135" max="16135" width="16.7109375" style="209" customWidth="1"/>
    <col min="16136" max="16136" width="12.85546875" style="209" customWidth="1"/>
    <col min="16137" max="16137" width="12.85546875" style="209" bestFit="1" customWidth="1"/>
    <col min="16138" max="16138" width="53.7109375" style="209" bestFit="1" customWidth="1"/>
    <col min="16139" max="16139" width="16" style="209" bestFit="1" customWidth="1"/>
    <col min="16140" max="16140" width="28.28515625" style="209" bestFit="1" customWidth="1"/>
    <col min="16141" max="16141" width="22" style="209" bestFit="1" customWidth="1"/>
    <col min="16142" max="16142" width="17.7109375" style="209" bestFit="1" customWidth="1"/>
    <col min="16143" max="16143" width="50" style="209" bestFit="1" customWidth="1"/>
    <col min="16144" max="16144" width="21.140625" style="209" bestFit="1" customWidth="1"/>
    <col min="16145" max="16145" width="9.85546875" style="209" customWidth="1"/>
    <col min="16146" max="16146" width="9" style="209" bestFit="1" customWidth="1"/>
    <col min="16147" max="16147" width="14.28515625" style="209" customWidth="1"/>
    <col min="16148" max="16148" width="6.5703125" style="209" bestFit="1" customWidth="1"/>
    <col min="16149" max="16384" width="31.28515625" style="209"/>
  </cols>
  <sheetData>
    <row r="1" spans="1:24" s="196" customFormat="1" ht="14.1" customHeight="1" thickBot="1" x14ac:dyDescent="0.25">
      <c r="A1" s="196" t="s">
        <v>1013</v>
      </c>
      <c r="B1" s="196" t="s">
        <v>1014</v>
      </c>
      <c r="C1" s="197" t="s">
        <v>1015</v>
      </c>
      <c r="D1" s="196" t="s">
        <v>1016</v>
      </c>
      <c r="F1" s="198" t="s">
        <v>1017</v>
      </c>
      <c r="G1" s="198" t="s">
        <v>1018</v>
      </c>
      <c r="H1" s="198" t="s">
        <v>1019</v>
      </c>
      <c r="I1" s="198" t="s">
        <v>1020</v>
      </c>
      <c r="J1" s="196" t="s">
        <v>1021</v>
      </c>
      <c r="K1" s="196" t="s">
        <v>1022</v>
      </c>
      <c r="L1" s="196" t="s">
        <v>1023</v>
      </c>
      <c r="M1" s="196" t="s">
        <v>418</v>
      </c>
      <c r="N1" s="196" t="s">
        <v>1024</v>
      </c>
      <c r="O1" s="196" t="s">
        <v>511</v>
      </c>
      <c r="P1" s="196" t="s">
        <v>1025</v>
      </c>
      <c r="Q1" s="197" t="s">
        <v>512</v>
      </c>
      <c r="R1" s="197" t="s">
        <v>513</v>
      </c>
      <c r="S1" s="197" t="s">
        <v>1026</v>
      </c>
      <c r="T1" s="196" t="s">
        <v>2378</v>
      </c>
    </row>
    <row r="2" spans="1:24" s="201" customFormat="1" hidden="1" x14ac:dyDescent="0.2">
      <c r="A2" s="199" t="s">
        <v>2379</v>
      </c>
      <c r="B2" s="199" t="s">
        <v>2380</v>
      </c>
      <c r="C2" s="200" t="s">
        <v>672</v>
      </c>
      <c r="D2" s="199" t="s">
        <v>152</v>
      </c>
      <c r="E2" s="199"/>
      <c r="F2" s="202">
        <v>1901</v>
      </c>
      <c r="G2" s="202">
        <v>190</v>
      </c>
      <c r="H2" s="202">
        <v>19</v>
      </c>
      <c r="I2" s="202">
        <f>F2+H2-G2</f>
        <v>1730</v>
      </c>
      <c r="J2" s="199" t="s">
        <v>795</v>
      </c>
      <c r="K2" s="199" t="s">
        <v>29</v>
      </c>
      <c r="L2" s="199" t="s">
        <v>1058</v>
      </c>
      <c r="M2" s="199" t="s">
        <v>2381</v>
      </c>
      <c r="N2" s="201" t="s">
        <v>2382</v>
      </c>
      <c r="O2" s="199" t="s">
        <v>652</v>
      </c>
      <c r="P2" s="199" t="s">
        <v>652</v>
      </c>
      <c r="Q2" s="204" t="s">
        <v>797</v>
      </c>
      <c r="R2" s="204" t="s">
        <v>798</v>
      </c>
      <c r="S2" s="204" t="s">
        <v>672</v>
      </c>
      <c r="T2" s="199"/>
      <c r="U2" s="199"/>
      <c r="V2" s="199"/>
      <c r="W2" s="199"/>
      <c r="X2" s="199"/>
    </row>
    <row r="3" spans="1:24" hidden="1" x14ac:dyDescent="0.2">
      <c r="A3" s="205" t="s">
        <v>2383</v>
      </c>
      <c r="B3" s="205" t="s">
        <v>2384</v>
      </c>
      <c r="C3" s="200" t="s">
        <v>992</v>
      </c>
      <c r="D3" s="199" t="s">
        <v>152</v>
      </c>
      <c r="E3" s="199"/>
      <c r="F3" s="206">
        <v>68688</v>
      </c>
      <c r="G3" s="206">
        <v>6869</v>
      </c>
      <c r="H3" s="206">
        <v>687</v>
      </c>
      <c r="I3" s="202">
        <f t="shared" ref="I3:I66" si="0">F3+H3-G3</f>
        <v>62506</v>
      </c>
      <c r="J3" s="205" t="s">
        <v>1470</v>
      </c>
      <c r="K3" s="205" t="s">
        <v>29</v>
      </c>
      <c r="L3" s="199" t="s">
        <v>1028</v>
      </c>
      <c r="M3" s="205" t="s">
        <v>2385</v>
      </c>
      <c r="N3" s="199" t="s">
        <v>1072</v>
      </c>
      <c r="O3" s="205" t="s">
        <v>652</v>
      </c>
      <c r="P3" s="205" t="s">
        <v>652</v>
      </c>
      <c r="Q3" s="208" t="s">
        <v>2386</v>
      </c>
      <c r="R3" s="208" t="s">
        <v>2387</v>
      </c>
      <c r="S3" s="208" t="s">
        <v>992</v>
      </c>
      <c r="T3" s="199"/>
      <c r="U3" s="205"/>
      <c r="V3" s="205"/>
      <c r="W3" s="205"/>
      <c r="X3" s="205"/>
    </row>
    <row r="4" spans="1:24" s="205" customFormat="1" hidden="1" x14ac:dyDescent="0.2">
      <c r="A4" s="205" t="s">
        <v>2388</v>
      </c>
      <c r="B4" s="205" t="s">
        <v>2389</v>
      </c>
      <c r="C4" s="200" t="s">
        <v>992</v>
      </c>
      <c r="D4" s="199" t="s">
        <v>152</v>
      </c>
      <c r="E4" s="199"/>
      <c r="F4" s="206">
        <v>31983</v>
      </c>
      <c r="G4" s="206">
        <v>3198</v>
      </c>
      <c r="H4" s="206">
        <v>320</v>
      </c>
      <c r="I4" s="202">
        <f t="shared" si="0"/>
        <v>29105</v>
      </c>
      <c r="J4" s="205" t="s">
        <v>1470</v>
      </c>
      <c r="K4" s="205" t="s">
        <v>29</v>
      </c>
      <c r="L4" s="199" t="s">
        <v>1028</v>
      </c>
      <c r="M4" s="205" t="s">
        <v>2390</v>
      </c>
      <c r="N4" s="201" t="s">
        <v>1072</v>
      </c>
      <c r="O4" s="205" t="s">
        <v>652</v>
      </c>
      <c r="P4" s="205" t="s">
        <v>652</v>
      </c>
      <c r="Q4" s="208" t="s">
        <v>2386</v>
      </c>
      <c r="R4" s="208" t="s">
        <v>2387</v>
      </c>
      <c r="S4" s="208" t="s">
        <v>992</v>
      </c>
      <c r="T4" s="199"/>
    </row>
    <row r="5" spans="1:24" s="205" customFormat="1" hidden="1" x14ac:dyDescent="0.2">
      <c r="A5" s="209" t="s">
        <v>2391</v>
      </c>
      <c r="B5" s="209" t="s">
        <v>2392</v>
      </c>
      <c r="C5" s="234" t="s">
        <v>992</v>
      </c>
      <c r="D5" s="201" t="s">
        <v>152</v>
      </c>
      <c r="E5" s="201"/>
      <c r="F5" s="211">
        <v>85275</v>
      </c>
      <c r="G5" s="211">
        <v>8528</v>
      </c>
      <c r="H5" s="211">
        <v>853</v>
      </c>
      <c r="I5" s="202">
        <f t="shared" si="0"/>
        <v>77600</v>
      </c>
      <c r="J5" s="209" t="s">
        <v>1470</v>
      </c>
      <c r="K5" s="209" t="s">
        <v>29</v>
      </c>
      <c r="L5" s="201" t="s">
        <v>1028</v>
      </c>
      <c r="M5" s="209" t="s">
        <v>2393</v>
      </c>
      <c r="N5" s="201" t="s">
        <v>1030</v>
      </c>
      <c r="O5" s="209" t="s">
        <v>652</v>
      </c>
      <c r="P5" s="209" t="s">
        <v>652</v>
      </c>
      <c r="Q5" s="213" t="s">
        <v>2394</v>
      </c>
      <c r="R5" s="213" t="s">
        <v>2395</v>
      </c>
      <c r="S5" s="213" t="s">
        <v>992</v>
      </c>
      <c r="T5" s="201"/>
    </row>
    <row r="6" spans="1:24" s="205" customFormat="1" hidden="1" x14ac:dyDescent="0.2">
      <c r="A6" s="205" t="s">
        <v>75</v>
      </c>
      <c r="B6" s="205" t="s">
        <v>589</v>
      </c>
      <c r="C6" s="200" t="s">
        <v>2386</v>
      </c>
      <c r="D6" s="201" t="s">
        <v>166</v>
      </c>
      <c r="E6" s="201"/>
      <c r="F6" s="206">
        <v>-57073</v>
      </c>
      <c r="G6" s="206">
        <v>0</v>
      </c>
      <c r="H6" s="206">
        <v>0</v>
      </c>
      <c r="I6" s="202">
        <f t="shared" si="0"/>
        <v>-57073</v>
      </c>
      <c r="J6" s="205" t="s">
        <v>76</v>
      </c>
      <c r="K6" s="205" t="s">
        <v>29</v>
      </c>
      <c r="L6" s="201" t="s">
        <v>1068</v>
      </c>
      <c r="M6" s="205" t="s">
        <v>2396</v>
      </c>
      <c r="N6" s="201" t="s">
        <v>1030</v>
      </c>
      <c r="O6" s="205" t="s">
        <v>652</v>
      </c>
      <c r="P6" s="205" t="s">
        <v>652</v>
      </c>
      <c r="Q6" s="208" t="s">
        <v>653</v>
      </c>
      <c r="R6" s="208" t="s">
        <v>654</v>
      </c>
      <c r="S6" s="208" t="s">
        <v>2386</v>
      </c>
      <c r="T6" s="199"/>
    </row>
    <row r="7" spans="1:24" s="205" customFormat="1" hidden="1" x14ac:dyDescent="0.2">
      <c r="A7" s="205" t="s">
        <v>27</v>
      </c>
      <c r="B7" s="205" t="s">
        <v>531</v>
      </c>
      <c r="C7" s="200" t="s">
        <v>2386</v>
      </c>
      <c r="D7" s="201" t="s">
        <v>152</v>
      </c>
      <c r="E7" s="201"/>
      <c r="F7" s="206">
        <v>12661</v>
      </c>
      <c r="G7" s="206">
        <v>1266</v>
      </c>
      <c r="H7" s="206">
        <v>127</v>
      </c>
      <c r="I7" s="202">
        <f t="shared" si="0"/>
        <v>11522</v>
      </c>
      <c r="J7" s="205" t="s">
        <v>28</v>
      </c>
      <c r="K7" s="205" t="s">
        <v>29</v>
      </c>
      <c r="L7" s="201" t="s">
        <v>1042</v>
      </c>
      <c r="M7" s="205" t="s">
        <v>2397</v>
      </c>
      <c r="N7" s="201" t="s">
        <v>1030</v>
      </c>
      <c r="O7" s="205" t="s">
        <v>652</v>
      </c>
      <c r="P7" s="205" t="s">
        <v>652</v>
      </c>
      <c r="Q7" s="208" t="s">
        <v>764</v>
      </c>
      <c r="R7" s="208" t="s">
        <v>765</v>
      </c>
      <c r="S7" s="208" t="s">
        <v>2386</v>
      </c>
    </row>
    <row r="8" spans="1:24" s="205" customFormat="1" hidden="1" x14ac:dyDescent="0.2">
      <c r="A8" s="205" t="s">
        <v>64</v>
      </c>
      <c r="B8" s="205" t="s">
        <v>514</v>
      </c>
      <c r="C8" s="200" t="s">
        <v>2386</v>
      </c>
      <c r="D8" s="201" t="s">
        <v>152</v>
      </c>
      <c r="E8" s="201"/>
      <c r="F8" s="206">
        <v>227152</v>
      </c>
      <c r="G8" s="206">
        <v>22715</v>
      </c>
      <c r="H8" s="206">
        <v>2272</v>
      </c>
      <c r="I8" s="202">
        <f t="shared" si="0"/>
        <v>206709</v>
      </c>
      <c r="J8" s="205" t="s">
        <v>31</v>
      </c>
      <c r="K8" s="205" t="s">
        <v>29</v>
      </c>
      <c r="L8" s="201" t="s">
        <v>1042</v>
      </c>
      <c r="M8" s="205" t="s">
        <v>2398</v>
      </c>
      <c r="N8" s="201" t="s">
        <v>1030</v>
      </c>
      <c r="O8" s="205" t="s">
        <v>652</v>
      </c>
      <c r="P8" s="205" t="s">
        <v>652</v>
      </c>
      <c r="Q8" s="208" t="s">
        <v>653</v>
      </c>
      <c r="R8" s="208" t="s">
        <v>654</v>
      </c>
      <c r="S8" s="208" t="s">
        <v>2386</v>
      </c>
    </row>
    <row r="9" spans="1:24" s="205" customFormat="1" hidden="1" x14ac:dyDescent="0.2">
      <c r="A9" s="205" t="s">
        <v>125</v>
      </c>
      <c r="B9" s="205" t="s">
        <v>2399</v>
      </c>
      <c r="C9" s="200" t="s">
        <v>2386</v>
      </c>
      <c r="D9" s="201" t="s">
        <v>152</v>
      </c>
      <c r="E9" s="201"/>
      <c r="F9" s="206">
        <v>38380</v>
      </c>
      <c r="G9" s="206">
        <v>3838</v>
      </c>
      <c r="H9" s="206">
        <v>384</v>
      </c>
      <c r="I9" s="202">
        <f t="shared" si="0"/>
        <v>34926</v>
      </c>
      <c r="J9" s="205" t="s">
        <v>31</v>
      </c>
      <c r="K9" s="205" t="s">
        <v>29</v>
      </c>
      <c r="L9" s="201" t="s">
        <v>1042</v>
      </c>
      <c r="M9" s="205" t="s">
        <v>2400</v>
      </c>
      <c r="N9" s="201" t="s">
        <v>1030</v>
      </c>
      <c r="O9" s="205" t="s">
        <v>652</v>
      </c>
      <c r="P9" s="205" t="s">
        <v>652</v>
      </c>
      <c r="Q9" s="208" t="s">
        <v>738</v>
      </c>
      <c r="R9" s="208" t="s">
        <v>739</v>
      </c>
      <c r="S9" s="208" t="s">
        <v>2386</v>
      </c>
      <c r="T9" s="199"/>
    </row>
    <row r="10" spans="1:24" s="205" customFormat="1" hidden="1" x14ac:dyDescent="0.2">
      <c r="A10" s="205" t="s">
        <v>2401</v>
      </c>
      <c r="B10" s="205" t="s">
        <v>2402</v>
      </c>
      <c r="C10" s="200" t="s">
        <v>2386</v>
      </c>
      <c r="D10" s="199" t="s">
        <v>152</v>
      </c>
      <c r="E10" s="199"/>
      <c r="F10" s="206">
        <v>478091</v>
      </c>
      <c r="G10" s="206">
        <v>47809</v>
      </c>
      <c r="H10" s="206">
        <v>4781</v>
      </c>
      <c r="I10" s="202">
        <f t="shared" si="0"/>
        <v>435063</v>
      </c>
      <c r="J10" s="205" t="s">
        <v>49</v>
      </c>
      <c r="K10" s="205" t="s">
        <v>29</v>
      </c>
      <c r="L10" s="199" t="s">
        <v>1058</v>
      </c>
      <c r="M10" s="205" t="s">
        <v>2403</v>
      </c>
      <c r="N10" s="201" t="s">
        <v>1030</v>
      </c>
      <c r="O10" s="205" t="s">
        <v>1488</v>
      </c>
      <c r="P10" s="205" t="s">
        <v>1191</v>
      </c>
      <c r="Q10" s="208" t="s">
        <v>2191</v>
      </c>
      <c r="R10" s="208" t="s">
        <v>2192</v>
      </c>
      <c r="S10" s="208" t="s">
        <v>2386</v>
      </c>
      <c r="T10" s="199"/>
    </row>
    <row r="11" spans="1:24" s="205" customFormat="1" hidden="1" x14ac:dyDescent="0.2">
      <c r="A11" s="205" t="s">
        <v>2404</v>
      </c>
      <c r="B11" s="205" t="s">
        <v>2405</v>
      </c>
      <c r="C11" s="200" t="s">
        <v>2386</v>
      </c>
      <c r="D11" s="199" t="s">
        <v>152</v>
      </c>
      <c r="E11" s="199"/>
      <c r="F11" s="206">
        <v>38338</v>
      </c>
      <c r="G11" s="206">
        <v>3834</v>
      </c>
      <c r="H11" s="206">
        <v>383</v>
      </c>
      <c r="I11" s="202">
        <f t="shared" si="0"/>
        <v>34887</v>
      </c>
      <c r="J11" s="205" t="s">
        <v>107</v>
      </c>
      <c r="K11" s="205" t="s">
        <v>29</v>
      </c>
      <c r="L11" s="199" t="s">
        <v>1058</v>
      </c>
      <c r="M11" s="205" t="s">
        <v>2406</v>
      </c>
      <c r="N11" s="201" t="s">
        <v>1072</v>
      </c>
      <c r="O11" s="205" t="s">
        <v>652</v>
      </c>
      <c r="P11" s="205" t="s">
        <v>652</v>
      </c>
      <c r="Q11" s="208" t="s">
        <v>1266</v>
      </c>
      <c r="R11" s="208" t="s">
        <v>2407</v>
      </c>
      <c r="S11" s="208" t="s">
        <v>2386</v>
      </c>
      <c r="T11" s="199"/>
    </row>
    <row r="12" spans="1:24" s="205" customFormat="1" hidden="1" x14ac:dyDescent="0.2">
      <c r="A12" s="205" t="s">
        <v>2408</v>
      </c>
      <c r="B12" s="205" t="s">
        <v>2409</v>
      </c>
      <c r="C12" s="200" t="s">
        <v>2386</v>
      </c>
      <c r="D12" s="199" t="s">
        <v>152</v>
      </c>
      <c r="E12" s="199"/>
      <c r="F12" s="206">
        <v>1901</v>
      </c>
      <c r="G12" s="206">
        <v>190</v>
      </c>
      <c r="H12" s="206">
        <v>19</v>
      </c>
      <c r="I12" s="202">
        <f t="shared" si="0"/>
        <v>1730</v>
      </c>
      <c r="J12" s="205" t="s">
        <v>795</v>
      </c>
      <c r="K12" s="205" t="s">
        <v>29</v>
      </c>
      <c r="L12" s="199" t="s">
        <v>1058</v>
      </c>
      <c r="M12" s="205" t="s">
        <v>2410</v>
      </c>
      <c r="N12" s="201" t="s">
        <v>1030</v>
      </c>
      <c r="O12" s="205" t="s">
        <v>652</v>
      </c>
      <c r="P12" s="205" t="s">
        <v>652</v>
      </c>
      <c r="Q12" s="208" t="s">
        <v>832</v>
      </c>
      <c r="R12" s="208" t="s">
        <v>1495</v>
      </c>
      <c r="S12" s="208" t="s">
        <v>2386</v>
      </c>
      <c r="T12" s="199"/>
    </row>
    <row r="13" spans="1:24" s="205" customFormat="1" hidden="1" x14ac:dyDescent="0.2">
      <c r="A13" s="205" t="s">
        <v>218</v>
      </c>
      <c r="B13" s="205" t="s">
        <v>2411</v>
      </c>
      <c r="C13" s="200" t="s">
        <v>2386</v>
      </c>
      <c r="D13" s="201" t="s">
        <v>152</v>
      </c>
      <c r="E13" s="201"/>
      <c r="F13" s="206">
        <v>3014109</v>
      </c>
      <c r="G13" s="206">
        <v>301410</v>
      </c>
      <c r="H13" s="206">
        <v>15071</v>
      </c>
      <c r="I13" s="202">
        <f t="shared" si="0"/>
        <v>2727770</v>
      </c>
      <c r="J13" s="205" t="s">
        <v>54</v>
      </c>
      <c r="K13" s="205" t="s">
        <v>23</v>
      </c>
      <c r="L13" s="201" t="s">
        <v>1028</v>
      </c>
      <c r="M13" s="205" t="s">
        <v>2412</v>
      </c>
      <c r="N13" s="201" t="s">
        <v>1030</v>
      </c>
      <c r="O13" s="205" t="s">
        <v>652</v>
      </c>
      <c r="P13" s="205" t="s">
        <v>652</v>
      </c>
      <c r="Q13" s="208" t="s">
        <v>1407</v>
      </c>
      <c r="R13" s="208" t="s">
        <v>1408</v>
      </c>
      <c r="S13" s="208" t="s">
        <v>2386</v>
      </c>
    </row>
    <row r="14" spans="1:24" s="205" customFormat="1" hidden="1" x14ac:dyDescent="0.2">
      <c r="A14" s="205" t="s">
        <v>244</v>
      </c>
      <c r="B14" s="205" t="s">
        <v>2413</v>
      </c>
      <c r="C14" s="200" t="s">
        <v>2386</v>
      </c>
      <c r="D14" s="201" t="s">
        <v>152</v>
      </c>
      <c r="E14" s="201"/>
      <c r="F14" s="206">
        <v>121500</v>
      </c>
      <c r="G14" s="206">
        <v>12150</v>
      </c>
      <c r="H14" s="206">
        <v>608</v>
      </c>
      <c r="I14" s="202">
        <f t="shared" si="0"/>
        <v>109958</v>
      </c>
      <c r="J14" s="205" t="s">
        <v>38</v>
      </c>
      <c r="K14" s="205" t="s">
        <v>23</v>
      </c>
      <c r="L14" s="201" t="s">
        <v>1028</v>
      </c>
      <c r="M14" s="205" t="s">
        <v>2414</v>
      </c>
      <c r="N14" s="201" t="s">
        <v>1030</v>
      </c>
      <c r="O14" s="205" t="s">
        <v>652</v>
      </c>
      <c r="P14" s="205" t="s">
        <v>652</v>
      </c>
      <c r="Q14" s="208" t="s">
        <v>987</v>
      </c>
      <c r="R14" s="208" t="s">
        <v>988</v>
      </c>
      <c r="S14" s="208" t="s">
        <v>2386</v>
      </c>
    </row>
    <row r="15" spans="1:24" s="205" customFormat="1" hidden="1" x14ac:dyDescent="0.2">
      <c r="A15" s="205" t="s">
        <v>244</v>
      </c>
      <c r="B15" s="205" t="s">
        <v>2415</v>
      </c>
      <c r="C15" s="200" t="s">
        <v>2386</v>
      </c>
      <c r="D15" s="201" t="s">
        <v>152</v>
      </c>
      <c r="E15" s="201"/>
      <c r="F15" s="206">
        <v>117590</v>
      </c>
      <c r="G15" s="206">
        <v>11759</v>
      </c>
      <c r="H15" s="206">
        <v>588</v>
      </c>
      <c r="I15" s="202">
        <f t="shared" si="0"/>
        <v>106419</v>
      </c>
      <c r="J15" s="205" t="s">
        <v>38</v>
      </c>
      <c r="K15" s="205" t="s">
        <v>23</v>
      </c>
      <c r="L15" s="201" t="s">
        <v>1028</v>
      </c>
      <c r="M15" s="205" t="s">
        <v>2416</v>
      </c>
      <c r="N15" s="201" t="s">
        <v>1030</v>
      </c>
      <c r="O15" s="205" t="s">
        <v>652</v>
      </c>
      <c r="P15" s="205" t="s">
        <v>652</v>
      </c>
      <c r="Q15" s="216" t="s">
        <v>987</v>
      </c>
      <c r="R15" s="216" t="s">
        <v>988</v>
      </c>
      <c r="S15" s="208" t="s">
        <v>2386</v>
      </c>
    </row>
    <row r="16" spans="1:24" s="205" customFormat="1" hidden="1" x14ac:dyDescent="0.2">
      <c r="A16" s="205" t="s">
        <v>244</v>
      </c>
      <c r="B16" s="205" t="s">
        <v>2417</v>
      </c>
      <c r="C16" s="200" t="s">
        <v>2386</v>
      </c>
      <c r="D16" s="201" t="s">
        <v>152</v>
      </c>
      <c r="E16" s="201"/>
      <c r="F16" s="206">
        <v>90069</v>
      </c>
      <c r="G16" s="206">
        <v>9007</v>
      </c>
      <c r="H16" s="206">
        <v>450</v>
      </c>
      <c r="I16" s="202">
        <f t="shared" si="0"/>
        <v>81512</v>
      </c>
      <c r="J16" s="205" t="s">
        <v>38</v>
      </c>
      <c r="K16" s="205" t="s">
        <v>23</v>
      </c>
      <c r="L16" s="201" t="s">
        <v>1042</v>
      </c>
      <c r="M16" s="205" t="s">
        <v>2418</v>
      </c>
      <c r="N16" s="201" t="s">
        <v>1030</v>
      </c>
      <c r="O16" s="205" t="s">
        <v>652</v>
      </c>
      <c r="P16" s="205" t="s">
        <v>652</v>
      </c>
      <c r="Q16" s="208" t="s">
        <v>677</v>
      </c>
      <c r="R16" s="208" t="s">
        <v>678</v>
      </c>
      <c r="S16" s="208" t="s">
        <v>2386</v>
      </c>
    </row>
    <row r="17" spans="1:24" s="205" customFormat="1" hidden="1" x14ac:dyDescent="0.2">
      <c r="A17" s="205" t="s">
        <v>244</v>
      </c>
      <c r="B17" s="205" t="s">
        <v>2419</v>
      </c>
      <c r="C17" s="200" t="s">
        <v>2386</v>
      </c>
      <c r="D17" s="201" t="s">
        <v>152</v>
      </c>
      <c r="E17" s="201"/>
      <c r="F17" s="206">
        <v>87104</v>
      </c>
      <c r="G17" s="206">
        <v>8710</v>
      </c>
      <c r="H17" s="206">
        <v>436</v>
      </c>
      <c r="I17" s="202">
        <f t="shared" si="0"/>
        <v>78830</v>
      </c>
      <c r="J17" s="205" t="s">
        <v>38</v>
      </c>
      <c r="K17" s="205" t="s">
        <v>23</v>
      </c>
      <c r="L17" s="201" t="s">
        <v>1028</v>
      </c>
      <c r="M17" s="205" t="s">
        <v>2420</v>
      </c>
      <c r="N17" s="201" t="s">
        <v>1030</v>
      </c>
      <c r="O17" s="205" t="s">
        <v>652</v>
      </c>
      <c r="P17" s="205" t="s">
        <v>652</v>
      </c>
      <c r="Q17" s="208" t="s">
        <v>2191</v>
      </c>
      <c r="R17" s="208" t="s">
        <v>2192</v>
      </c>
      <c r="S17" s="208" t="s">
        <v>2386</v>
      </c>
    </row>
    <row r="18" spans="1:24" s="205" customFormat="1" hidden="1" x14ac:dyDescent="0.2">
      <c r="A18" s="205" t="s">
        <v>244</v>
      </c>
      <c r="B18" s="205" t="s">
        <v>2421</v>
      </c>
      <c r="C18" s="200" t="s">
        <v>2386</v>
      </c>
      <c r="D18" s="201" t="s">
        <v>152</v>
      </c>
      <c r="E18" s="201"/>
      <c r="F18" s="206">
        <v>87104</v>
      </c>
      <c r="G18" s="206">
        <v>8710</v>
      </c>
      <c r="H18" s="206">
        <v>436</v>
      </c>
      <c r="I18" s="202">
        <f t="shared" si="0"/>
        <v>78830</v>
      </c>
      <c r="J18" s="205" t="s">
        <v>38</v>
      </c>
      <c r="K18" s="205" t="s">
        <v>23</v>
      </c>
      <c r="L18" s="201" t="s">
        <v>1028</v>
      </c>
      <c r="M18" s="205" t="s">
        <v>2422</v>
      </c>
      <c r="N18" s="201" t="s">
        <v>1030</v>
      </c>
      <c r="O18" s="205" t="s">
        <v>652</v>
      </c>
      <c r="P18" s="205" t="s">
        <v>652</v>
      </c>
      <c r="Q18" s="208" t="s">
        <v>2191</v>
      </c>
      <c r="R18" s="208" t="s">
        <v>2192</v>
      </c>
      <c r="S18" s="208" t="s">
        <v>2386</v>
      </c>
    </row>
    <row r="19" spans="1:24" s="205" customFormat="1" hidden="1" x14ac:dyDescent="0.2">
      <c r="A19" s="205" t="s">
        <v>244</v>
      </c>
      <c r="B19" s="205" t="s">
        <v>2423</v>
      </c>
      <c r="C19" s="200" t="s">
        <v>2386</v>
      </c>
      <c r="D19" s="201" t="s">
        <v>152</v>
      </c>
      <c r="E19" s="201"/>
      <c r="F19" s="206">
        <v>38365</v>
      </c>
      <c r="G19" s="206">
        <v>3837</v>
      </c>
      <c r="H19" s="206">
        <v>192</v>
      </c>
      <c r="I19" s="202">
        <f t="shared" si="0"/>
        <v>34720</v>
      </c>
      <c r="J19" s="205" t="s">
        <v>38</v>
      </c>
      <c r="K19" s="205" t="s">
        <v>23</v>
      </c>
      <c r="L19" s="201" t="s">
        <v>1028</v>
      </c>
      <c r="M19" s="205" t="s">
        <v>2424</v>
      </c>
      <c r="N19" s="201" t="s">
        <v>1030</v>
      </c>
      <c r="O19" s="205" t="s">
        <v>652</v>
      </c>
      <c r="P19" s="205" t="s">
        <v>652</v>
      </c>
      <c r="Q19" s="208" t="s">
        <v>2191</v>
      </c>
      <c r="R19" s="208" t="s">
        <v>2192</v>
      </c>
      <c r="S19" s="208" t="s">
        <v>2386</v>
      </c>
    </row>
    <row r="20" spans="1:24" s="205" customFormat="1" hidden="1" x14ac:dyDescent="0.2">
      <c r="A20" s="205" t="s">
        <v>130</v>
      </c>
      <c r="B20" s="205" t="s">
        <v>623</v>
      </c>
      <c r="C20" s="200" t="s">
        <v>2386</v>
      </c>
      <c r="D20" s="199" t="s">
        <v>166</v>
      </c>
      <c r="E20" s="199"/>
      <c r="F20" s="206">
        <v>-28476</v>
      </c>
      <c r="G20" s="206">
        <v>-2848</v>
      </c>
      <c r="H20" s="206">
        <v>-142</v>
      </c>
      <c r="I20" s="202">
        <f t="shared" si="0"/>
        <v>-25770</v>
      </c>
      <c r="J20" s="205" t="s">
        <v>44</v>
      </c>
      <c r="K20" s="205" t="s">
        <v>23</v>
      </c>
      <c r="L20" s="199" t="s">
        <v>1068</v>
      </c>
      <c r="M20" s="205" t="s">
        <v>2425</v>
      </c>
      <c r="N20" s="201" t="s">
        <v>1030</v>
      </c>
      <c r="O20" s="205" t="s">
        <v>652</v>
      </c>
      <c r="P20" s="205" t="s">
        <v>652</v>
      </c>
      <c r="Q20" s="208" t="s">
        <v>653</v>
      </c>
      <c r="R20" s="208" t="s">
        <v>654</v>
      </c>
      <c r="S20" s="208" t="s">
        <v>2386</v>
      </c>
    </row>
    <row r="21" spans="1:24" s="205" customFormat="1" hidden="1" x14ac:dyDescent="0.2">
      <c r="A21" s="205" t="s">
        <v>67</v>
      </c>
      <c r="B21" s="205" t="s">
        <v>572</v>
      </c>
      <c r="C21" s="200" t="s">
        <v>2386</v>
      </c>
      <c r="D21" s="199" t="s">
        <v>152</v>
      </c>
      <c r="E21" s="199"/>
      <c r="F21" s="206">
        <v>28475</v>
      </c>
      <c r="G21" s="206">
        <v>2848</v>
      </c>
      <c r="H21" s="206">
        <v>142</v>
      </c>
      <c r="I21" s="202">
        <f t="shared" si="0"/>
        <v>25769</v>
      </c>
      <c r="J21" s="205" t="s">
        <v>44</v>
      </c>
      <c r="K21" s="205" t="s">
        <v>23</v>
      </c>
      <c r="L21" s="199" t="s">
        <v>1042</v>
      </c>
      <c r="M21" s="205" t="s">
        <v>2426</v>
      </c>
      <c r="N21" s="201" t="s">
        <v>1030</v>
      </c>
      <c r="O21" s="205" t="s">
        <v>652</v>
      </c>
      <c r="P21" s="205" t="s">
        <v>652</v>
      </c>
      <c r="Q21" s="214" t="s">
        <v>653</v>
      </c>
      <c r="R21" s="214" t="s">
        <v>654</v>
      </c>
      <c r="S21" s="214" t="s">
        <v>2386</v>
      </c>
    </row>
    <row r="22" spans="1:24" s="205" customFormat="1" hidden="1" x14ac:dyDescent="0.2">
      <c r="A22" s="205" t="s">
        <v>84</v>
      </c>
      <c r="B22" s="205" t="s">
        <v>540</v>
      </c>
      <c r="C22" s="200" t="s">
        <v>2386</v>
      </c>
      <c r="D22" s="199" t="s">
        <v>152</v>
      </c>
      <c r="E22" s="199"/>
      <c r="F22" s="206">
        <v>43768</v>
      </c>
      <c r="G22" s="206">
        <v>4377</v>
      </c>
      <c r="H22" s="206">
        <v>219</v>
      </c>
      <c r="I22" s="202">
        <f t="shared" si="0"/>
        <v>39610</v>
      </c>
      <c r="J22" s="205" t="s">
        <v>66</v>
      </c>
      <c r="K22" s="205" t="s">
        <v>23</v>
      </c>
      <c r="L22" s="199" t="s">
        <v>1042</v>
      </c>
      <c r="M22" s="205" t="s">
        <v>2427</v>
      </c>
      <c r="N22" s="201" t="s">
        <v>1030</v>
      </c>
      <c r="O22" s="205" t="s">
        <v>652</v>
      </c>
      <c r="P22" s="205" t="s">
        <v>652</v>
      </c>
      <c r="Q22" s="214" t="s">
        <v>688</v>
      </c>
      <c r="R22" s="214" t="s">
        <v>689</v>
      </c>
      <c r="S22" s="214" t="s">
        <v>2386</v>
      </c>
    </row>
    <row r="23" spans="1:24" s="205" customFormat="1" hidden="1" x14ac:dyDescent="0.2">
      <c r="A23" s="205" t="s">
        <v>260</v>
      </c>
      <c r="B23" s="205" t="s">
        <v>2428</v>
      </c>
      <c r="C23" s="200" t="s">
        <v>2386</v>
      </c>
      <c r="D23" s="199" t="s">
        <v>152</v>
      </c>
      <c r="E23" s="199"/>
      <c r="F23" s="206">
        <v>45429664</v>
      </c>
      <c r="G23" s="206">
        <v>0</v>
      </c>
      <c r="H23" s="206">
        <v>0</v>
      </c>
      <c r="I23" s="202">
        <f t="shared" si="0"/>
        <v>45429664</v>
      </c>
      <c r="J23" s="205" t="s">
        <v>25</v>
      </c>
      <c r="K23" s="205" t="s">
        <v>214</v>
      </c>
      <c r="L23" s="199" t="s">
        <v>1028</v>
      </c>
      <c r="M23" s="205" t="s">
        <v>2429</v>
      </c>
      <c r="N23" s="201" t="s">
        <v>1030</v>
      </c>
      <c r="O23" s="205" t="s">
        <v>652</v>
      </c>
      <c r="P23" s="205" t="s">
        <v>652</v>
      </c>
      <c r="Q23" s="208" t="s">
        <v>2430</v>
      </c>
      <c r="R23" s="208" t="s">
        <v>2431</v>
      </c>
      <c r="S23" s="208" t="s">
        <v>2386</v>
      </c>
      <c r="U23" s="209"/>
      <c r="V23" s="209"/>
      <c r="W23" s="209"/>
      <c r="X23" s="209"/>
    </row>
    <row r="24" spans="1:24" s="205" customFormat="1" hidden="1" x14ac:dyDescent="0.2">
      <c r="A24" s="205" t="s">
        <v>1183</v>
      </c>
      <c r="B24" s="205" t="s">
        <v>1184</v>
      </c>
      <c r="C24" s="200" t="s">
        <v>776</v>
      </c>
      <c r="D24" s="201" t="s">
        <v>152</v>
      </c>
      <c r="E24" s="201"/>
      <c r="F24" s="206">
        <v>393449</v>
      </c>
      <c r="G24" s="206">
        <v>39345</v>
      </c>
      <c r="H24" s="206">
        <v>3934</v>
      </c>
      <c r="I24" s="202">
        <f t="shared" si="0"/>
        <v>358038</v>
      </c>
      <c r="J24" s="205" t="s">
        <v>90</v>
      </c>
      <c r="K24" s="205" t="s">
        <v>29</v>
      </c>
      <c r="L24" s="201" t="s">
        <v>1042</v>
      </c>
      <c r="M24" s="205" t="s">
        <v>2432</v>
      </c>
      <c r="N24" s="201" t="s">
        <v>1030</v>
      </c>
      <c r="O24" s="205" t="s">
        <v>1186</v>
      </c>
      <c r="P24" s="205" t="s">
        <v>1187</v>
      </c>
      <c r="Q24" s="208" t="s">
        <v>987</v>
      </c>
      <c r="R24" s="208" t="s">
        <v>988</v>
      </c>
      <c r="S24" s="208" t="s">
        <v>776</v>
      </c>
    </row>
    <row r="25" spans="1:24" s="205" customFormat="1" hidden="1" x14ac:dyDescent="0.2">
      <c r="A25" s="205" t="s">
        <v>2433</v>
      </c>
      <c r="B25" s="205" t="s">
        <v>2434</v>
      </c>
      <c r="C25" s="200" t="s">
        <v>776</v>
      </c>
      <c r="D25" s="201" t="s">
        <v>152</v>
      </c>
      <c r="E25" s="201"/>
      <c r="F25" s="206">
        <v>40737</v>
      </c>
      <c r="G25" s="206">
        <v>4074</v>
      </c>
      <c r="H25" s="206">
        <v>407</v>
      </c>
      <c r="I25" s="202">
        <f t="shared" si="0"/>
        <v>37070</v>
      </c>
      <c r="J25" s="205" t="s">
        <v>2435</v>
      </c>
      <c r="K25" s="205" t="s">
        <v>29</v>
      </c>
      <c r="L25" s="201" t="s">
        <v>1028</v>
      </c>
      <c r="M25" s="205" t="s">
        <v>2436</v>
      </c>
      <c r="N25" s="201" t="s">
        <v>1030</v>
      </c>
      <c r="O25" s="205" t="s">
        <v>652</v>
      </c>
      <c r="P25" s="205" t="s">
        <v>652</v>
      </c>
      <c r="Q25" s="208" t="s">
        <v>987</v>
      </c>
      <c r="R25" s="208" t="s">
        <v>988</v>
      </c>
      <c r="S25" s="208" t="s">
        <v>776</v>
      </c>
    </row>
    <row r="26" spans="1:24" s="205" customFormat="1" hidden="1" x14ac:dyDescent="0.2">
      <c r="A26" s="205" t="s">
        <v>384</v>
      </c>
      <c r="B26" s="205" t="s">
        <v>383</v>
      </c>
      <c r="C26" s="200" t="s">
        <v>776</v>
      </c>
      <c r="D26" s="201" t="s">
        <v>152</v>
      </c>
      <c r="E26" s="201"/>
      <c r="F26" s="206">
        <v>22499</v>
      </c>
      <c r="G26" s="206">
        <v>2250</v>
      </c>
      <c r="H26" s="206">
        <v>225</v>
      </c>
      <c r="I26" s="202">
        <f t="shared" si="0"/>
        <v>20474</v>
      </c>
      <c r="J26" s="205" t="s">
        <v>32</v>
      </c>
      <c r="K26" s="205" t="s">
        <v>29</v>
      </c>
      <c r="L26" s="201" t="s">
        <v>1042</v>
      </c>
      <c r="M26" s="205" t="s">
        <v>2437</v>
      </c>
      <c r="N26" s="201" t="s">
        <v>1030</v>
      </c>
      <c r="O26" s="205" t="s">
        <v>2104</v>
      </c>
      <c r="P26" s="205" t="s">
        <v>1115</v>
      </c>
      <c r="Q26" s="208" t="s">
        <v>889</v>
      </c>
      <c r="R26" s="208" t="s">
        <v>890</v>
      </c>
      <c r="S26" s="208" t="s">
        <v>776</v>
      </c>
    </row>
    <row r="27" spans="1:24" s="205" customFormat="1" hidden="1" x14ac:dyDescent="0.2">
      <c r="A27" s="205" t="s">
        <v>119</v>
      </c>
      <c r="B27" s="205" t="s">
        <v>2438</v>
      </c>
      <c r="C27" s="200" t="s">
        <v>776</v>
      </c>
      <c r="D27" s="201" t="s">
        <v>152</v>
      </c>
      <c r="E27" s="201"/>
      <c r="F27" s="206">
        <v>38699</v>
      </c>
      <c r="G27" s="206">
        <v>3870</v>
      </c>
      <c r="H27" s="206">
        <v>387</v>
      </c>
      <c r="I27" s="202">
        <f t="shared" si="0"/>
        <v>35216</v>
      </c>
      <c r="J27" s="205" t="s">
        <v>31</v>
      </c>
      <c r="K27" s="205" t="s">
        <v>29</v>
      </c>
      <c r="L27" s="201" t="s">
        <v>1058</v>
      </c>
      <c r="M27" s="205" t="s">
        <v>2439</v>
      </c>
      <c r="N27" s="201" t="s">
        <v>1030</v>
      </c>
      <c r="O27" s="205" t="s">
        <v>652</v>
      </c>
      <c r="P27" s="205" t="s">
        <v>652</v>
      </c>
      <c r="Q27" s="208" t="s">
        <v>987</v>
      </c>
      <c r="R27" s="208" t="s">
        <v>988</v>
      </c>
      <c r="S27" s="208" t="s">
        <v>776</v>
      </c>
    </row>
    <row r="28" spans="1:24" s="205" customFormat="1" hidden="1" x14ac:dyDescent="0.2">
      <c r="A28" s="205" t="s">
        <v>445</v>
      </c>
      <c r="B28" s="205" t="s">
        <v>914</v>
      </c>
      <c r="C28" s="200" t="s">
        <v>776</v>
      </c>
      <c r="D28" s="201" t="s">
        <v>166</v>
      </c>
      <c r="E28" s="201"/>
      <c r="F28" s="206">
        <v>45400</v>
      </c>
      <c r="G28" s="206">
        <v>4540</v>
      </c>
      <c r="H28" s="206">
        <v>454</v>
      </c>
      <c r="I28" s="202">
        <f t="shared" si="0"/>
        <v>41314</v>
      </c>
      <c r="J28" s="205" t="s">
        <v>915</v>
      </c>
      <c r="K28" s="205" t="s">
        <v>29</v>
      </c>
      <c r="L28" s="201" t="s">
        <v>1325</v>
      </c>
      <c r="M28" s="205" t="s">
        <v>2440</v>
      </c>
      <c r="N28" s="201" t="s">
        <v>1030</v>
      </c>
      <c r="O28" s="205" t="s">
        <v>652</v>
      </c>
      <c r="P28" s="205" t="s">
        <v>652</v>
      </c>
      <c r="Q28" s="208" t="s">
        <v>663</v>
      </c>
      <c r="R28" s="208" t="s">
        <v>745</v>
      </c>
      <c r="S28" s="208" t="s">
        <v>776</v>
      </c>
    </row>
    <row r="29" spans="1:24" s="205" customFormat="1" hidden="1" x14ac:dyDescent="0.2">
      <c r="A29" s="205" t="s">
        <v>558</v>
      </c>
      <c r="B29" s="205" t="s">
        <v>559</v>
      </c>
      <c r="C29" s="200" t="s">
        <v>776</v>
      </c>
      <c r="D29" s="199" t="s">
        <v>152</v>
      </c>
      <c r="E29" s="199"/>
      <c r="F29" s="206">
        <v>1401096</v>
      </c>
      <c r="G29" s="206">
        <v>140110</v>
      </c>
      <c r="H29" s="206">
        <v>14011</v>
      </c>
      <c r="I29" s="202">
        <f t="shared" si="0"/>
        <v>1274997</v>
      </c>
      <c r="J29" s="205" t="s">
        <v>31</v>
      </c>
      <c r="K29" s="205" t="s">
        <v>29</v>
      </c>
      <c r="L29" s="199" t="s">
        <v>1042</v>
      </c>
      <c r="M29" s="205" t="s">
        <v>2441</v>
      </c>
      <c r="N29" s="201" t="s">
        <v>1030</v>
      </c>
      <c r="O29" s="205" t="s">
        <v>1046</v>
      </c>
      <c r="P29" s="205" t="s">
        <v>1047</v>
      </c>
      <c r="Q29" s="208" t="s">
        <v>653</v>
      </c>
      <c r="R29" s="208" t="s">
        <v>654</v>
      </c>
      <c r="S29" s="208" t="s">
        <v>776</v>
      </c>
    </row>
    <row r="30" spans="1:24" s="205" customFormat="1" hidden="1" x14ac:dyDescent="0.2">
      <c r="A30" s="205" t="s">
        <v>2442</v>
      </c>
      <c r="B30" s="205" t="s">
        <v>2443</v>
      </c>
      <c r="C30" s="200" t="s">
        <v>776</v>
      </c>
      <c r="D30" s="199" t="s">
        <v>152</v>
      </c>
      <c r="E30" s="199"/>
      <c r="F30" s="206">
        <v>92501</v>
      </c>
      <c r="G30" s="206">
        <v>9250</v>
      </c>
      <c r="H30" s="206">
        <v>925</v>
      </c>
      <c r="I30" s="202">
        <f t="shared" si="0"/>
        <v>84176</v>
      </c>
      <c r="J30" s="205" t="s">
        <v>41</v>
      </c>
      <c r="K30" s="205" t="s">
        <v>29</v>
      </c>
      <c r="L30" s="199" t="s">
        <v>1028</v>
      </c>
      <c r="M30" s="205" t="s">
        <v>2444</v>
      </c>
      <c r="N30" s="201" t="s">
        <v>1030</v>
      </c>
      <c r="O30" s="205" t="s">
        <v>652</v>
      </c>
      <c r="P30" s="205" t="s">
        <v>652</v>
      </c>
      <c r="Q30" s="208" t="s">
        <v>2054</v>
      </c>
      <c r="R30" s="208" t="s">
        <v>2055</v>
      </c>
      <c r="S30" s="208" t="s">
        <v>776</v>
      </c>
    </row>
    <row r="31" spans="1:24" s="205" customFormat="1" hidden="1" x14ac:dyDescent="0.2">
      <c r="A31" s="205" t="s">
        <v>815</v>
      </c>
      <c r="B31" s="205" t="s">
        <v>816</v>
      </c>
      <c r="C31" s="200" t="s">
        <v>776</v>
      </c>
      <c r="D31" s="199" t="s">
        <v>152</v>
      </c>
      <c r="E31" s="199"/>
      <c r="F31" s="206">
        <v>61705</v>
      </c>
      <c r="G31" s="206">
        <v>6171</v>
      </c>
      <c r="H31" s="206">
        <v>617</v>
      </c>
      <c r="I31" s="202">
        <f t="shared" si="0"/>
        <v>56151</v>
      </c>
      <c r="J31" s="205" t="s">
        <v>41</v>
      </c>
      <c r="K31" s="205" t="s">
        <v>29</v>
      </c>
      <c r="L31" s="199" t="s">
        <v>1028</v>
      </c>
      <c r="M31" s="205" t="s">
        <v>2445</v>
      </c>
      <c r="N31" s="201" t="s">
        <v>1030</v>
      </c>
      <c r="O31" s="205" t="s">
        <v>652</v>
      </c>
      <c r="P31" s="205" t="s">
        <v>652</v>
      </c>
      <c r="Q31" s="208" t="s">
        <v>651</v>
      </c>
      <c r="R31" s="208" t="s">
        <v>673</v>
      </c>
      <c r="S31" s="208" t="s">
        <v>776</v>
      </c>
    </row>
    <row r="32" spans="1:24" s="205" customFormat="1" hidden="1" x14ac:dyDescent="0.2">
      <c r="A32" s="205" t="s">
        <v>815</v>
      </c>
      <c r="B32" s="205" t="s">
        <v>816</v>
      </c>
      <c r="C32" s="200" t="s">
        <v>776</v>
      </c>
      <c r="D32" s="199" t="s">
        <v>166</v>
      </c>
      <c r="E32" s="199"/>
      <c r="F32" s="206">
        <v>-51499</v>
      </c>
      <c r="G32" s="206">
        <v>-5150</v>
      </c>
      <c r="H32" s="206">
        <v>-515</v>
      </c>
      <c r="I32" s="202">
        <f t="shared" si="0"/>
        <v>-46864</v>
      </c>
      <c r="J32" s="205" t="s">
        <v>41</v>
      </c>
      <c r="K32" s="205" t="s">
        <v>29</v>
      </c>
      <c r="L32" s="199" t="s">
        <v>1028</v>
      </c>
      <c r="M32" s="205" t="s">
        <v>2446</v>
      </c>
      <c r="N32" s="201" t="s">
        <v>1030</v>
      </c>
      <c r="O32" s="205" t="s">
        <v>652</v>
      </c>
      <c r="P32" s="205" t="s">
        <v>652</v>
      </c>
      <c r="Q32" s="208" t="s">
        <v>651</v>
      </c>
      <c r="R32" s="208" t="s">
        <v>673</v>
      </c>
      <c r="S32" s="208" t="s">
        <v>776</v>
      </c>
    </row>
    <row r="33" spans="1:24" s="205" customFormat="1" hidden="1" x14ac:dyDescent="0.2">
      <c r="A33" s="205" t="s">
        <v>2447</v>
      </c>
      <c r="B33" s="205" t="s">
        <v>2448</v>
      </c>
      <c r="C33" s="200" t="s">
        <v>776</v>
      </c>
      <c r="D33" s="199" t="s">
        <v>152</v>
      </c>
      <c r="E33" s="199"/>
      <c r="F33" s="206">
        <v>51499</v>
      </c>
      <c r="G33" s="206">
        <v>5150</v>
      </c>
      <c r="H33" s="206">
        <v>515</v>
      </c>
      <c r="I33" s="202">
        <f t="shared" si="0"/>
        <v>46864</v>
      </c>
      <c r="J33" s="205" t="s">
        <v>41</v>
      </c>
      <c r="K33" s="205" t="s">
        <v>29</v>
      </c>
      <c r="L33" s="199" t="s">
        <v>1058</v>
      </c>
      <c r="M33" s="205" t="s">
        <v>2449</v>
      </c>
      <c r="N33" s="201" t="s">
        <v>1030</v>
      </c>
      <c r="O33" s="205" t="s">
        <v>652</v>
      </c>
      <c r="P33" s="205" t="s">
        <v>652</v>
      </c>
      <c r="Q33" s="208" t="s">
        <v>2450</v>
      </c>
      <c r="R33" s="208" t="s">
        <v>651</v>
      </c>
      <c r="S33" s="208" t="s">
        <v>776</v>
      </c>
    </row>
    <row r="34" spans="1:24" s="205" customFormat="1" hidden="1" x14ac:dyDescent="0.2">
      <c r="A34" s="205" t="s">
        <v>2447</v>
      </c>
      <c r="B34" s="205" t="s">
        <v>2451</v>
      </c>
      <c r="C34" s="200" t="s">
        <v>776</v>
      </c>
      <c r="D34" s="199" t="s">
        <v>152</v>
      </c>
      <c r="E34" s="199"/>
      <c r="F34" s="206">
        <v>56090</v>
      </c>
      <c r="G34" s="206">
        <v>5609</v>
      </c>
      <c r="H34" s="206">
        <v>561</v>
      </c>
      <c r="I34" s="202">
        <f t="shared" si="0"/>
        <v>51042</v>
      </c>
      <c r="J34" s="205" t="s">
        <v>41</v>
      </c>
      <c r="K34" s="205" t="s">
        <v>29</v>
      </c>
      <c r="L34" s="199" t="s">
        <v>1028</v>
      </c>
      <c r="M34" s="205" t="s">
        <v>2452</v>
      </c>
      <c r="N34" s="201" t="s">
        <v>1030</v>
      </c>
      <c r="O34" s="205" t="s">
        <v>652</v>
      </c>
      <c r="P34" s="205" t="s">
        <v>652</v>
      </c>
      <c r="Q34" s="208" t="s">
        <v>656</v>
      </c>
      <c r="R34" s="208" t="s">
        <v>767</v>
      </c>
      <c r="S34" s="208" t="s">
        <v>776</v>
      </c>
    </row>
    <row r="35" spans="1:24" s="205" customFormat="1" hidden="1" x14ac:dyDescent="0.2">
      <c r="A35" s="205" t="s">
        <v>2453</v>
      </c>
      <c r="B35" s="205" t="s">
        <v>2454</v>
      </c>
      <c r="C35" s="200" t="s">
        <v>776</v>
      </c>
      <c r="D35" s="199" t="s">
        <v>152</v>
      </c>
      <c r="E35" s="199"/>
      <c r="F35" s="206">
        <v>40737</v>
      </c>
      <c r="G35" s="206">
        <v>4074</v>
      </c>
      <c r="H35" s="206">
        <v>407</v>
      </c>
      <c r="I35" s="202">
        <f t="shared" si="0"/>
        <v>37070</v>
      </c>
      <c r="J35" s="205" t="s">
        <v>2435</v>
      </c>
      <c r="K35" s="205" t="s">
        <v>29</v>
      </c>
      <c r="L35" s="199" t="s">
        <v>1028</v>
      </c>
      <c r="M35" s="205" t="s">
        <v>2455</v>
      </c>
      <c r="N35" s="201" t="s">
        <v>1030</v>
      </c>
      <c r="O35" s="205" t="s">
        <v>652</v>
      </c>
      <c r="P35" s="205" t="s">
        <v>652</v>
      </c>
      <c r="Q35" s="208" t="s">
        <v>987</v>
      </c>
      <c r="R35" s="208" t="s">
        <v>988</v>
      </c>
      <c r="S35" s="208" t="s">
        <v>776</v>
      </c>
    </row>
    <row r="36" spans="1:24" s="205" customFormat="1" hidden="1" x14ac:dyDescent="0.2">
      <c r="A36" s="209" t="s">
        <v>243</v>
      </c>
      <c r="B36" s="209" t="s">
        <v>2456</v>
      </c>
      <c r="C36" s="234" t="s">
        <v>776</v>
      </c>
      <c r="D36" s="201" t="s">
        <v>152</v>
      </c>
      <c r="E36" s="201"/>
      <c r="F36" s="211">
        <v>64384</v>
      </c>
      <c r="G36" s="211">
        <v>6438</v>
      </c>
      <c r="H36" s="211">
        <v>644</v>
      </c>
      <c r="I36" s="202">
        <f t="shared" si="0"/>
        <v>58590</v>
      </c>
      <c r="J36" s="209" t="s">
        <v>46</v>
      </c>
      <c r="K36" s="209" t="s">
        <v>29</v>
      </c>
      <c r="L36" s="201" t="s">
        <v>1058</v>
      </c>
      <c r="M36" s="209" t="s">
        <v>2457</v>
      </c>
      <c r="N36" s="201" t="s">
        <v>1030</v>
      </c>
      <c r="O36" s="209" t="s">
        <v>652</v>
      </c>
      <c r="P36" s="209" t="s">
        <v>652</v>
      </c>
      <c r="Q36" s="213" t="s">
        <v>659</v>
      </c>
      <c r="R36" s="213" t="s">
        <v>800</v>
      </c>
      <c r="S36" s="213" t="s">
        <v>776</v>
      </c>
      <c r="T36" s="209"/>
    </row>
    <row r="37" spans="1:24" s="205" customFormat="1" hidden="1" x14ac:dyDescent="0.2">
      <c r="A37" s="209" t="s">
        <v>243</v>
      </c>
      <c r="B37" s="209" t="s">
        <v>2458</v>
      </c>
      <c r="C37" s="234" t="s">
        <v>776</v>
      </c>
      <c r="D37" s="201" t="s">
        <v>152</v>
      </c>
      <c r="E37" s="201"/>
      <c r="F37" s="211">
        <v>92372</v>
      </c>
      <c r="G37" s="211">
        <v>9237</v>
      </c>
      <c r="H37" s="211">
        <v>924</v>
      </c>
      <c r="I37" s="202">
        <f t="shared" si="0"/>
        <v>84059</v>
      </c>
      <c r="J37" s="209" t="s">
        <v>46</v>
      </c>
      <c r="K37" s="209" t="s">
        <v>29</v>
      </c>
      <c r="L37" s="201" t="s">
        <v>1028</v>
      </c>
      <c r="M37" s="209" t="s">
        <v>2459</v>
      </c>
      <c r="N37" s="201" t="s">
        <v>1030</v>
      </c>
      <c r="O37" s="209" t="s">
        <v>652</v>
      </c>
      <c r="P37" s="209" t="s">
        <v>652</v>
      </c>
      <c r="Q37" s="213" t="s">
        <v>931</v>
      </c>
      <c r="R37" s="213" t="s">
        <v>932</v>
      </c>
      <c r="S37" s="213" t="s">
        <v>776</v>
      </c>
      <c r="T37" s="209"/>
    </row>
    <row r="38" spans="1:24" s="205" customFormat="1" hidden="1" x14ac:dyDescent="0.2">
      <c r="A38" s="205" t="s">
        <v>198</v>
      </c>
      <c r="B38" s="205" t="s">
        <v>633</v>
      </c>
      <c r="C38" s="200" t="s">
        <v>776</v>
      </c>
      <c r="D38" s="201" t="s">
        <v>152</v>
      </c>
      <c r="E38" s="201"/>
      <c r="F38" s="206">
        <v>384459</v>
      </c>
      <c r="G38" s="206">
        <v>38446</v>
      </c>
      <c r="H38" s="206">
        <v>1922</v>
      </c>
      <c r="I38" s="202">
        <f t="shared" si="0"/>
        <v>347935</v>
      </c>
      <c r="J38" s="205" t="s">
        <v>94</v>
      </c>
      <c r="K38" s="205" t="s">
        <v>23</v>
      </c>
      <c r="L38" s="201" t="s">
        <v>1042</v>
      </c>
      <c r="M38" s="205" t="s">
        <v>2460</v>
      </c>
      <c r="N38" s="201" t="s">
        <v>1030</v>
      </c>
      <c r="O38" s="205" t="s">
        <v>652</v>
      </c>
      <c r="P38" s="205" t="s">
        <v>652</v>
      </c>
      <c r="Q38" s="208" t="s">
        <v>657</v>
      </c>
      <c r="R38" s="208" t="s">
        <v>658</v>
      </c>
      <c r="S38" s="208" t="s">
        <v>776</v>
      </c>
      <c r="T38" s="209"/>
    </row>
    <row r="39" spans="1:24" s="205" customFormat="1" hidden="1" x14ac:dyDescent="0.2">
      <c r="A39" s="205" t="s">
        <v>2461</v>
      </c>
      <c r="B39" s="205" t="s">
        <v>2462</v>
      </c>
      <c r="C39" s="200" t="s">
        <v>776</v>
      </c>
      <c r="D39" s="201" t="s">
        <v>152</v>
      </c>
      <c r="E39" s="201"/>
      <c r="F39" s="206">
        <v>67877</v>
      </c>
      <c r="G39" s="206">
        <v>6788</v>
      </c>
      <c r="H39" s="206">
        <v>339</v>
      </c>
      <c r="I39" s="202">
        <f t="shared" si="0"/>
        <v>61428</v>
      </c>
      <c r="J39" s="205" t="s">
        <v>373</v>
      </c>
      <c r="K39" s="205" t="s">
        <v>23</v>
      </c>
      <c r="L39" s="201" t="s">
        <v>1028</v>
      </c>
      <c r="M39" s="205" t="s">
        <v>2463</v>
      </c>
      <c r="N39" s="201" t="s">
        <v>1030</v>
      </c>
      <c r="O39" s="205" t="s">
        <v>652</v>
      </c>
      <c r="P39" s="205" t="s">
        <v>652</v>
      </c>
      <c r="Q39" s="208" t="s">
        <v>949</v>
      </c>
      <c r="R39" s="208" t="s">
        <v>950</v>
      </c>
      <c r="S39" s="208" t="s">
        <v>776</v>
      </c>
    </row>
    <row r="40" spans="1:24" s="205" customFormat="1" hidden="1" x14ac:dyDescent="0.2">
      <c r="A40" s="205" t="s">
        <v>2464</v>
      </c>
      <c r="B40" s="205" t="s">
        <v>2465</v>
      </c>
      <c r="C40" s="200" t="s">
        <v>776</v>
      </c>
      <c r="D40" s="201" t="s">
        <v>152</v>
      </c>
      <c r="E40" s="201"/>
      <c r="F40" s="206">
        <v>407550</v>
      </c>
      <c r="G40" s="206">
        <v>40755</v>
      </c>
      <c r="H40" s="206">
        <v>2038</v>
      </c>
      <c r="I40" s="202">
        <f t="shared" si="0"/>
        <v>368833</v>
      </c>
      <c r="J40" s="205" t="s">
        <v>54</v>
      </c>
      <c r="K40" s="205" t="s">
        <v>23</v>
      </c>
      <c r="L40" s="201" t="s">
        <v>1028</v>
      </c>
      <c r="M40" s="205" t="s">
        <v>2466</v>
      </c>
      <c r="N40" s="201" t="s">
        <v>1030</v>
      </c>
      <c r="O40" s="205" t="s">
        <v>652</v>
      </c>
      <c r="P40" s="205" t="s">
        <v>652</v>
      </c>
      <c r="Q40" s="208" t="s">
        <v>2467</v>
      </c>
      <c r="R40" s="208" t="s">
        <v>2468</v>
      </c>
      <c r="S40" s="208" t="s">
        <v>776</v>
      </c>
    </row>
    <row r="41" spans="1:24" s="205" customFormat="1" hidden="1" x14ac:dyDescent="0.2">
      <c r="A41" s="205" t="s">
        <v>244</v>
      </c>
      <c r="B41" s="205" t="s">
        <v>2469</v>
      </c>
      <c r="C41" s="200" t="s">
        <v>776</v>
      </c>
      <c r="D41" s="199" t="s">
        <v>152</v>
      </c>
      <c r="E41" s="199"/>
      <c r="F41" s="206">
        <v>42202</v>
      </c>
      <c r="G41" s="206">
        <v>4220</v>
      </c>
      <c r="H41" s="206">
        <v>211</v>
      </c>
      <c r="I41" s="202">
        <f t="shared" si="0"/>
        <v>38193</v>
      </c>
      <c r="J41" s="205" t="s">
        <v>38</v>
      </c>
      <c r="K41" s="205" t="s">
        <v>23</v>
      </c>
      <c r="L41" s="201" t="s">
        <v>1028</v>
      </c>
      <c r="M41" s="205" t="s">
        <v>2470</v>
      </c>
      <c r="N41" s="201" t="s">
        <v>1030</v>
      </c>
      <c r="O41" s="205" t="s">
        <v>652</v>
      </c>
      <c r="P41" s="205" t="s">
        <v>652</v>
      </c>
      <c r="Q41" s="208" t="s">
        <v>2191</v>
      </c>
      <c r="R41" s="208" t="s">
        <v>2192</v>
      </c>
      <c r="S41" s="208" t="s">
        <v>776</v>
      </c>
    </row>
    <row r="42" spans="1:24" s="205" customFormat="1" hidden="1" x14ac:dyDescent="0.2">
      <c r="A42" s="205" t="s">
        <v>244</v>
      </c>
      <c r="B42" s="205" t="s">
        <v>2471</v>
      </c>
      <c r="C42" s="200" t="s">
        <v>776</v>
      </c>
      <c r="D42" s="199" t="s">
        <v>152</v>
      </c>
      <c r="E42" s="199"/>
      <c r="F42" s="206">
        <v>42202</v>
      </c>
      <c r="G42" s="206">
        <v>4220</v>
      </c>
      <c r="H42" s="206">
        <v>211</v>
      </c>
      <c r="I42" s="202">
        <f t="shared" si="0"/>
        <v>38193</v>
      </c>
      <c r="J42" s="205" t="s">
        <v>38</v>
      </c>
      <c r="K42" s="205" t="s">
        <v>23</v>
      </c>
      <c r="L42" s="201" t="s">
        <v>1028</v>
      </c>
      <c r="M42" s="205" t="s">
        <v>2472</v>
      </c>
      <c r="N42" s="201" t="s">
        <v>1030</v>
      </c>
      <c r="O42" s="205" t="s">
        <v>652</v>
      </c>
      <c r="P42" s="205" t="s">
        <v>652</v>
      </c>
      <c r="Q42" s="208" t="s">
        <v>2191</v>
      </c>
      <c r="R42" s="208" t="s">
        <v>2192</v>
      </c>
      <c r="S42" s="208" t="s">
        <v>776</v>
      </c>
    </row>
    <row r="43" spans="1:24" s="205" customFormat="1" hidden="1" x14ac:dyDescent="0.2">
      <c r="A43" s="205" t="s">
        <v>244</v>
      </c>
      <c r="B43" s="205" t="s">
        <v>2473</v>
      </c>
      <c r="C43" s="200" t="s">
        <v>776</v>
      </c>
      <c r="D43" s="199" t="s">
        <v>152</v>
      </c>
      <c r="E43" s="199"/>
      <c r="F43" s="206">
        <v>42202</v>
      </c>
      <c r="G43" s="206">
        <v>4220</v>
      </c>
      <c r="H43" s="206">
        <v>211</v>
      </c>
      <c r="I43" s="202">
        <f t="shared" si="0"/>
        <v>38193</v>
      </c>
      <c r="J43" s="205" t="s">
        <v>38</v>
      </c>
      <c r="K43" s="205" t="s">
        <v>23</v>
      </c>
      <c r="L43" s="201" t="s">
        <v>1028</v>
      </c>
      <c r="M43" s="205" t="s">
        <v>2474</v>
      </c>
      <c r="N43" s="201" t="s">
        <v>1030</v>
      </c>
      <c r="O43" s="205" t="s">
        <v>652</v>
      </c>
      <c r="P43" s="205" t="s">
        <v>652</v>
      </c>
      <c r="Q43" s="208" t="s">
        <v>2191</v>
      </c>
      <c r="R43" s="208" t="s">
        <v>2192</v>
      </c>
      <c r="S43" s="208" t="s">
        <v>776</v>
      </c>
    </row>
    <row r="44" spans="1:24" s="205" customFormat="1" hidden="1" x14ac:dyDescent="0.2">
      <c r="A44" s="205" t="s">
        <v>249</v>
      </c>
      <c r="B44" s="205" t="s">
        <v>2475</v>
      </c>
      <c r="C44" s="200" t="s">
        <v>776</v>
      </c>
      <c r="D44" s="201" t="s">
        <v>152</v>
      </c>
      <c r="E44" s="201"/>
      <c r="F44" s="206">
        <v>85607</v>
      </c>
      <c r="G44" s="206">
        <v>8561</v>
      </c>
      <c r="H44" s="206">
        <v>428</v>
      </c>
      <c r="I44" s="202">
        <f t="shared" si="0"/>
        <v>77474</v>
      </c>
      <c r="J44" s="205" t="s">
        <v>489</v>
      </c>
      <c r="K44" s="205" t="s">
        <v>23</v>
      </c>
      <c r="L44" s="201" t="s">
        <v>1042</v>
      </c>
      <c r="M44" s="205" t="s">
        <v>2476</v>
      </c>
      <c r="N44" s="201" t="s">
        <v>1030</v>
      </c>
      <c r="O44" s="205" t="s">
        <v>652</v>
      </c>
      <c r="P44" s="205" t="s">
        <v>652</v>
      </c>
      <c r="Q44" s="216" t="s">
        <v>722</v>
      </c>
      <c r="R44" s="216" t="s">
        <v>723</v>
      </c>
      <c r="S44" s="208" t="s">
        <v>776</v>
      </c>
    </row>
    <row r="45" spans="1:24" s="205" customFormat="1" hidden="1" x14ac:dyDescent="0.2">
      <c r="A45" s="205" t="s">
        <v>2477</v>
      </c>
      <c r="B45" s="205" t="s">
        <v>2478</v>
      </c>
      <c r="C45" s="200" t="s">
        <v>776</v>
      </c>
      <c r="D45" s="199" t="s">
        <v>152</v>
      </c>
      <c r="E45" s="199"/>
      <c r="F45" s="206">
        <v>35192</v>
      </c>
      <c r="G45" s="206">
        <v>3519</v>
      </c>
      <c r="H45" s="206">
        <v>176</v>
      </c>
      <c r="I45" s="202">
        <f t="shared" si="0"/>
        <v>31849</v>
      </c>
      <c r="J45" s="205" t="s">
        <v>103</v>
      </c>
      <c r="K45" s="205" t="s">
        <v>23</v>
      </c>
      <c r="L45" s="199" t="s">
        <v>1028</v>
      </c>
      <c r="M45" s="205" t="s">
        <v>2479</v>
      </c>
      <c r="N45" s="201" t="s">
        <v>1030</v>
      </c>
      <c r="O45" s="205" t="s">
        <v>652</v>
      </c>
      <c r="P45" s="205" t="s">
        <v>652</v>
      </c>
      <c r="Q45" s="208" t="s">
        <v>990</v>
      </c>
      <c r="R45" s="208" t="s">
        <v>991</v>
      </c>
      <c r="S45" s="208" t="s">
        <v>776</v>
      </c>
    </row>
    <row r="46" spans="1:24" s="205" customFormat="1" hidden="1" x14ac:dyDescent="0.2">
      <c r="A46" s="205" t="s">
        <v>391</v>
      </c>
      <c r="B46" s="205" t="s">
        <v>2480</v>
      </c>
      <c r="C46" s="200" t="s">
        <v>776</v>
      </c>
      <c r="D46" s="199" t="s">
        <v>152</v>
      </c>
      <c r="E46" s="199"/>
      <c r="F46" s="206">
        <v>68648</v>
      </c>
      <c r="G46" s="206">
        <v>6865</v>
      </c>
      <c r="H46" s="206">
        <v>343</v>
      </c>
      <c r="I46" s="202">
        <f t="shared" si="0"/>
        <v>62126</v>
      </c>
      <c r="J46" s="205" t="s">
        <v>103</v>
      </c>
      <c r="K46" s="205" t="s">
        <v>23</v>
      </c>
      <c r="L46" s="199" t="s">
        <v>1028</v>
      </c>
      <c r="M46" s="205" t="s">
        <v>2481</v>
      </c>
      <c r="N46" s="201" t="s">
        <v>1030</v>
      </c>
      <c r="O46" s="205" t="s">
        <v>652</v>
      </c>
      <c r="P46" s="205" t="s">
        <v>652</v>
      </c>
      <c r="Q46" s="208" t="s">
        <v>813</v>
      </c>
      <c r="R46" s="208" t="s">
        <v>814</v>
      </c>
      <c r="S46" s="208" t="s">
        <v>776</v>
      </c>
    </row>
    <row r="47" spans="1:24" s="205" customFormat="1" hidden="1" x14ac:dyDescent="0.2">
      <c r="A47" s="205" t="s">
        <v>569</v>
      </c>
      <c r="B47" s="205" t="s">
        <v>570</v>
      </c>
      <c r="C47" s="200" t="s">
        <v>776</v>
      </c>
      <c r="D47" s="199" t="s">
        <v>152</v>
      </c>
      <c r="E47" s="199"/>
      <c r="F47" s="206">
        <v>9141</v>
      </c>
      <c r="G47" s="206">
        <v>914</v>
      </c>
      <c r="H47" s="206">
        <v>46</v>
      </c>
      <c r="I47" s="202">
        <f t="shared" si="0"/>
        <v>8273</v>
      </c>
      <c r="J47" s="205" t="s">
        <v>373</v>
      </c>
      <c r="K47" s="205" t="s">
        <v>23</v>
      </c>
      <c r="L47" s="199" t="s">
        <v>1042</v>
      </c>
      <c r="M47" s="205" t="s">
        <v>2482</v>
      </c>
      <c r="N47" s="201" t="s">
        <v>1030</v>
      </c>
      <c r="O47" s="205" t="s">
        <v>652</v>
      </c>
      <c r="P47" s="205" t="s">
        <v>652</v>
      </c>
      <c r="Q47" s="208" t="s">
        <v>653</v>
      </c>
      <c r="R47" s="208" t="s">
        <v>654</v>
      </c>
      <c r="S47" s="208" t="s">
        <v>776</v>
      </c>
    </row>
    <row r="48" spans="1:24" s="205" customFormat="1" hidden="1" x14ac:dyDescent="0.2">
      <c r="A48" s="209" t="s">
        <v>63</v>
      </c>
      <c r="B48" s="209" t="s">
        <v>555</v>
      </c>
      <c r="C48" s="234" t="s">
        <v>776</v>
      </c>
      <c r="D48" s="201" t="s">
        <v>152</v>
      </c>
      <c r="E48" s="201"/>
      <c r="F48" s="211">
        <v>258034</v>
      </c>
      <c r="G48" s="211">
        <v>25803</v>
      </c>
      <c r="H48" s="211">
        <v>1290</v>
      </c>
      <c r="I48" s="202">
        <f t="shared" si="0"/>
        <v>233521</v>
      </c>
      <c r="J48" s="209" t="s">
        <v>22</v>
      </c>
      <c r="K48" s="209" t="s">
        <v>23</v>
      </c>
      <c r="L48" s="201" t="s">
        <v>1151</v>
      </c>
      <c r="M48" s="209" t="s">
        <v>2483</v>
      </c>
      <c r="N48" s="201" t="s">
        <v>1030</v>
      </c>
      <c r="O48" s="209" t="s">
        <v>652</v>
      </c>
      <c r="P48" s="209" t="s">
        <v>652</v>
      </c>
      <c r="Q48" s="213" t="s">
        <v>858</v>
      </c>
      <c r="R48" s="213" t="s">
        <v>859</v>
      </c>
      <c r="S48" s="213" t="s">
        <v>776</v>
      </c>
      <c r="T48" s="209"/>
      <c r="U48" s="209"/>
      <c r="V48" s="209"/>
      <c r="W48" s="209"/>
      <c r="X48" s="209"/>
    </row>
    <row r="49" spans="1:24" s="205" customFormat="1" hidden="1" x14ac:dyDescent="0.2">
      <c r="A49" s="209" t="s">
        <v>319</v>
      </c>
      <c r="B49" s="209" t="s">
        <v>320</v>
      </c>
      <c r="C49" s="234" t="s">
        <v>776</v>
      </c>
      <c r="D49" s="201" t="s">
        <v>152</v>
      </c>
      <c r="E49" s="201"/>
      <c r="F49" s="211">
        <v>7684</v>
      </c>
      <c r="G49" s="206">
        <v>0</v>
      </c>
      <c r="H49" s="206">
        <v>0</v>
      </c>
      <c r="I49" s="202">
        <f t="shared" si="0"/>
        <v>7684</v>
      </c>
      <c r="J49" s="209" t="s">
        <v>25</v>
      </c>
      <c r="K49" s="209" t="s">
        <v>214</v>
      </c>
      <c r="L49" s="201" t="s">
        <v>1042</v>
      </c>
      <c r="M49" s="209" t="s">
        <v>2484</v>
      </c>
      <c r="N49" s="201" t="s">
        <v>1565</v>
      </c>
      <c r="O49" s="209" t="s">
        <v>1295</v>
      </c>
      <c r="P49" s="209" t="s">
        <v>1061</v>
      </c>
      <c r="Q49" s="213" t="s">
        <v>669</v>
      </c>
      <c r="R49" s="213" t="s">
        <v>670</v>
      </c>
      <c r="S49" s="213" t="s">
        <v>776</v>
      </c>
      <c r="T49" s="209"/>
      <c r="U49" s="209"/>
      <c r="V49" s="209"/>
      <c r="W49" s="209"/>
      <c r="X49" s="209"/>
    </row>
    <row r="50" spans="1:24" s="205" customFormat="1" hidden="1" x14ac:dyDescent="0.2">
      <c r="A50" s="205" t="s">
        <v>479</v>
      </c>
      <c r="B50" s="205" t="s">
        <v>2485</v>
      </c>
      <c r="C50" s="200" t="s">
        <v>2394</v>
      </c>
      <c r="D50" s="201" t="s">
        <v>152</v>
      </c>
      <c r="E50" s="201"/>
      <c r="F50" s="206">
        <v>4068229</v>
      </c>
      <c r="G50" s="206">
        <v>406823</v>
      </c>
      <c r="H50" s="206">
        <v>40682</v>
      </c>
      <c r="I50" s="202">
        <f t="shared" si="0"/>
        <v>3702088</v>
      </c>
      <c r="J50" s="205" t="s">
        <v>676</v>
      </c>
      <c r="K50" s="205" t="s">
        <v>29</v>
      </c>
      <c r="L50" s="201" t="s">
        <v>1028</v>
      </c>
      <c r="M50" s="205" t="s">
        <v>2486</v>
      </c>
      <c r="N50" s="201" t="s">
        <v>1030</v>
      </c>
      <c r="O50" s="205" t="s">
        <v>652</v>
      </c>
      <c r="P50" s="205" t="s">
        <v>652</v>
      </c>
      <c r="Q50" s="208" t="s">
        <v>2191</v>
      </c>
      <c r="R50" s="208" t="s">
        <v>2192</v>
      </c>
      <c r="S50" s="208" t="s">
        <v>2394</v>
      </c>
    </row>
    <row r="51" spans="1:24" s="205" customFormat="1" hidden="1" x14ac:dyDescent="0.2">
      <c r="A51" s="205" t="s">
        <v>353</v>
      </c>
      <c r="B51" s="205" t="s">
        <v>354</v>
      </c>
      <c r="C51" s="200" t="s">
        <v>2394</v>
      </c>
      <c r="D51" s="199" t="s">
        <v>152</v>
      </c>
      <c r="E51" s="199"/>
      <c r="F51" s="206">
        <v>13398</v>
      </c>
      <c r="G51" s="206">
        <v>1340</v>
      </c>
      <c r="H51" s="206">
        <v>134</v>
      </c>
      <c r="I51" s="202">
        <f t="shared" si="0"/>
        <v>12192</v>
      </c>
      <c r="J51" s="205" t="s">
        <v>133</v>
      </c>
      <c r="K51" s="205" t="s">
        <v>29</v>
      </c>
      <c r="L51" s="201" t="s">
        <v>1042</v>
      </c>
      <c r="M51" s="205" t="s">
        <v>2487</v>
      </c>
      <c r="N51" s="201" t="s">
        <v>1030</v>
      </c>
      <c r="O51" s="205" t="s">
        <v>652</v>
      </c>
      <c r="P51" s="205" t="s">
        <v>652</v>
      </c>
      <c r="Q51" s="208" t="s">
        <v>2488</v>
      </c>
      <c r="R51" s="208" t="s">
        <v>2489</v>
      </c>
      <c r="S51" s="208" t="s">
        <v>2394</v>
      </c>
    </row>
    <row r="52" spans="1:24" s="205" customFormat="1" hidden="1" x14ac:dyDescent="0.2">
      <c r="A52" s="205" t="s">
        <v>27</v>
      </c>
      <c r="B52" s="205" t="s">
        <v>531</v>
      </c>
      <c r="C52" s="200" t="s">
        <v>2394</v>
      </c>
      <c r="D52" s="201" t="s">
        <v>152</v>
      </c>
      <c r="E52" s="201"/>
      <c r="F52" s="206">
        <v>25578</v>
      </c>
      <c r="G52" s="206">
        <v>2558</v>
      </c>
      <c r="H52" s="206">
        <v>256</v>
      </c>
      <c r="I52" s="202">
        <f t="shared" si="0"/>
        <v>23276</v>
      </c>
      <c r="J52" s="205" t="s">
        <v>28</v>
      </c>
      <c r="K52" s="205" t="s">
        <v>29</v>
      </c>
      <c r="L52" s="201" t="s">
        <v>1042</v>
      </c>
      <c r="M52" s="205" t="s">
        <v>2490</v>
      </c>
      <c r="N52" s="201" t="s">
        <v>1030</v>
      </c>
      <c r="O52" s="205" t="s">
        <v>652</v>
      </c>
      <c r="P52" s="205" t="s">
        <v>652</v>
      </c>
      <c r="Q52" s="208" t="s">
        <v>764</v>
      </c>
      <c r="R52" s="208" t="s">
        <v>765</v>
      </c>
      <c r="S52" s="208" t="s">
        <v>2394</v>
      </c>
    </row>
    <row r="53" spans="1:24" s="205" customFormat="1" hidden="1" x14ac:dyDescent="0.2">
      <c r="A53" s="205" t="s">
        <v>2491</v>
      </c>
      <c r="B53" s="205" t="s">
        <v>2492</v>
      </c>
      <c r="C53" s="200" t="s">
        <v>2394</v>
      </c>
      <c r="D53" s="199" t="s">
        <v>152</v>
      </c>
      <c r="E53" s="199"/>
      <c r="F53" s="206">
        <v>47493</v>
      </c>
      <c r="G53" s="206">
        <v>4749</v>
      </c>
      <c r="H53" s="206">
        <v>475</v>
      </c>
      <c r="I53" s="202">
        <f t="shared" si="0"/>
        <v>43219</v>
      </c>
      <c r="J53" s="205" t="s">
        <v>2493</v>
      </c>
      <c r="K53" s="205" t="s">
        <v>29</v>
      </c>
      <c r="L53" s="199" t="s">
        <v>1058</v>
      </c>
      <c r="M53" s="205" t="s">
        <v>2494</v>
      </c>
      <c r="N53" s="201" t="s">
        <v>1030</v>
      </c>
      <c r="O53" s="205" t="s">
        <v>652</v>
      </c>
      <c r="P53" s="205" t="s">
        <v>652</v>
      </c>
      <c r="Q53" s="208" t="s">
        <v>2495</v>
      </c>
      <c r="R53" s="208" t="s">
        <v>990</v>
      </c>
      <c r="S53" s="208" t="s">
        <v>2394</v>
      </c>
    </row>
    <row r="54" spans="1:24" s="205" customFormat="1" hidden="1" x14ac:dyDescent="0.2">
      <c r="A54" s="205" t="s">
        <v>2496</v>
      </c>
      <c r="B54" s="205" t="s">
        <v>2497</v>
      </c>
      <c r="C54" s="200" t="s">
        <v>2394</v>
      </c>
      <c r="D54" s="199" t="s">
        <v>152</v>
      </c>
      <c r="E54" s="199"/>
      <c r="F54" s="206">
        <v>77140</v>
      </c>
      <c r="G54" s="206">
        <v>7714</v>
      </c>
      <c r="H54" s="206">
        <v>771</v>
      </c>
      <c r="I54" s="202">
        <f t="shared" si="0"/>
        <v>70197</v>
      </c>
      <c r="J54" s="205" t="s">
        <v>943</v>
      </c>
      <c r="K54" s="205" t="s">
        <v>29</v>
      </c>
      <c r="L54" s="199" t="s">
        <v>1058</v>
      </c>
      <c r="M54" s="205" t="s">
        <v>2498</v>
      </c>
      <c r="N54" s="201" t="s">
        <v>1030</v>
      </c>
      <c r="O54" s="205" t="s">
        <v>652</v>
      </c>
      <c r="P54" s="205" t="s">
        <v>652</v>
      </c>
      <c r="Q54" s="208" t="s">
        <v>875</v>
      </c>
      <c r="R54" s="208" t="s">
        <v>976</v>
      </c>
      <c r="S54" s="208" t="s">
        <v>2394</v>
      </c>
    </row>
    <row r="55" spans="1:24" s="205" customFormat="1" hidden="1" x14ac:dyDescent="0.2">
      <c r="A55" s="209" t="s">
        <v>860</v>
      </c>
      <c r="B55" s="209" t="s">
        <v>2499</v>
      </c>
      <c r="C55" s="234" t="s">
        <v>2394</v>
      </c>
      <c r="D55" s="201" t="s">
        <v>152</v>
      </c>
      <c r="E55" s="201"/>
      <c r="F55" s="211">
        <v>92504</v>
      </c>
      <c r="G55" s="211">
        <v>9250</v>
      </c>
      <c r="H55" s="211">
        <v>925</v>
      </c>
      <c r="I55" s="202">
        <f t="shared" si="0"/>
        <v>84179</v>
      </c>
      <c r="J55" s="209" t="s">
        <v>46</v>
      </c>
      <c r="K55" s="209" t="s">
        <v>29</v>
      </c>
      <c r="L55" s="201" t="s">
        <v>1058</v>
      </c>
      <c r="M55" s="209" t="s">
        <v>2500</v>
      </c>
      <c r="N55" s="201" t="s">
        <v>1030</v>
      </c>
      <c r="O55" s="209" t="s">
        <v>652</v>
      </c>
      <c r="P55" s="209" t="s">
        <v>652</v>
      </c>
      <c r="Q55" s="213" t="s">
        <v>987</v>
      </c>
      <c r="R55" s="213" t="s">
        <v>988</v>
      </c>
      <c r="S55" s="213" t="s">
        <v>2394</v>
      </c>
      <c r="T55" s="209"/>
    </row>
    <row r="56" spans="1:24" s="205" customFormat="1" hidden="1" x14ac:dyDescent="0.2">
      <c r="A56" s="205" t="s">
        <v>305</v>
      </c>
      <c r="B56" s="205" t="s">
        <v>634</v>
      </c>
      <c r="C56" s="200" t="s">
        <v>2394</v>
      </c>
      <c r="D56" s="201" t="s">
        <v>152</v>
      </c>
      <c r="E56" s="201"/>
      <c r="F56" s="206">
        <v>32598</v>
      </c>
      <c r="G56" s="206">
        <v>3260</v>
      </c>
      <c r="H56" s="206">
        <v>163</v>
      </c>
      <c r="I56" s="202">
        <f t="shared" si="0"/>
        <v>29501</v>
      </c>
      <c r="J56" s="205" t="s">
        <v>94</v>
      </c>
      <c r="K56" s="205" t="s">
        <v>23</v>
      </c>
      <c r="L56" s="201" t="s">
        <v>1042</v>
      </c>
      <c r="M56" s="205" t="s">
        <v>2501</v>
      </c>
      <c r="N56" s="201" t="s">
        <v>1030</v>
      </c>
      <c r="O56" s="205" t="s">
        <v>652</v>
      </c>
      <c r="P56" s="205" t="s">
        <v>652</v>
      </c>
      <c r="Q56" s="208" t="s">
        <v>657</v>
      </c>
      <c r="R56" s="208" t="s">
        <v>658</v>
      </c>
      <c r="S56" s="208" t="s">
        <v>2394</v>
      </c>
      <c r="T56" s="209"/>
    </row>
    <row r="57" spans="1:24" s="205" customFormat="1" hidden="1" x14ac:dyDescent="0.2">
      <c r="A57" s="205" t="s">
        <v>244</v>
      </c>
      <c r="B57" s="205" t="s">
        <v>2502</v>
      </c>
      <c r="C57" s="200" t="s">
        <v>2394</v>
      </c>
      <c r="D57" s="201" t="s">
        <v>152</v>
      </c>
      <c r="E57" s="201"/>
      <c r="F57" s="206">
        <v>76212</v>
      </c>
      <c r="G57" s="206">
        <v>7621</v>
      </c>
      <c r="H57" s="206">
        <v>381</v>
      </c>
      <c r="I57" s="202">
        <f t="shared" si="0"/>
        <v>68972</v>
      </c>
      <c r="J57" s="205" t="s">
        <v>38</v>
      </c>
      <c r="K57" s="205" t="s">
        <v>23</v>
      </c>
      <c r="L57" s="201" t="s">
        <v>1028</v>
      </c>
      <c r="M57" s="205" t="s">
        <v>2503</v>
      </c>
      <c r="N57" s="201" t="s">
        <v>1030</v>
      </c>
      <c r="O57" s="205" t="s">
        <v>652</v>
      </c>
      <c r="P57" s="205" t="s">
        <v>652</v>
      </c>
      <c r="Q57" s="208" t="s">
        <v>2191</v>
      </c>
      <c r="R57" s="208" t="s">
        <v>2192</v>
      </c>
      <c r="S57" s="208" t="s">
        <v>2394</v>
      </c>
    </row>
    <row r="58" spans="1:24" s="205" customFormat="1" hidden="1" x14ac:dyDescent="0.2">
      <c r="A58" s="205" t="s">
        <v>244</v>
      </c>
      <c r="B58" s="205" t="s">
        <v>2504</v>
      </c>
      <c r="C58" s="200" t="s">
        <v>2394</v>
      </c>
      <c r="D58" s="201" t="s">
        <v>152</v>
      </c>
      <c r="E58" s="201"/>
      <c r="F58" s="206">
        <v>27213</v>
      </c>
      <c r="G58" s="206">
        <v>2721</v>
      </c>
      <c r="H58" s="206">
        <v>136</v>
      </c>
      <c r="I58" s="202">
        <f t="shared" si="0"/>
        <v>24628</v>
      </c>
      <c r="J58" s="205" t="s">
        <v>38</v>
      </c>
      <c r="K58" s="205" t="s">
        <v>23</v>
      </c>
      <c r="L58" s="201" t="s">
        <v>1028</v>
      </c>
      <c r="M58" s="205" t="s">
        <v>2505</v>
      </c>
      <c r="N58" s="201" t="s">
        <v>1030</v>
      </c>
      <c r="O58" s="205" t="s">
        <v>652</v>
      </c>
      <c r="P58" s="205" t="s">
        <v>652</v>
      </c>
      <c r="Q58" s="208" t="s">
        <v>2191</v>
      </c>
      <c r="R58" s="208" t="s">
        <v>2192</v>
      </c>
      <c r="S58" s="208" t="s">
        <v>2394</v>
      </c>
    </row>
    <row r="59" spans="1:24" s="205" customFormat="1" hidden="1" x14ac:dyDescent="0.2">
      <c r="A59" s="205" t="s">
        <v>244</v>
      </c>
      <c r="B59" s="205" t="s">
        <v>2506</v>
      </c>
      <c r="C59" s="200" t="s">
        <v>2394</v>
      </c>
      <c r="D59" s="201" t="s">
        <v>152</v>
      </c>
      <c r="E59" s="201"/>
      <c r="F59" s="206">
        <v>81500</v>
      </c>
      <c r="G59" s="206">
        <v>8150</v>
      </c>
      <c r="H59" s="206">
        <v>408</v>
      </c>
      <c r="I59" s="202">
        <f t="shared" si="0"/>
        <v>73758</v>
      </c>
      <c r="J59" s="205" t="s">
        <v>38</v>
      </c>
      <c r="K59" s="205" t="s">
        <v>23</v>
      </c>
      <c r="L59" s="201" t="s">
        <v>1028</v>
      </c>
      <c r="M59" s="205" t="s">
        <v>2507</v>
      </c>
      <c r="N59" s="201" t="s">
        <v>1030</v>
      </c>
      <c r="O59" s="205" t="s">
        <v>652</v>
      </c>
      <c r="P59" s="205" t="s">
        <v>652</v>
      </c>
      <c r="Q59" s="208" t="s">
        <v>2191</v>
      </c>
      <c r="R59" s="208" t="s">
        <v>2192</v>
      </c>
      <c r="S59" s="208" t="s">
        <v>2394</v>
      </c>
    </row>
    <row r="60" spans="1:24" s="205" customFormat="1" hidden="1" x14ac:dyDescent="0.2">
      <c r="A60" s="205" t="s">
        <v>244</v>
      </c>
      <c r="B60" s="205" t="s">
        <v>2508</v>
      </c>
      <c r="C60" s="200" t="s">
        <v>2394</v>
      </c>
      <c r="D60" s="201" t="s">
        <v>152</v>
      </c>
      <c r="E60" s="201"/>
      <c r="F60" s="206">
        <v>52244</v>
      </c>
      <c r="G60" s="206">
        <v>5224</v>
      </c>
      <c r="H60" s="206">
        <v>261</v>
      </c>
      <c r="I60" s="202">
        <f t="shared" si="0"/>
        <v>47281</v>
      </c>
      <c r="J60" s="205" t="s">
        <v>38</v>
      </c>
      <c r="K60" s="205" t="s">
        <v>23</v>
      </c>
      <c r="L60" s="201" t="s">
        <v>1028</v>
      </c>
      <c r="M60" s="205" t="s">
        <v>2509</v>
      </c>
      <c r="N60" s="201" t="s">
        <v>1030</v>
      </c>
      <c r="O60" s="205" t="s">
        <v>652</v>
      </c>
      <c r="P60" s="205" t="s">
        <v>652</v>
      </c>
      <c r="Q60" s="208" t="s">
        <v>2191</v>
      </c>
      <c r="R60" s="208" t="s">
        <v>2192</v>
      </c>
      <c r="S60" s="208" t="s">
        <v>2394</v>
      </c>
    </row>
    <row r="61" spans="1:24" s="205" customFormat="1" hidden="1" x14ac:dyDescent="0.2">
      <c r="A61" s="205" t="s">
        <v>244</v>
      </c>
      <c r="B61" s="205" t="s">
        <v>2510</v>
      </c>
      <c r="C61" s="200" t="s">
        <v>2394</v>
      </c>
      <c r="D61" s="201" t="s">
        <v>152</v>
      </c>
      <c r="E61" s="201"/>
      <c r="F61" s="206">
        <v>30095</v>
      </c>
      <c r="G61" s="206">
        <v>3010</v>
      </c>
      <c r="H61" s="206">
        <v>150</v>
      </c>
      <c r="I61" s="202">
        <f t="shared" si="0"/>
        <v>27235</v>
      </c>
      <c r="J61" s="205" t="s">
        <v>38</v>
      </c>
      <c r="K61" s="205" t="s">
        <v>23</v>
      </c>
      <c r="L61" s="201" t="s">
        <v>1028</v>
      </c>
      <c r="M61" s="205" t="s">
        <v>2511</v>
      </c>
      <c r="N61" s="201" t="s">
        <v>1030</v>
      </c>
      <c r="O61" s="205" t="s">
        <v>652</v>
      </c>
      <c r="P61" s="205" t="s">
        <v>652</v>
      </c>
      <c r="Q61" s="208" t="s">
        <v>2191</v>
      </c>
      <c r="R61" s="208" t="s">
        <v>2192</v>
      </c>
      <c r="S61" s="208" t="s">
        <v>2394</v>
      </c>
    </row>
    <row r="62" spans="1:24" s="205" customFormat="1" hidden="1" x14ac:dyDescent="0.2">
      <c r="A62" s="205" t="s">
        <v>244</v>
      </c>
      <c r="B62" s="205" t="s">
        <v>2512</v>
      </c>
      <c r="C62" s="200" t="s">
        <v>2394</v>
      </c>
      <c r="D62" s="201" t="s">
        <v>152</v>
      </c>
      <c r="E62" s="201"/>
      <c r="F62" s="206">
        <v>30095</v>
      </c>
      <c r="G62" s="206">
        <v>3010</v>
      </c>
      <c r="H62" s="206">
        <v>150</v>
      </c>
      <c r="I62" s="202">
        <f t="shared" si="0"/>
        <v>27235</v>
      </c>
      <c r="J62" s="205" t="s">
        <v>38</v>
      </c>
      <c r="K62" s="205" t="s">
        <v>23</v>
      </c>
      <c r="L62" s="201" t="s">
        <v>1028</v>
      </c>
      <c r="M62" s="205" t="s">
        <v>2513</v>
      </c>
      <c r="N62" s="201" t="s">
        <v>1030</v>
      </c>
      <c r="O62" s="205" t="s">
        <v>652</v>
      </c>
      <c r="P62" s="205" t="s">
        <v>652</v>
      </c>
      <c r="Q62" s="208" t="s">
        <v>2191</v>
      </c>
      <c r="R62" s="208" t="s">
        <v>2192</v>
      </c>
      <c r="S62" s="208" t="s">
        <v>2394</v>
      </c>
    </row>
    <row r="63" spans="1:24" s="205" customFormat="1" hidden="1" x14ac:dyDescent="0.2">
      <c r="A63" s="205" t="s">
        <v>244</v>
      </c>
      <c r="B63" s="205" t="s">
        <v>2514</v>
      </c>
      <c r="C63" s="200" t="s">
        <v>2394</v>
      </c>
      <c r="D63" s="201" t="s">
        <v>152</v>
      </c>
      <c r="E63" s="201"/>
      <c r="F63" s="206">
        <v>117590</v>
      </c>
      <c r="G63" s="206">
        <v>11759</v>
      </c>
      <c r="H63" s="206">
        <v>588</v>
      </c>
      <c r="I63" s="202">
        <f t="shared" si="0"/>
        <v>106419</v>
      </c>
      <c r="J63" s="205" t="s">
        <v>38</v>
      </c>
      <c r="K63" s="205" t="s">
        <v>23</v>
      </c>
      <c r="L63" s="201" t="s">
        <v>1028</v>
      </c>
      <c r="M63" s="205" t="s">
        <v>2515</v>
      </c>
      <c r="N63" s="201" t="s">
        <v>1030</v>
      </c>
      <c r="O63" s="205" t="s">
        <v>652</v>
      </c>
      <c r="P63" s="205" t="s">
        <v>652</v>
      </c>
      <c r="Q63" s="208" t="s">
        <v>2191</v>
      </c>
      <c r="R63" s="208" t="s">
        <v>2192</v>
      </c>
      <c r="S63" s="208" t="s">
        <v>2394</v>
      </c>
    </row>
    <row r="64" spans="1:24" s="205" customFormat="1" hidden="1" x14ac:dyDescent="0.2">
      <c r="A64" s="205" t="s">
        <v>244</v>
      </c>
      <c r="B64" s="205" t="s">
        <v>2516</v>
      </c>
      <c r="C64" s="200" t="s">
        <v>2394</v>
      </c>
      <c r="D64" s="201" t="s">
        <v>152</v>
      </c>
      <c r="E64" s="201"/>
      <c r="F64" s="206">
        <v>42202</v>
      </c>
      <c r="G64" s="206">
        <v>4220</v>
      </c>
      <c r="H64" s="206">
        <v>211</v>
      </c>
      <c r="I64" s="202">
        <f t="shared" si="0"/>
        <v>38193</v>
      </c>
      <c r="J64" s="205" t="s">
        <v>38</v>
      </c>
      <c r="K64" s="205" t="s">
        <v>23</v>
      </c>
      <c r="L64" s="201" t="s">
        <v>1028</v>
      </c>
      <c r="M64" s="205" t="s">
        <v>2517</v>
      </c>
      <c r="N64" s="201" t="s">
        <v>1030</v>
      </c>
      <c r="O64" s="205" t="s">
        <v>652</v>
      </c>
      <c r="P64" s="205" t="s">
        <v>652</v>
      </c>
      <c r="Q64" s="208" t="s">
        <v>2191</v>
      </c>
      <c r="R64" s="208" t="s">
        <v>2192</v>
      </c>
      <c r="S64" s="208" t="s">
        <v>2394</v>
      </c>
    </row>
    <row r="65" spans="1:19" s="205" customFormat="1" hidden="1" x14ac:dyDescent="0.2">
      <c r="A65" s="205" t="s">
        <v>244</v>
      </c>
      <c r="B65" s="205" t="s">
        <v>2518</v>
      </c>
      <c r="C65" s="200" t="s">
        <v>2394</v>
      </c>
      <c r="D65" s="201" t="s">
        <v>152</v>
      </c>
      <c r="E65" s="201"/>
      <c r="F65" s="206">
        <v>84164</v>
      </c>
      <c r="G65" s="206">
        <v>8416</v>
      </c>
      <c r="H65" s="206">
        <v>421</v>
      </c>
      <c r="I65" s="202">
        <f t="shared" si="0"/>
        <v>76169</v>
      </c>
      <c r="J65" s="205" t="s">
        <v>38</v>
      </c>
      <c r="K65" s="205" t="s">
        <v>23</v>
      </c>
      <c r="L65" s="201" t="s">
        <v>1028</v>
      </c>
      <c r="M65" s="205" t="s">
        <v>2519</v>
      </c>
      <c r="N65" s="201" t="s">
        <v>1030</v>
      </c>
      <c r="O65" s="205" t="s">
        <v>652</v>
      </c>
      <c r="P65" s="205" t="s">
        <v>652</v>
      </c>
      <c r="Q65" s="208" t="s">
        <v>2191</v>
      </c>
      <c r="R65" s="208" t="s">
        <v>2192</v>
      </c>
      <c r="S65" s="208" t="s">
        <v>2394</v>
      </c>
    </row>
    <row r="66" spans="1:19" s="205" customFormat="1" hidden="1" x14ac:dyDescent="0.2">
      <c r="A66" s="205" t="s">
        <v>244</v>
      </c>
      <c r="B66" s="205" t="s">
        <v>2520</v>
      </c>
      <c r="C66" s="200" t="s">
        <v>2394</v>
      </c>
      <c r="D66" s="201" t="s">
        <v>152</v>
      </c>
      <c r="E66" s="201"/>
      <c r="F66" s="206">
        <v>38699</v>
      </c>
      <c r="G66" s="206">
        <v>3870</v>
      </c>
      <c r="H66" s="206">
        <v>194</v>
      </c>
      <c r="I66" s="202">
        <f t="shared" si="0"/>
        <v>35023</v>
      </c>
      <c r="J66" s="205" t="s">
        <v>38</v>
      </c>
      <c r="K66" s="205" t="s">
        <v>23</v>
      </c>
      <c r="L66" s="201" t="s">
        <v>1028</v>
      </c>
      <c r="M66" s="205" t="s">
        <v>2521</v>
      </c>
      <c r="N66" s="201" t="s">
        <v>1030</v>
      </c>
      <c r="O66" s="205" t="s">
        <v>652</v>
      </c>
      <c r="P66" s="205" t="s">
        <v>652</v>
      </c>
      <c r="Q66" s="208" t="s">
        <v>2191</v>
      </c>
      <c r="R66" s="208" t="s">
        <v>2192</v>
      </c>
      <c r="S66" s="208" t="s">
        <v>2394</v>
      </c>
    </row>
    <row r="67" spans="1:19" s="205" customFormat="1" hidden="1" x14ac:dyDescent="0.2">
      <c r="A67" s="205" t="s">
        <v>244</v>
      </c>
      <c r="B67" s="205" t="s">
        <v>2522</v>
      </c>
      <c r="C67" s="200" t="s">
        <v>2394</v>
      </c>
      <c r="D67" s="199" t="s">
        <v>152</v>
      </c>
      <c r="E67" s="199"/>
      <c r="F67" s="206">
        <v>69284</v>
      </c>
      <c r="G67" s="206">
        <v>6928</v>
      </c>
      <c r="H67" s="206">
        <v>346</v>
      </c>
      <c r="I67" s="202">
        <f t="shared" ref="I67:I130" si="1">F67+H67-G67</f>
        <v>62702</v>
      </c>
      <c r="J67" s="205" t="s">
        <v>38</v>
      </c>
      <c r="K67" s="205" t="s">
        <v>23</v>
      </c>
      <c r="L67" s="201" t="s">
        <v>1028</v>
      </c>
      <c r="M67" s="205" t="s">
        <v>2523</v>
      </c>
      <c r="N67" s="201" t="s">
        <v>1030</v>
      </c>
      <c r="O67" s="205" t="s">
        <v>652</v>
      </c>
      <c r="P67" s="205" t="s">
        <v>652</v>
      </c>
      <c r="Q67" s="208" t="s">
        <v>2191</v>
      </c>
      <c r="R67" s="208" t="s">
        <v>2192</v>
      </c>
      <c r="S67" s="208" t="s">
        <v>2394</v>
      </c>
    </row>
    <row r="68" spans="1:19" s="205" customFormat="1" hidden="1" x14ac:dyDescent="0.2">
      <c r="A68" s="205" t="s">
        <v>244</v>
      </c>
      <c r="B68" s="205" t="s">
        <v>2524</v>
      </c>
      <c r="C68" s="200" t="s">
        <v>2394</v>
      </c>
      <c r="D68" s="199" t="s">
        <v>152</v>
      </c>
      <c r="E68" s="199"/>
      <c r="F68" s="206">
        <v>77752</v>
      </c>
      <c r="G68" s="206">
        <v>7775</v>
      </c>
      <c r="H68" s="206">
        <v>389</v>
      </c>
      <c r="I68" s="202">
        <f t="shared" si="1"/>
        <v>70366</v>
      </c>
      <c r="J68" s="205" t="s">
        <v>38</v>
      </c>
      <c r="K68" s="205" t="s">
        <v>23</v>
      </c>
      <c r="L68" s="201" t="s">
        <v>1028</v>
      </c>
      <c r="M68" s="205" t="s">
        <v>2525</v>
      </c>
      <c r="N68" s="201" t="s">
        <v>1030</v>
      </c>
      <c r="O68" s="205" t="s">
        <v>652</v>
      </c>
      <c r="P68" s="205" t="s">
        <v>652</v>
      </c>
      <c r="Q68" s="208" t="s">
        <v>2191</v>
      </c>
      <c r="R68" s="208" t="s">
        <v>2192</v>
      </c>
      <c r="S68" s="208" t="s">
        <v>2394</v>
      </c>
    </row>
    <row r="69" spans="1:19" s="205" customFormat="1" hidden="1" x14ac:dyDescent="0.2">
      <c r="A69" s="205" t="s">
        <v>244</v>
      </c>
      <c r="B69" s="205" t="s">
        <v>2526</v>
      </c>
      <c r="C69" s="200" t="s">
        <v>2394</v>
      </c>
      <c r="D69" s="201" t="s">
        <v>152</v>
      </c>
      <c r="E69" s="201"/>
      <c r="F69" s="206">
        <v>71639</v>
      </c>
      <c r="G69" s="206">
        <v>7164</v>
      </c>
      <c r="H69" s="206">
        <v>358</v>
      </c>
      <c r="I69" s="202">
        <f t="shared" si="1"/>
        <v>64833</v>
      </c>
      <c r="J69" s="205" t="s">
        <v>38</v>
      </c>
      <c r="K69" s="205" t="s">
        <v>23</v>
      </c>
      <c r="L69" s="201" t="s">
        <v>1028</v>
      </c>
      <c r="M69" s="205" t="s">
        <v>2527</v>
      </c>
      <c r="N69" s="201" t="s">
        <v>1030</v>
      </c>
      <c r="O69" s="205" t="s">
        <v>652</v>
      </c>
      <c r="P69" s="205" t="s">
        <v>652</v>
      </c>
      <c r="Q69" s="208" t="s">
        <v>2191</v>
      </c>
      <c r="R69" s="208" t="s">
        <v>2192</v>
      </c>
      <c r="S69" s="208" t="s">
        <v>2394</v>
      </c>
    </row>
    <row r="70" spans="1:19" s="205" customFormat="1" hidden="1" x14ac:dyDescent="0.2">
      <c r="A70" s="205" t="s">
        <v>244</v>
      </c>
      <c r="B70" s="205" t="s">
        <v>2528</v>
      </c>
      <c r="C70" s="200" t="s">
        <v>2394</v>
      </c>
      <c r="D70" s="201" t="s">
        <v>152</v>
      </c>
      <c r="E70" s="201"/>
      <c r="F70" s="206">
        <v>38365</v>
      </c>
      <c r="G70" s="206">
        <v>3837</v>
      </c>
      <c r="H70" s="206">
        <v>192</v>
      </c>
      <c r="I70" s="202">
        <f t="shared" si="1"/>
        <v>34720</v>
      </c>
      <c r="J70" s="205" t="s">
        <v>38</v>
      </c>
      <c r="K70" s="205" t="s">
        <v>23</v>
      </c>
      <c r="L70" s="201" t="s">
        <v>1028</v>
      </c>
      <c r="M70" s="205" t="s">
        <v>2529</v>
      </c>
      <c r="N70" s="201" t="s">
        <v>1030</v>
      </c>
      <c r="O70" s="205" t="s">
        <v>652</v>
      </c>
      <c r="P70" s="205" t="s">
        <v>652</v>
      </c>
      <c r="Q70" s="208" t="s">
        <v>2191</v>
      </c>
      <c r="R70" s="208" t="s">
        <v>2192</v>
      </c>
      <c r="S70" s="208" t="s">
        <v>2394</v>
      </c>
    </row>
    <row r="71" spans="1:19" s="205" customFormat="1" hidden="1" x14ac:dyDescent="0.2">
      <c r="A71" s="205" t="s">
        <v>244</v>
      </c>
      <c r="B71" s="205" t="s">
        <v>2530</v>
      </c>
      <c r="C71" s="200" t="s">
        <v>2394</v>
      </c>
      <c r="D71" s="201" t="s">
        <v>152</v>
      </c>
      <c r="E71" s="201"/>
      <c r="F71" s="206">
        <v>51793</v>
      </c>
      <c r="G71" s="206">
        <v>5179</v>
      </c>
      <c r="H71" s="206">
        <v>259</v>
      </c>
      <c r="I71" s="202">
        <f t="shared" si="1"/>
        <v>46873</v>
      </c>
      <c r="J71" s="205" t="s">
        <v>38</v>
      </c>
      <c r="K71" s="205" t="s">
        <v>23</v>
      </c>
      <c r="L71" s="201" t="s">
        <v>1028</v>
      </c>
      <c r="M71" s="205" t="s">
        <v>2531</v>
      </c>
      <c r="N71" s="201" t="s">
        <v>1030</v>
      </c>
      <c r="O71" s="205" t="s">
        <v>652</v>
      </c>
      <c r="P71" s="205" t="s">
        <v>652</v>
      </c>
      <c r="Q71" s="208" t="s">
        <v>2191</v>
      </c>
      <c r="R71" s="208" t="s">
        <v>2192</v>
      </c>
      <c r="S71" s="208" t="s">
        <v>2394</v>
      </c>
    </row>
    <row r="72" spans="1:19" s="205" customFormat="1" hidden="1" x14ac:dyDescent="0.2">
      <c r="A72" s="205" t="s">
        <v>244</v>
      </c>
      <c r="B72" s="205" t="s">
        <v>2532</v>
      </c>
      <c r="C72" s="200" t="s">
        <v>2394</v>
      </c>
      <c r="D72" s="201" t="s">
        <v>152</v>
      </c>
      <c r="E72" s="201"/>
      <c r="F72" s="206">
        <v>69284</v>
      </c>
      <c r="G72" s="206">
        <v>6928</v>
      </c>
      <c r="H72" s="206">
        <v>346</v>
      </c>
      <c r="I72" s="202">
        <f t="shared" si="1"/>
        <v>62702</v>
      </c>
      <c r="J72" s="205" t="s">
        <v>38</v>
      </c>
      <c r="K72" s="205" t="s">
        <v>23</v>
      </c>
      <c r="L72" s="201" t="s">
        <v>1028</v>
      </c>
      <c r="M72" s="205" t="s">
        <v>2533</v>
      </c>
      <c r="N72" s="201" t="s">
        <v>1030</v>
      </c>
      <c r="O72" s="205" t="s">
        <v>652</v>
      </c>
      <c r="P72" s="205" t="s">
        <v>652</v>
      </c>
      <c r="Q72" s="208" t="s">
        <v>2191</v>
      </c>
      <c r="R72" s="208" t="s">
        <v>2192</v>
      </c>
      <c r="S72" s="208" t="s">
        <v>2394</v>
      </c>
    </row>
    <row r="73" spans="1:19" s="205" customFormat="1" hidden="1" x14ac:dyDescent="0.2">
      <c r="A73" s="205" t="s">
        <v>244</v>
      </c>
      <c r="B73" s="205" t="s">
        <v>2534</v>
      </c>
      <c r="C73" s="200" t="s">
        <v>2394</v>
      </c>
      <c r="D73" s="201" t="s">
        <v>152</v>
      </c>
      <c r="E73" s="201"/>
      <c r="F73" s="206">
        <v>69284</v>
      </c>
      <c r="G73" s="206">
        <v>6928</v>
      </c>
      <c r="H73" s="206">
        <v>346</v>
      </c>
      <c r="I73" s="202">
        <f t="shared" si="1"/>
        <v>62702</v>
      </c>
      <c r="J73" s="205" t="s">
        <v>38</v>
      </c>
      <c r="K73" s="205" t="s">
        <v>23</v>
      </c>
      <c r="L73" s="201" t="s">
        <v>1028</v>
      </c>
      <c r="M73" s="205" t="s">
        <v>2535</v>
      </c>
      <c r="N73" s="201" t="s">
        <v>1030</v>
      </c>
      <c r="O73" s="205" t="s">
        <v>652</v>
      </c>
      <c r="P73" s="205" t="s">
        <v>652</v>
      </c>
      <c r="Q73" s="208" t="s">
        <v>2191</v>
      </c>
      <c r="R73" s="208" t="s">
        <v>2192</v>
      </c>
      <c r="S73" s="208" t="s">
        <v>2394</v>
      </c>
    </row>
    <row r="74" spans="1:19" s="205" customFormat="1" hidden="1" x14ac:dyDescent="0.2">
      <c r="A74" s="205" t="s">
        <v>244</v>
      </c>
      <c r="B74" s="205" t="s">
        <v>2536</v>
      </c>
      <c r="C74" s="200" t="s">
        <v>2394</v>
      </c>
      <c r="D74" s="201" t="s">
        <v>152</v>
      </c>
      <c r="E74" s="201"/>
      <c r="F74" s="206">
        <v>84164</v>
      </c>
      <c r="G74" s="206">
        <v>8416</v>
      </c>
      <c r="H74" s="206">
        <v>421</v>
      </c>
      <c r="I74" s="202">
        <f t="shared" si="1"/>
        <v>76169</v>
      </c>
      <c r="J74" s="205" t="s">
        <v>38</v>
      </c>
      <c r="K74" s="205" t="s">
        <v>23</v>
      </c>
      <c r="L74" s="201" t="s">
        <v>1028</v>
      </c>
      <c r="M74" s="205" t="s">
        <v>2537</v>
      </c>
      <c r="N74" s="201" t="s">
        <v>1030</v>
      </c>
      <c r="O74" s="205" t="s">
        <v>652</v>
      </c>
      <c r="P74" s="205" t="s">
        <v>652</v>
      </c>
      <c r="Q74" s="208" t="s">
        <v>2191</v>
      </c>
      <c r="R74" s="208" t="s">
        <v>2192</v>
      </c>
      <c r="S74" s="208" t="s">
        <v>2394</v>
      </c>
    </row>
    <row r="75" spans="1:19" s="205" customFormat="1" hidden="1" x14ac:dyDescent="0.2">
      <c r="A75" s="205" t="s">
        <v>244</v>
      </c>
      <c r="B75" s="205" t="s">
        <v>2538</v>
      </c>
      <c r="C75" s="200" t="s">
        <v>2394</v>
      </c>
      <c r="D75" s="201" t="s">
        <v>152</v>
      </c>
      <c r="E75" s="201"/>
      <c r="F75" s="206">
        <v>84164</v>
      </c>
      <c r="G75" s="206">
        <v>8416</v>
      </c>
      <c r="H75" s="206">
        <v>421</v>
      </c>
      <c r="I75" s="202">
        <f t="shared" si="1"/>
        <v>76169</v>
      </c>
      <c r="J75" s="205" t="s">
        <v>38</v>
      </c>
      <c r="K75" s="205" t="s">
        <v>23</v>
      </c>
      <c r="L75" s="201" t="s">
        <v>1028</v>
      </c>
      <c r="M75" s="205" t="s">
        <v>2539</v>
      </c>
      <c r="N75" s="201" t="s">
        <v>1030</v>
      </c>
      <c r="O75" s="205" t="s">
        <v>652</v>
      </c>
      <c r="P75" s="205" t="s">
        <v>652</v>
      </c>
      <c r="Q75" s="208" t="s">
        <v>2191</v>
      </c>
      <c r="R75" s="208" t="s">
        <v>2192</v>
      </c>
      <c r="S75" s="208" t="s">
        <v>2394</v>
      </c>
    </row>
    <row r="76" spans="1:19" s="205" customFormat="1" hidden="1" x14ac:dyDescent="0.2">
      <c r="A76" s="205" t="s">
        <v>244</v>
      </c>
      <c r="B76" s="205" t="s">
        <v>2540</v>
      </c>
      <c r="C76" s="200" t="s">
        <v>2394</v>
      </c>
      <c r="D76" s="201" t="s">
        <v>152</v>
      </c>
      <c r="E76" s="201"/>
      <c r="F76" s="206">
        <v>71639</v>
      </c>
      <c r="G76" s="206">
        <v>7164</v>
      </c>
      <c r="H76" s="206">
        <v>358</v>
      </c>
      <c r="I76" s="202">
        <f t="shared" si="1"/>
        <v>64833</v>
      </c>
      <c r="J76" s="205" t="s">
        <v>38</v>
      </c>
      <c r="K76" s="205" t="s">
        <v>23</v>
      </c>
      <c r="L76" s="201" t="s">
        <v>1028</v>
      </c>
      <c r="M76" s="205" t="s">
        <v>2541</v>
      </c>
      <c r="N76" s="201" t="s">
        <v>1030</v>
      </c>
      <c r="O76" s="205" t="s">
        <v>652</v>
      </c>
      <c r="P76" s="205" t="s">
        <v>652</v>
      </c>
      <c r="Q76" s="208" t="s">
        <v>651</v>
      </c>
      <c r="R76" s="208" t="s">
        <v>673</v>
      </c>
      <c r="S76" s="208" t="s">
        <v>2394</v>
      </c>
    </row>
    <row r="77" spans="1:19" s="205" customFormat="1" hidden="1" x14ac:dyDescent="0.2">
      <c r="A77" s="205" t="s">
        <v>244</v>
      </c>
      <c r="B77" s="205" t="s">
        <v>2542</v>
      </c>
      <c r="C77" s="200" t="s">
        <v>2394</v>
      </c>
      <c r="D77" s="201" t="s">
        <v>152</v>
      </c>
      <c r="E77" s="201"/>
      <c r="F77" s="206">
        <v>23375</v>
      </c>
      <c r="G77" s="206">
        <v>2338</v>
      </c>
      <c r="H77" s="206">
        <v>117</v>
      </c>
      <c r="I77" s="202">
        <f t="shared" si="1"/>
        <v>21154</v>
      </c>
      <c r="J77" s="205" t="s">
        <v>38</v>
      </c>
      <c r="K77" s="205" t="s">
        <v>23</v>
      </c>
      <c r="L77" s="201" t="s">
        <v>1028</v>
      </c>
      <c r="M77" s="205" t="s">
        <v>2543</v>
      </c>
      <c r="N77" s="201" t="s">
        <v>1030</v>
      </c>
      <c r="O77" s="205" t="s">
        <v>652</v>
      </c>
      <c r="P77" s="205" t="s">
        <v>652</v>
      </c>
      <c r="Q77" s="208" t="s">
        <v>651</v>
      </c>
      <c r="R77" s="208" t="s">
        <v>673</v>
      </c>
      <c r="S77" s="208" t="s">
        <v>2394</v>
      </c>
    </row>
    <row r="78" spans="1:19" s="205" customFormat="1" hidden="1" x14ac:dyDescent="0.2">
      <c r="A78" s="205" t="s">
        <v>244</v>
      </c>
      <c r="B78" s="205" t="s">
        <v>2544</v>
      </c>
      <c r="C78" s="200" t="s">
        <v>2394</v>
      </c>
      <c r="D78" s="201" t="s">
        <v>152</v>
      </c>
      <c r="E78" s="201"/>
      <c r="F78" s="206">
        <v>23375</v>
      </c>
      <c r="G78" s="206">
        <v>2338</v>
      </c>
      <c r="H78" s="206">
        <v>117</v>
      </c>
      <c r="I78" s="202">
        <f t="shared" si="1"/>
        <v>21154</v>
      </c>
      <c r="J78" s="205" t="s">
        <v>38</v>
      </c>
      <c r="K78" s="205" t="s">
        <v>23</v>
      </c>
      <c r="L78" s="201" t="s">
        <v>1028</v>
      </c>
      <c r="M78" s="205" t="s">
        <v>2545</v>
      </c>
      <c r="N78" s="201" t="s">
        <v>1030</v>
      </c>
      <c r="O78" s="205" t="s">
        <v>652</v>
      </c>
      <c r="P78" s="205" t="s">
        <v>652</v>
      </c>
      <c r="Q78" s="208" t="s">
        <v>651</v>
      </c>
      <c r="R78" s="208" t="s">
        <v>673</v>
      </c>
      <c r="S78" s="208" t="s">
        <v>2394</v>
      </c>
    </row>
    <row r="79" spans="1:19" s="205" customFormat="1" hidden="1" x14ac:dyDescent="0.2">
      <c r="A79" s="205" t="s">
        <v>244</v>
      </c>
      <c r="B79" s="205" t="s">
        <v>2546</v>
      </c>
      <c r="C79" s="200" t="s">
        <v>2394</v>
      </c>
      <c r="D79" s="201" t="s">
        <v>152</v>
      </c>
      <c r="E79" s="201"/>
      <c r="F79" s="206">
        <v>59699</v>
      </c>
      <c r="G79" s="206">
        <v>5970</v>
      </c>
      <c r="H79" s="206">
        <v>299</v>
      </c>
      <c r="I79" s="202">
        <f t="shared" si="1"/>
        <v>54028</v>
      </c>
      <c r="J79" s="205" t="s">
        <v>38</v>
      </c>
      <c r="K79" s="205" t="s">
        <v>23</v>
      </c>
      <c r="L79" s="201" t="s">
        <v>1028</v>
      </c>
      <c r="M79" s="205" t="s">
        <v>2547</v>
      </c>
      <c r="N79" s="201" t="s">
        <v>1030</v>
      </c>
      <c r="O79" s="205" t="s">
        <v>652</v>
      </c>
      <c r="P79" s="205" t="s">
        <v>652</v>
      </c>
      <c r="Q79" s="208" t="s">
        <v>651</v>
      </c>
      <c r="R79" s="208" t="s">
        <v>673</v>
      </c>
      <c r="S79" s="208" t="s">
        <v>2394</v>
      </c>
    </row>
    <row r="80" spans="1:19" s="205" customFormat="1" hidden="1" x14ac:dyDescent="0.2">
      <c r="A80" s="205" t="s">
        <v>244</v>
      </c>
      <c r="B80" s="205" t="s">
        <v>2548</v>
      </c>
      <c r="C80" s="200" t="s">
        <v>2394</v>
      </c>
      <c r="D80" s="201" t="s">
        <v>152</v>
      </c>
      <c r="E80" s="201"/>
      <c r="F80" s="206">
        <v>59162</v>
      </c>
      <c r="G80" s="206">
        <v>5916</v>
      </c>
      <c r="H80" s="206">
        <v>296</v>
      </c>
      <c r="I80" s="202">
        <f t="shared" si="1"/>
        <v>53542</v>
      </c>
      <c r="J80" s="205" t="s">
        <v>38</v>
      </c>
      <c r="K80" s="205" t="s">
        <v>23</v>
      </c>
      <c r="L80" s="201" t="s">
        <v>1028</v>
      </c>
      <c r="M80" s="205" t="s">
        <v>2549</v>
      </c>
      <c r="N80" s="201" t="s">
        <v>1030</v>
      </c>
      <c r="O80" s="205" t="s">
        <v>652</v>
      </c>
      <c r="P80" s="205" t="s">
        <v>652</v>
      </c>
      <c r="Q80" s="208" t="s">
        <v>651</v>
      </c>
      <c r="R80" s="208" t="s">
        <v>673</v>
      </c>
      <c r="S80" s="208" t="s">
        <v>2394</v>
      </c>
    </row>
    <row r="81" spans="1:19" s="205" customFormat="1" hidden="1" x14ac:dyDescent="0.2">
      <c r="A81" s="205" t="s">
        <v>244</v>
      </c>
      <c r="B81" s="205" t="s">
        <v>2550</v>
      </c>
      <c r="C81" s="200" t="s">
        <v>2394</v>
      </c>
      <c r="D81" s="201" t="s">
        <v>152</v>
      </c>
      <c r="E81" s="201"/>
      <c r="F81" s="206">
        <v>70183</v>
      </c>
      <c r="G81" s="206">
        <v>7018</v>
      </c>
      <c r="H81" s="206">
        <v>351</v>
      </c>
      <c r="I81" s="202">
        <f t="shared" si="1"/>
        <v>63516</v>
      </c>
      <c r="J81" s="205" t="s">
        <v>38</v>
      </c>
      <c r="K81" s="205" t="s">
        <v>23</v>
      </c>
      <c r="L81" s="201" t="s">
        <v>1028</v>
      </c>
      <c r="M81" s="205" t="s">
        <v>2551</v>
      </c>
      <c r="N81" s="201" t="s">
        <v>1030</v>
      </c>
      <c r="O81" s="205" t="s">
        <v>652</v>
      </c>
      <c r="P81" s="205" t="s">
        <v>652</v>
      </c>
      <c r="Q81" s="208" t="s">
        <v>651</v>
      </c>
      <c r="R81" s="208" t="s">
        <v>673</v>
      </c>
      <c r="S81" s="208" t="s">
        <v>2394</v>
      </c>
    </row>
    <row r="82" spans="1:19" s="205" customFormat="1" hidden="1" x14ac:dyDescent="0.2">
      <c r="A82" s="205" t="s">
        <v>244</v>
      </c>
      <c r="B82" s="205" t="s">
        <v>2552</v>
      </c>
      <c r="C82" s="200" t="s">
        <v>2394</v>
      </c>
      <c r="D82" s="201" t="s">
        <v>152</v>
      </c>
      <c r="E82" s="201"/>
      <c r="F82" s="206">
        <v>89755</v>
      </c>
      <c r="G82" s="206">
        <v>8976</v>
      </c>
      <c r="H82" s="206">
        <v>449</v>
      </c>
      <c r="I82" s="202">
        <f t="shared" si="1"/>
        <v>81228</v>
      </c>
      <c r="J82" s="205" t="s">
        <v>38</v>
      </c>
      <c r="K82" s="205" t="s">
        <v>23</v>
      </c>
      <c r="L82" s="201" t="s">
        <v>1028</v>
      </c>
      <c r="M82" s="205" t="s">
        <v>2553</v>
      </c>
      <c r="N82" s="201" t="s">
        <v>1030</v>
      </c>
      <c r="O82" s="205" t="s">
        <v>652</v>
      </c>
      <c r="P82" s="205" t="s">
        <v>652</v>
      </c>
      <c r="Q82" s="208" t="s">
        <v>651</v>
      </c>
      <c r="R82" s="208" t="s">
        <v>673</v>
      </c>
      <c r="S82" s="208" t="s">
        <v>2394</v>
      </c>
    </row>
    <row r="83" spans="1:19" s="205" customFormat="1" hidden="1" x14ac:dyDescent="0.2">
      <c r="A83" s="205" t="s">
        <v>244</v>
      </c>
      <c r="B83" s="205" t="s">
        <v>2554</v>
      </c>
      <c r="C83" s="200" t="s">
        <v>2394</v>
      </c>
      <c r="D83" s="201" t="s">
        <v>152</v>
      </c>
      <c r="E83" s="201"/>
      <c r="F83" s="206">
        <v>45580</v>
      </c>
      <c r="G83" s="206">
        <v>4558</v>
      </c>
      <c r="H83" s="206">
        <v>228</v>
      </c>
      <c r="I83" s="202">
        <f t="shared" si="1"/>
        <v>41250</v>
      </c>
      <c r="J83" s="205" t="s">
        <v>38</v>
      </c>
      <c r="K83" s="205" t="s">
        <v>23</v>
      </c>
      <c r="L83" s="201" t="s">
        <v>1028</v>
      </c>
      <c r="M83" s="205" t="s">
        <v>2555</v>
      </c>
      <c r="N83" s="201" t="s">
        <v>1030</v>
      </c>
      <c r="O83" s="205" t="s">
        <v>652</v>
      </c>
      <c r="P83" s="205" t="s">
        <v>652</v>
      </c>
      <c r="Q83" s="208" t="s">
        <v>651</v>
      </c>
      <c r="R83" s="208" t="s">
        <v>673</v>
      </c>
      <c r="S83" s="208" t="s">
        <v>2394</v>
      </c>
    </row>
    <row r="84" spans="1:19" s="205" customFormat="1" hidden="1" x14ac:dyDescent="0.2">
      <c r="A84" s="205" t="s">
        <v>244</v>
      </c>
      <c r="B84" s="205" t="s">
        <v>2556</v>
      </c>
      <c r="C84" s="200" t="s">
        <v>2394</v>
      </c>
      <c r="D84" s="201" t="s">
        <v>152</v>
      </c>
      <c r="E84" s="201"/>
      <c r="F84" s="206">
        <v>59699</v>
      </c>
      <c r="G84" s="206">
        <v>5970</v>
      </c>
      <c r="H84" s="206">
        <v>299</v>
      </c>
      <c r="I84" s="202">
        <f t="shared" si="1"/>
        <v>54028</v>
      </c>
      <c r="J84" s="205" t="s">
        <v>38</v>
      </c>
      <c r="K84" s="205" t="s">
        <v>23</v>
      </c>
      <c r="L84" s="201" t="s">
        <v>1028</v>
      </c>
      <c r="M84" s="205" t="s">
        <v>2557</v>
      </c>
      <c r="N84" s="201" t="s">
        <v>1030</v>
      </c>
      <c r="O84" s="205" t="s">
        <v>652</v>
      </c>
      <c r="P84" s="205" t="s">
        <v>652</v>
      </c>
      <c r="Q84" s="208" t="s">
        <v>651</v>
      </c>
      <c r="R84" s="208" t="s">
        <v>673</v>
      </c>
      <c r="S84" s="208" t="s">
        <v>2394</v>
      </c>
    </row>
    <row r="85" spans="1:19" s="205" customFormat="1" hidden="1" x14ac:dyDescent="0.2">
      <c r="A85" s="205" t="s">
        <v>244</v>
      </c>
      <c r="B85" s="205" t="s">
        <v>2558</v>
      </c>
      <c r="C85" s="200" t="s">
        <v>2394</v>
      </c>
      <c r="D85" s="201" t="s">
        <v>152</v>
      </c>
      <c r="E85" s="201"/>
      <c r="F85" s="206">
        <v>37984</v>
      </c>
      <c r="G85" s="206">
        <v>3798</v>
      </c>
      <c r="H85" s="206">
        <v>190</v>
      </c>
      <c r="I85" s="202">
        <f t="shared" si="1"/>
        <v>34376</v>
      </c>
      <c r="J85" s="205" t="s">
        <v>38</v>
      </c>
      <c r="K85" s="205" t="s">
        <v>23</v>
      </c>
      <c r="L85" s="201" t="s">
        <v>1028</v>
      </c>
      <c r="M85" s="205" t="s">
        <v>2559</v>
      </c>
      <c r="N85" s="201" t="s">
        <v>1030</v>
      </c>
      <c r="O85" s="205" t="s">
        <v>652</v>
      </c>
      <c r="P85" s="205" t="s">
        <v>652</v>
      </c>
      <c r="Q85" s="208" t="s">
        <v>651</v>
      </c>
      <c r="R85" s="208" t="s">
        <v>673</v>
      </c>
      <c r="S85" s="208" t="s">
        <v>2394</v>
      </c>
    </row>
    <row r="86" spans="1:19" s="205" customFormat="1" hidden="1" x14ac:dyDescent="0.2">
      <c r="A86" s="205" t="s">
        <v>244</v>
      </c>
      <c r="B86" s="205" t="s">
        <v>2560</v>
      </c>
      <c r="C86" s="200" t="s">
        <v>2394</v>
      </c>
      <c r="D86" s="201" t="s">
        <v>152</v>
      </c>
      <c r="E86" s="201"/>
      <c r="F86" s="206">
        <v>37984</v>
      </c>
      <c r="G86" s="206">
        <v>3798</v>
      </c>
      <c r="H86" s="206">
        <v>190</v>
      </c>
      <c r="I86" s="202">
        <f t="shared" si="1"/>
        <v>34376</v>
      </c>
      <c r="J86" s="205" t="s">
        <v>38</v>
      </c>
      <c r="K86" s="205" t="s">
        <v>23</v>
      </c>
      <c r="L86" s="201" t="s">
        <v>1028</v>
      </c>
      <c r="M86" s="205" t="s">
        <v>2561</v>
      </c>
      <c r="N86" s="201" t="s">
        <v>1030</v>
      </c>
      <c r="O86" s="205" t="s">
        <v>652</v>
      </c>
      <c r="P86" s="205" t="s">
        <v>652</v>
      </c>
      <c r="Q86" s="208" t="s">
        <v>651</v>
      </c>
      <c r="R86" s="208" t="s">
        <v>673</v>
      </c>
      <c r="S86" s="208" t="s">
        <v>2394</v>
      </c>
    </row>
    <row r="87" spans="1:19" s="205" customFormat="1" hidden="1" x14ac:dyDescent="0.2">
      <c r="A87" s="205" t="s">
        <v>244</v>
      </c>
      <c r="B87" s="205" t="s">
        <v>2562</v>
      </c>
      <c r="C87" s="200" t="s">
        <v>2394</v>
      </c>
      <c r="D87" s="201" t="s">
        <v>152</v>
      </c>
      <c r="E87" s="201"/>
      <c r="F87" s="206">
        <v>37984</v>
      </c>
      <c r="G87" s="206">
        <v>3798</v>
      </c>
      <c r="H87" s="206">
        <v>190</v>
      </c>
      <c r="I87" s="202">
        <f t="shared" si="1"/>
        <v>34376</v>
      </c>
      <c r="J87" s="205" t="s">
        <v>38</v>
      </c>
      <c r="K87" s="205" t="s">
        <v>23</v>
      </c>
      <c r="L87" s="201" t="s">
        <v>1028</v>
      </c>
      <c r="M87" s="205" t="s">
        <v>2563</v>
      </c>
      <c r="N87" s="201" t="s">
        <v>1030</v>
      </c>
      <c r="O87" s="205" t="s">
        <v>652</v>
      </c>
      <c r="P87" s="205" t="s">
        <v>652</v>
      </c>
      <c r="Q87" s="208" t="s">
        <v>651</v>
      </c>
      <c r="R87" s="208" t="s">
        <v>673</v>
      </c>
      <c r="S87" s="208" t="s">
        <v>2394</v>
      </c>
    </row>
    <row r="88" spans="1:19" s="205" customFormat="1" hidden="1" x14ac:dyDescent="0.2">
      <c r="A88" s="205" t="s">
        <v>244</v>
      </c>
      <c r="B88" s="205" t="s">
        <v>2564</v>
      </c>
      <c r="C88" s="200" t="s">
        <v>2394</v>
      </c>
      <c r="D88" s="201" t="s">
        <v>152</v>
      </c>
      <c r="E88" s="201"/>
      <c r="F88" s="206">
        <v>30387</v>
      </c>
      <c r="G88" s="206">
        <v>3039</v>
      </c>
      <c r="H88" s="206">
        <v>152</v>
      </c>
      <c r="I88" s="202">
        <f t="shared" si="1"/>
        <v>27500</v>
      </c>
      <c r="J88" s="205" t="s">
        <v>38</v>
      </c>
      <c r="K88" s="205" t="s">
        <v>23</v>
      </c>
      <c r="L88" s="201" t="s">
        <v>1028</v>
      </c>
      <c r="M88" s="205" t="s">
        <v>2565</v>
      </c>
      <c r="N88" s="201" t="s">
        <v>1030</v>
      </c>
      <c r="O88" s="205" t="s">
        <v>652</v>
      </c>
      <c r="P88" s="205" t="s">
        <v>652</v>
      </c>
      <c r="Q88" s="208" t="s">
        <v>651</v>
      </c>
      <c r="R88" s="208" t="s">
        <v>673</v>
      </c>
      <c r="S88" s="208" t="s">
        <v>2394</v>
      </c>
    </row>
    <row r="89" spans="1:19" s="205" customFormat="1" hidden="1" x14ac:dyDescent="0.2">
      <c r="A89" s="205" t="s">
        <v>244</v>
      </c>
      <c r="B89" s="205" t="s">
        <v>2566</v>
      </c>
      <c r="C89" s="200" t="s">
        <v>2394</v>
      </c>
      <c r="D89" s="201" t="s">
        <v>152</v>
      </c>
      <c r="E89" s="201"/>
      <c r="F89" s="206">
        <v>70183</v>
      </c>
      <c r="G89" s="206">
        <v>7018</v>
      </c>
      <c r="H89" s="206">
        <v>351</v>
      </c>
      <c r="I89" s="202">
        <f t="shared" si="1"/>
        <v>63516</v>
      </c>
      <c r="J89" s="205" t="s">
        <v>38</v>
      </c>
      <c r="K89" s="205" t="s">
        <v>23</v>
      </c>
      <c r="L89" s="201" t="s">
        <v>1028</v>
      </c>
      <c r="M89" s="205" t="s">
        <v>2567</v>
      </c>
      <c r="N89" s="201" t="s">
        <v>1030</v>
      </c>
      <c r="O89" s="205" t="s">
        <v>652</v>
      </c>
      <c r="P89" s="205" t="s">
        <v>652</v>
      </c>
      <c r="Q89" s="208" t="s">
        <v>651</v>
      </c>
      <c r="R89" s="208" t="s">
        <v>673</v>
      </c>
      <c r="S89" s="208" t="s">
        <v>2394</v>
      </c>
    </row>
    <row r="90" spans="1:19" s="205" customFormat="1" hidden="1" x14ac:dyDescent="0.2">
      <c r="A90" s="205" t="s">
        <v>244</v>
      </c>
      <c r="B90" s="205" t="s">
        <v>2568</v>
      </c>
      <c r="C90" s="200" t="s">
        <v>2394</v>
      </c>
      <c r="D90" s="201" t="s">
        <v>152</v>
      </c>
      <c r="E90" s="201"/>
      <c r="F90" s="206">
        <v>37984</v>
      </c>
      <c r="G90" s="206">
        <v>3798</v>
      </c>
      <c r="H90" s="206">
        <v>190</v>
      </c>
      <c r="I90" s="202">
        <f t="shared" si="1"/>
        <v>34376</v>
      </c>
      <c r="J90" s="205" t="s">
        <v>38</v>
      </c>
      <c r="K90" s="205" t="s">
        <v>23</v>
      </c>
      <c r="L90" s="201" t="s">
        <v>1028</v>
      </c>
      <c r="M90" s="205" t="s">
        <v>2569</v>
      </c>
      <c r="N90" s="201" t="s">
        <v>1030</v>
      </c>
      <c r="O90" s="205" t="s">
        <v>652</v>
      </c>
      <c r="P90" s="205" t="s">
        <v>652</v>
      </c>
      <c r="Q90" s="208" t="s">
        <v>651</v>
      </c>
      <c r="R90" s="208" t="s">
        <v>673</v>
      </c>
      <c r="S90" s="208" t="s">
        <v>2394</v>
      </c>
    </row>
    <row r="91" spans="1:19" s="205" customFormat="1" hidden="1" x14ac:dyDescent="0.2">
      <c r="A91" s="205" t="s">
        <v>244</v>
      </c>
      <c r="B91" s="205" t="s">
        <v>2570</v>
      </c>
      <c r="C91" s="200" t="s">
        <v>2394</v>
      </c>
      <c r="D91" s="201" t="s">
        <v>152</v>
      </c>
      <c r="E91" s="201"/>
      <c r="F91" s="206">
        <v>17315</v>
      </c>
      <c r="G91" s="206">
        <v>1732</v>
      </c>
      <c r="H91" s="206">
        <v>87</v>
      </c>
      <c r="I91" s="202">
        <f t="shared" si="1"/>
        <v>15670</v>
      </c>
      <c r="J91" s="205" t="s">
        <v>38</v>
      </c>
      <c r="K91" s="205" t="s">
        <v>23</v>
      </c>
      <c r="L91" s="201" t="s">
        <v>1028</v>
      </c>
      <c r="M91" s="205" t="s">
        <v>2571</v>
      </c>
      <c r="N91" s="201" t="s">
        <v>1030</v>
      </c>
      <c r="O91" s="205" t="s">
        <v>652</v>
      </c>
      <c r="P91" s="205" t="s">
        <v>652</v>
      </c>
      <c r="Q91" s="208" t="s">
        <v>651</v>
      </c>
      <c r="R91" s="208" t="s">
        <v>673</v>
      </c>
      <c r="S91" s="208" t="s">
        <v>2394</v>
      </c>
    </row>
    <row r="92" spans="1:19" s="205" customFormat="1" hidden="1" x14ac:dyDescent="0.2">
      <c r="A92" s="205" t="s">
        <v>244</v>
      </c>
      <c r="B92" s="205" t="s">
        <v>2572</v>
      </c>
      <c r="C92" s="200" t="s">
        <v>2394</v>
      </c>
      <c r="D92" s="201" t="s">
        <v>152</v>
      </c>
      <c r="E92" s="201"/>
      <c r="F92" s="206">
        <v>30387</v>
      </c>
      <c r="G92" s="206">
        <v>3039</v>
      </c>
      <c r="H92" s="206">
        <v>152</v>
      </c>
      <c r="I92" s="202">
        <f t="shared" si="1"/>
        <v>27500</v>
      </c>
      <c r="J92" s="205" t="s">
        <v>38</v>
      </c>
      <c r="K92" s="205" t="s">
        <v>23</v>
      </c>
      <c r="L92" s="201" t="s">
        <v>1028</v>
      </c>
      <c r="M92" s="205" t="s">
        <v>2573</v>
      </c>
      <c r="N92" s="201" t="s">
        <v>1030</v>
      </c>
      <c r="O92" s="205" t="s">
        <v>652</v>
      </c>
      <c r="P92" s="205" t="s">
        <v>652</v>
      </c>
      <c r="Q92" s="208" t="s">
        <v>651</v>
      </c>
      <c r="R92" s="208" t="s">
        <v>673</v>
      </c>
      <c r="S92" s="208" t="s">
        <v>2394</v>
      </c>
    </row>
    <row r="93" spans="1:19" s="205" customFormat="1" hidden="1" x14ac:dyDescent="0.2">
      <c r="A93" s="205" t="s">
        <v>244</v>
      </c>
      <c r="B93" s="205" t="s">
        <v>2574</v>
      </c>
      <c r="C93" s="200" t="s">
        <v>2394</v>
      </c>
      <c r="D93" s="201" t="s">
        <v>152</v>
      </c>
      <c r="E93" s="201"/>
      <c r="F93" s="206">
        <v>40628</v>
      </c>
      <c r="G93" s="206">
        <v>4063</v>
      </c>
      <c r="H93" s="206">
        <v>203</v>
      </c>
      <c r="I93" s="202">
        <f t="shared" si="1"/>
        <v>36768</v>
      </c>
      <c r="J93" s="205" t="s">
        <v>38</v>
      </c>
      <c r="K93" s="205" t="s">
        <v>23</v>
      </c>
      <c r="L93" s="201" t="s">
        <v>1042</v>
      </c>
      <c r="M93" s="205" t="s">
        <v>2575</v>
      </c>
      <c r="N93" s="201" t="s">
        <v>1030</v>
      </c>
      <c r="O93" s="205" t="s">
        <v>652</v>
      </c>
      <c r="P93" s="205" t="s">
        <v>652</v>
      </c>
      <c r="Q93" s="208" t="s">
        <v>651</v>
      </c>
      <c r="R93" s="208" t="s">
        <v>673</v>
      </c>
      <c r="S93" s="208" t="s">
        <v>2394</v>
      </c>
    </row>
    <row r="94" spans="1:19" s="205" customFormat="1" hidden="1" x14ac:dyDescent="0.2">
      <c r="A94" s="205" t="s">
        <v>244</v>
      </c>
      <c r="B94" s="205" t="s">
        <v>2576</v>
      </c>
      <c r="C94" s="200" t="s">
        <v>2394</v>
      </c>
      <c r="D94" s="201" t="s">
        <v>152</v>
      </c>
      <c r="E94" s="201"/>
      <c r="F94" s="206">
        <v>30095</v>
      </c>
      <c r="G94" s="206">
        <v>3010</v>
      </c>
      <c r="H94" s="206">
        <v>150</v>
      </c>
      <c r="I94" s="202">
        <f t="shared" si="1"/>
        <v>27235</v>
      </c>
      <c r="J94" s="205" t="s">
        <v>38</v>
      </c>
      <c r="K94" s="205" t="s">
        <v>23</v>
      </c>
      <c r="L94" s="201" t="s">
        <v>1042</v>
      </c>
      <c r="M94" s="205" t="s">
        <v>2577</v>
      </c>
      <c r="N94" s="201" t="s">
        <v>1030</v>
      </c>
      <c r="O94" s="205" t="s">
        <v>652</v>
      </c>
      <c r="P94" s="205" t="s">
        <v>652</v>
      </c>
      <c r="Q94" s="216" t="s">
        <v>651</v>
      </c>
      <c r="R94" s="216" t="s">
        <v>673</v>
      </c>
      <c r="S94" s="208" t="s">
        <v>2394</v>
      </c>
    </row>
    <row r="95" spans="1:19" s="205" customFormat="1" hidden="1" x14ac:dyDescent="0.2">
      <c r="A95" s="205" t="s">
        <v>244</v>
      </c>
      <c r="B95" s="205" t="s">
        <v>2578</v>
      </c>
      <c r="C95" s="200" t="s">
        <v>2394</v>
      </c>
      <c r="D95" s="201" t="s">
        <v>152</v>
      </c>
      <c r="E95" s="201"/>
      <c r="F95" s="206">
        <v>30095</v>
      </c>
      <c r="G95" s="206">
        <v>3010</v>
      </c>
      <c r="H95" s="206">
        <v>150</v>
      </c>
      <c r="I95" s="202">
        <f t="shared" si="1"/>
        <v>27235</v>
      </c>
      <c r="J95" s="205" t="s">
        <v>38</v>
      </c>
      <c r="K95" s="205" t="s">
        <v>23</v>
      </c>
      <c r="L95" s="201" t="s">
        <v>1042</v>
      </c>
      <c r="M95" s="205" t="s">
        <v>2579</v>
      </c>
      <c r="N95" s="201" t="s">
        <v>1030</v>
      </c>
      <c r="O95" s="205" t="s">
        <v>652</v>
      </c>
      <c r="P95" s="205" t="s">
        <v>652</v>
      </c>
      <c r="Q95" s="208" t="s">
        <v>651</v>
      </c>
      <c r="R95" s="208" t="s">
        <v>673</v>
      </c>
      <c r="S95" s="208" t="s">
        <v>2394</v>
      </c>
    </row>
    <row r="96" spans="1:19" s="205" customFormat="1" hidden="1" x14ac:dyDescent="0.2">
      <c r="A96" s="205" t="s">
        <v>244</v>
      </c>
      <c r="B96" s="205" t="s">
        <v>2580</v>
      </c>
      <c r="C96" s="200" t="s">
        <v>2394</v>
      </c>
      <c r="D96" s="201" t="s">
        <v>152</v>
      </c>
      <c r="E96" s="201"/>
      <c r="F96" s="206">
        <v>66021</v>
      </c>
      <c r="G96" s="206">
        <v>6602</v>
      </c>
      <c r="H96" s="206">
        <v>330</v>
      </c>
      <c r="I96" s="202">
        <f t="shared" si="1"/>
        <v>59749</v>
      </c>
      <c r="J96" s="205" t="s">
        <v>38</v>
      </c>
      <c r="K96" s="205" t="s">
        <v>23</v>
      </c>
      <c r="L96" s="201" t="s">
        <v>1042</v>
      </c>
      <c r="M96" s="205" t="s">
        <v>2581</v>
      </c>
      <c r="N96" s="201" t="s">
        <v>1030</v>
      </c>
      <c r="O96" s="205" t="s">
        <v>652</v>
      </c>
      <c r="P96" s="205" t="s">
        <v>652</v>
      </c>
      <c r="Q96" s="216" t="s">
        <v>651</v>
      </c>
      <c r="R96" s="216" t="s">
        <v>673</v>
      </c>
      <c r="S96" s="216" t="s">
        <v>2394</v>
      </c>
    </row>
    <row r="97" spans="1:24" s="205" customFormat="1" hidden="1" x14ac:dyDescent="0.2">
      <c r="A97" s="205" t="s">
        <v>244</v>
      </c>
      <c r="B97" s="205" t="s">
        <v>2582</v>
      </c>
      <c r="C97" s="200" t="s">
        <v>2394</v>
      </c>
      <c r="D97" s="201" t="s">
        <v>152</v>
      </c>
      <c r="E97" s="201"/>
      <c r="F97" s="206">
        <v>65669</v>
      </c>
      <c r="G97" s="206">
        <v>6567</v>
      </c>
      <c r="H97" s="206">
        <v>328</v>
      </c>
      <c r="I97" s="202">
        <f t="shared" si="1"/>
        <v>59430</v>
      </c>
      <c r="J97" s="205" t="s">
        <v>38</v>
      </c>
      <c r="K97" s="205" t="s">
        <v>23</v>
      </c>
      <c r="L97" s="201" t="s">
        <v>1028</v>
      </c>
      <c r="M97" s="205" t="s">
        <v>2583</v>
      </c>
      <c r="N97" s="201" t="s">
        <v>1030</v>
      </c>
      <c r="O97" s="205" t="s">
        <v>652</v>
      </c>
      <c r="P97" s="205" t="s">
        <v>652</v>
      </c>
      <c r="Q97" s="216" t="s">
        <v>987</v>
      </c>
      <c r="R97" s="216" t="s">
        <v>988</v>
      </c>
      <c r="S97" s="216" t="s">
        <v>2394</v>
      </c>
    </row>
    <row r="98" spans="1:24" s="205" customFormat="1" hidden="1" x14ac:dyDescent="0.2">
      <c r="A98" s="205" t="s">
        <v>244</v>
      </c>
      <c r="B98" s="205" t="s">
        <v>2584</v>
      </c>
      <c r="C98" s="200" t="s">
        <v>2394</v>
      </c>
      <c r="D98" s="201" t="s">
        <v>152</v>
      </c>
      <c r="E98" s="201"/>
      <c r="F98" s="206">
        <v>112587</v>
      </c>
      <c r="G98" s="206">
        <v>11259</v>
      </c>
      <c r="H98" s="206">
        <v>563</v>
      </c>
      <c r="I98" s="202">
        <f t="shared" si="1"/>
        <v>101891</v>
      </c>
      <c r="J98" s="205" t="s">
        <v>38</v>
      </c>
      <c r="K98" s="205" t="s">
        <v>23</v>
      </c>
      <c r="L98" s="201" t="s">
        <v>1042</v>
      </c>
      <c r="M98" s="205" t="s">
        <v>2585</v>
      </c>
      <c r="N98" s="201" t="s">
        <v>1030</v>
      </c>
      <c r="O98" s="205" t="s">
        <v>652</v>
      </c>
      <c r="P98" s="205" t="s">
        <v>652</v>
      </c>
      <c r="Q98" s="208" t="s">
        <v>677</v>
      </c>
      <c r="R98" s="208" t="s">
        <v>678</v>
      </c>
      <c r="S98" s="208" t="s">
        <v>2394</v>
      </c>
    </row>
    <row r="99" spans="1:24" s="205" customFormat="1" hidden="1" x14ac:dyDescent="0.2">
      <c r="A99" s="205" t="s">
        <v>244</v>
      </c>
      <c r="B99" s="205" t="s">
        <v>2586</v>
      </c>
      <c r="C99" s="200" t="s">
        <v>2394</v>
      </c>
      <c r="D99" s="201" t="s">
        <v>152</v>
      </c>
      <c r="E99" s="201"/>
      <c r="F99" s="206">
        <v>47759</v>
      </c>
      <c r="G99" s="206">
        <v>4776</v>
      </c>
      <c r="H99" s="206">
        <v>239</v>
      </c>
      <c r="I99" s="202">
        <f t="shared" si="1"/>
        <v>43222</v>
      </c>
      <c r="J99" s="205" t="s">
        <v>38</v>
      </c>
      <c r="K99" s="205" t="s">
        <v>23</v>
      </c>
      <c r="L99" s="201" t="s">
        <v>1042</v>
      </c>
      <c r="M99" s="205" t="s">
        <v>2587</v>
      </c>
      <c r="N99" s="201" t="s">
        <v>1030</v>
      </c>
      <c r="O99" s="205" t="s">
        <v>652</v>
      </c>
      <c r="P99" s="205" t="s">
        <v>652</v>
      </c>
      <c r="Q99" s="208" t="s">
        <v>696</v>
      </c>
      <c r="R99" s="208" t="s">
        <v>697</v>
      </c>
      <c r="S99" s="208" t="s">
        <v>2394</v>
      </c>
    </row>
    <row r="100" spans="1:24" s="205" customFormat="1" hidden="1" x14ac:dyDescent="0.2">
      <c r="A100" s="205" t="s">
        <v>244</v>
      </c>
      <c r="B100" s="205" t="s">
        <v>2588</v>
      </c>
      <c r="C100" s="200" t="s">
        <v>2394</v>
      </c>
      <c r="D100" s="201" t="s">
        <v>152</v>
      </c>
      <c r="E100" s="201"/>
      <c r="F100" s="206">
        <v>69284</v>
      </c>
      <c r="G100" s="206">
        <v>6928</v>
      </c>
      <c r="H100" s="206">
        <v>346</v>
      </c>
      <c r="I100" s="202">
        <f t="shared" si="1"/>
        <v>62702</v>
      </c>
      <c r="J100" s="205" t="s">
        <v>38</v>
      </c>
      <c r="K100" s="205" t="s">
        <v>23</v>
      </c>
      <c r="L100" s="201" t="s">
        <v>1028</v>
      </c>
      <c r="M100" s="205" t="s">
        <v>2589</v>
      </c>
      <c r="N100" s="201" t="s">
        <v>1030</v>
      </c>
      <c r="O100" s="205" t="s">
        <v>652</v>
      </c>
      <c r="P100" s="205" t="s">
        <v>652</v>
      </c>
      <c r="Q100" s="208" t="s">
        <v>663</v>
      </c>
      <c r="R100" s="208" t="s">
        <v>723</v>
      </c>
      <c r="S100" s="208" t="s">
        <v>2394</v>
      </c>
    </row>
    <row r="101" spans="1:24" s="205" customFormat="1" hidden="1" x14ac:dyDescent="0.2">
      <c r="A101" s="205" t="s">
        <v>244</v>
      </c>
      <c r="B101" s="205" t="s">
        <v>2590</v>
      </c>
      <c r="C101" s="200" t="s">
        <v>2394</v>
      </c>
      <c r="D101" s="199" t="s">
        <v>152</v>
      </c>
      <c r="E101" s="199"/>
      <c r="F101" s="206">
        <v>36738</v>
      </c>
      <c r="G101" s="206">
        <v>3674</v>
      </c>
      <c r="H101" s="206">
        <v>184</v>
      </c>
      <c r="I101" s="202">
        <f t="shared" si="1"/>
        <v>33248</v>
      </c>
      <c r="J101" s="205" t="s">
        <v>38</v>
      </c>
      <c r="K101" s="205" t="s">
        <v>23</v>
      </c>
      <c r="L101" s="201" t="s">
        <v>1028</v>
      </c>
      <c r="M101" s="205" t="s">
        <v>2591</v>
      </c>
      <c r="N101" s="201" t="s">
        <v>1030</v>
      </c>
      <c r="O101" s="205" t="s">
        <v>652</v>
      </c>
      <c r="P101" s="205" t="s">
        <v>652</v>
      </c>
      <c r="Q101" s="208" t="s">
        <v>987</v>
      </c>
      <c r="R101" s="208" t="s">
        <v>988</v>
      </c>
      <c r="S101" s="208" t="s">
        <v>2394</v>
      </c>
    </row>
    <row r="102" spans="1:24" s="205" customFormat="1" hidden="1" x14ac:dyDescent="0.2">
      <c r="A102" s="205" t="s">
        <v>244</v>
      </c>
      <c r="B102" s="205" t="s">
        <v>2592</v>
      </c>
      <c r="C102" s="200" t="s">
        <v>2394</v>
      </c>
      <c r="D102" s="201" t="s">
        <v>152</v>
      </c>
      <c r="E102" s="201"/>
      <c r="F102" s="206">
        <v>31476</v>
      </c>
      <c r="G102" s="206">
        <v>3148</v>
      </c>
      <c r="H102" s="206">
        <v>157</v>
      </c>
      <c r="I102" s="202">
        <f t="shared" si="1"/>
        <v>28485</v>
      </c>
      <c r="J102" s="205" t="s">
        <v>38</v>
      </c>
      <c r="K102" s="205" t="s">
        <v>23</v>
      </c>
      <c r="L102" s="201" t="s">
        <v>1028</v>
      </c>
      <c r="M102" s="205" t="s">
        <v>2593</v>
      </c>
      <c r="N102" s="201" t="s">
        <v>1030</v>
      </c>
      <c r="O102" s="205" t="s">
        <v>652</v>
      </c>
      <c r="P102" s="205" t="s">
        <v>652</v>
      </c>
      <c r="Q102" s="208" t="s">
        <v>2191</v>
      </c>
      <c r="R102" s="208" t="s">
        <v>2192</v>
      </c>
      <c r="S102" s="208" t="s">
        <v>2394</v>
      </c>
    </row>
    <row r="103" spans="1:24" s="205" customFormat="1" hidden="1" x14ac:dyDescent="0.2">
      <c r="A103" s="205" t="s">
        <v>244</v>
      </c>
      <c r="B103" s="205" t="s">
        <v>2594</v>
      </c>
      <c r="C103" s="200" t="s">
        <v>2394</v>
      </c>
      <c r="D103" s="201" t="s">
        <v>152</v>
      </c>
      <c r="E103" s="201"/>
      <c r="F103" s="206">
        <v>76212</v>
      </c>
      <c r="G103" s="206">
        <v>7621</v>
      </c>
      <c r="H103" s="206">
        <v>381</v>
      </c>
      <c r="I103" s="202">
        <f t="shared" si="1"/>
        <v>68972</v>
      </c>
      <c r="J103" s="205" t="s">
        <v>38</v>
      </c>
      <c r="K103" s="205" t="s">
        <v>23</v>
      </c>
      <c r="L103" s="201" t="s">
        <v>1028</v>
      </c>
      <c r="M103" s="205" t="s">
        <v>2595</v>
      </c>
      <c r="N103" s="201" t="s">
        <v>1030</v>
      </c>
      <c r="O103" s="205" t="s">
        <v>652</v>
      </c>
      <c r="P103" s="205" t="s">
        <v>652</v>
      </c>
      <c r="Q103" s="208" t="s">
        <v>2191</v>
      </c>
      <c r="R103" s="208" t="s">
        <v>2192</v>
      </c>
      <c r="S103" s="208" t="s">
        <v>2394</v>
      </c>
    </row>
    <row r="104" spans="1:24" s="205" customFormat="1" hidden="1" x14ac:dyDescent="0.2">
      <c r="A104" s="205" t="s">
        <v>244</v>
      </c>
      <c r="B104" s="205" t="s">
        <v>2596</v>
      </c>
      <c r="C104" s="200" t="s">
        <v>2394</v>
      </c>
      <c r="D104" s="201" t="s">
        <v>152</v>
      </c>
      <c r="E104" s="201"/>
      <c r="F104" s="206">
        <v>56454</v>
      </c>
      <c r="G104" s="206">
        <v>5645</v>
      </c>
      <c r="H104" s="206">
        <v>282</v>
      </c>
      <c r="I104" s="202">
        <f t="shared" si="1"/>
        <v>51091</v>
      </c>
      <c r="J104" s="205" t="s">
        <v>38</v>
      </c>
      <c r="K104" s="205" t="s">
        <v>23</v>
      </c>
      <c r="L104" s="201" t="s">
        <v>1028</v>
      </c>
      <c r="M104" s="205" t="s">
        <v>2597</v>
      </c>
      <c r="N104" s="201" t="s">
        <v>1030</v>
      </c>
      <c r="O104" s="205" t="s">
        <v>652</v>
      </c>
      <c r="P104" s="205" t="s">
        <v>652</v>
      </c>
      <c r="Q104" s="208" t="s">
        <v>2191</v>
      </c>
      <c r="R104" s="208" t="s">
        <v>2192</v>
      </c>
      <c r="S104" s="208" t="s">
        <v>2394</v>
      </c>
    </row>
    <row r="105" spans="1:24" s="205" customFormat="1" hidden="1" x14ac:dyDescent="0.2">
      <c r="A105" s="205" t="s">
        <v>266</v>
      </c>
      <c r="B105" s="205" t="s">
        <v>267</v>
      </c>
      <c r="C105" s="200" t="s">
        <v>2394</v>
      </c>
      <c r="D105" s="201" t="s">
        <v>166</v>
      </c>
      <c r="E105" s="201"/>
      <c r="F105" s="206">
        <v>-104934</v>
      </c>
      <c r="G105" s="206">
        <v>-10493</v>
      </c>
      <c r="H105" s="206">
        <v>-525</v>
      </c>
      <c r="I105" s="202">
        <f t="shared" si="1"/>
        <v>-94966</v>
      </c>
      <c r="J105" s="205" t="s">
        <v>59</v>
      </c>
      <c r="K105" s="205" t="s">
        <v>23</v>
      </c>
      <c r="L105" s="201" t="s">
        <v>1068</v>
      </c>
      <c r="M105" s="205" t="s">
        <v>2598</v>
      </c>
      <c r="N105" s="201" t="s">
        <v>1030</v>
      </c>
      <c r="O105" s="205" t="s">
        <v>652</v>
      </c>
      <c r="P105" s="205" t="s">
        <v>652</v>
      </c>
      <c r="Q105" s="208" t="s">
        <v>677</v>
      </c>
      <c r="R105" s="208" t="s">
        <v>678</v>
      </c>
      <c r="S105" s="208" t="s">
        <v>2394</v>
      </c>
    </row>
    <row r="106" spans="1:24" s="205" customFormat="1" hidden="1" x14ac:dyDescent="0.2">
      <c r="A106" s="205" t="s">
        <v>2599</v>
      </c>
      <c r="B106" s="205" t="s">
        <v>2600</v>
      </c>
      <c r="C106" s="200" t="s">
        <v>2394</v>
      </c>
      <c r="D106" s="199" t="s">
        <v>152</v>
      </c>
      <c r="E106" s="199"/>
      <c r="F106" s="206">
        <v>68648</v>
      </c>
      <c r="G106" s="206">
        <v>6865</v>
      </c>
      <c r="H106" s="206">
        <v>343</v>
      </c>
      <c r="I106" s="202">
        <f t="shared" si="1"/>
        <v>62126</v>
      </c>
      <c r="J106" s="205" t="s">
        <v>103</v>
      </c>
      <c r="K106" s="205" t="s">
        <v>23</v>
      </c>
      <c r="L106" s="199" t="s">
        <v>1058</v>
      </c>
      <c r="M106" s="205" t="s">
        <v>2601</v>
      </c>
      <c r="N106" s="201" t="s">
        <v>1030</v>
      </c>
      <c r="O106" s="205" t="s">
        <v>652</v>
      </c>
      <c r="P106" s="205" t="s">
        <v>652</v>
      </c>
      <c r="Q106" s="208" t="s">
        <v>664</v>
      </c>
      <c r="R106" s="208" t="s">
        <v>665</v>
      </c>
      <c r="S106" s="208" t="s">
        <v>2394</v>
      </c>
    </row>
    <row r="107" spans="1:24" s="205" customFormat="1" hidden="1" x14ac:dyDescent="0.2">
      <c r="A107" s="205" t="s">
        <v>2602</v>
      </c>
      <c r="B107" s="205" t="s">
        <v>2603</v>
      </c>
      <c r="C107" s="200" t="s">
        <v>2394</v>
      </c>
      <c r="D107" s="199" t="s">
        <v>152</v>
      </c>
      <c r="E107" s="199"/>
      <c r="F107" s="206">
        <v>31943</v>
      </c>
      <c r="G107" s="206">
        <v>3194</v>
      </c>
      <c r="H107" s="206">
        <v>160</v>
      </c>
      <c r="I107" s="202">
        <f t="shared" si="1"/>
        <v>28909</v>
      </c>
      <c r="J107" s="205" t="s">
        <v>37</v>
      </c>
      <c r="K107" s="205" t="s">
        <v>23</v>
      </c>
      <c r="L107" s="199" t="s">
        <v>1058</v>
      </c>
      <c r="M107" s="205" t="s">
        <v>2604</v>
      </c>
      <c r="N107" s="201" t="s">
        <v>1030</v>
      </c>
      <c r="O107" s="205" t="s">
        <v>652</v>
      </c>
      <c r="P107" s="205" t="s">
        <v>652</v>
      </c>
      <c r="Q107" s="208" t="s">
        <v>992</v>
      </c>
      <c r="R107" s="208" t="s">
        <v>993</v>
      </c>
      <c r="S107" s="208" t="s">
        <v>2394</v>
      </c>
    </row>
    <row r="108" spans="1:24" s="205" customFormat="1" hidden="1" x14ac:dyDescent="0.2">
      <c r="A108" s="205" t="s">
        <v>2605</v>
      </c>
      <c r="B108" s="205" t="s">
        <v>2606</v>
      </c>
      <c r="C108" s="200" t="s">
        <v>2394</v>
      </c>
      <c r="D108" s="199" t="s">
        <v>152</v>
      </c>
      <c r="E108" s="199"/>
      <c r="F108" s="206">
        <v>31943</v>
      </c>
      <c r="G108" s="206">
        <v>3194</v>
      </c>
      <c r="H108" s="206">
        <v>160</v>
      </c>
      <c r="I108" s="202">
        <f t="shared" si="1"/>
        <v>28909</v>
      </c>
      <c r="J108" s="205" t="s">
        <v>37</v>
      </c>
      <c r="K108" s="205" t="s">
        <v>23</v>
      </c>
      <c r="L108" s="199" t="s">
        <v>1058</v>
      </c>
      <c r="M108" s="205" t="s">
        <v>2607</v>
      </c>
      <c r="N108" s="199" t="s">
        <v>1030</v>
      </c>
      <c r="O108" s="205" t="s">
        <v>652</v>
      </c>
      <c r="P108" s="205" t="s">
        <v>652</v>
      </c>
      <c r="Q108" s="208" t="s">
        <v>992</v>
      </c>
      <c r="R108" s="208" t="s">
        <v>993</v>
      </c>
      <c r="S108" s="208" t="s">
        <v>2394</v>
      </c>
    </row>
    <row r="109" spans="1:24" s="205" customFormat="1" hidden="1" x14ac:dyDescent="0.2">
      <c r="A109" s="209" t="s">
        <v>387</v>
      </c>
      <c r="B109" s="209" t="s">
        <v>386</v>
      </c>
      <c r="C109" s="234" t="s">
        <v>2394</v>
      </c>
      <c r="D109" s="201" t="s">
        <v>152</v>
      </c>
      <c r="E109" s="201"/>
      <c r="F109" s="211">
        <v>50725</v>
      </c>
      <c r="G109" s="211">
        <v>5073</v>
      </c>
      <c r="H109" s="211">
        <v>254</v>
      </c>
      <c r="I109" s="202">
        <f t="shared" si="1"/>
        <v>45906</v>
      </c>
      <c r="J109" s="209" t="s">
        <v>138</v>
      </c>
      <c r="K109" s="209" t="s">
        <v>23</v>
      </c>
      <c r="L109" s="201" t="s">
        <v>1042</v>
      </c>
      <c r="M109" s="209" t="s">
        <v>2608</v>
      </c>
      <c r="N109" s="201" t="s">
        <v>1030</v>
      </c>
      <c r="O109" s="209" t="s">
        <v>1190</v>
      </c>
      <c r="P109" s="209" t="s">
        <v>1191</v>
      </c>
      <c r="Q109" s="213" t="s">
        <v>490</v>
      </c>
      <c r="R109" s="213" t="s">
        <v>707</v>
      </c>
      <c r="S109" s="213" t="s">
        <v>2394</v>
      </c>
      <c r="T109" s="209"/>
    </row>
    <row r="110" spans="1:24" s="205" customFormat="1" hidden="1" x14ac:dyDescent="0.2">
      <c r="A110" s="205" t="s">
        <v>946</v>
      </c>
      <c r="B110" s="205" t="s">
        <v>947</v>
      </c>
      <c r="C110" s="200" t="s">
        <v>2394</v>
      </c>
      <c r="D110" s="201" t="s">
        <v>152</v>
      </c>
      <c r="E110" s="201"/>
      <c r="F110" s="206">
        <v>99659</v>
      </c>
      <c r="G110" s="206">
        <v>0</v>
      </c>
      <c r="H110" s="206">
        <v>0</v>
      </c>
      <c r="I110" s="202">
        <f t="shared" si="1"/>
        <v>99659</v>
      </c>
      <c r="J110" s="205" t="s">
        <v>25</v>
      </c>
      <c r="K110" s="205" t="s">
        <v>214</v>
      </c>
      <c r="L110" s="201" t="s">
        <v>1042</v>
      </c>
      <c r="M110" s="205" t="s">
        <v>2609</v>
      </c>
      <c r="N110" s="201" t="s">
        <v>1072</v>
      </c>
      <c r="O110" s="205" t="s">
        <v>1073</v>
      </c>
      <c r="P110" s="205" t="s">
        <v>1074</v>
      </c>
      <c r="Q110" s="208" t="s">
        <v>874</v>
      </c>
      <c r="R110" s="208" t="s">
        <v>945</v>
      </c>
      <c r="S110" s="208" t="s">
        <v>2394</v>
      </c>
      <c r="U110" s="209"/>
      <c r="V110" s="209"/>
      <c r="W110" s="209"/>
      <c r="X110" s="209"/>
    </row>
    <row r="111" spans="1:24" s="205" customFormat="1" hidden="1" x14ac:dyDescent="0.2">
      <c r="A111" s="205" t="s">
        <v>311</v>
      </c>
      <c r="B111" s="205" t="s">
        <v>549</v>
      </c>
      <c r="C111" s="200" t="s">
        <v>2394</v>
      </c>
      <c r="D111" s="199" t="s">
        <v>152</v>
      </c>
      <c r="E111" s="199"/>
      <c r="F111" s="206">
        <v>18087</v>
      </c>
      <c r="G111" s="206">
        <v>0</v>
      </c>
      <c r="H111" s="206">
        <v>0</v>
      </c>
      <c r="I111" s="202">
        <f t="shared" si="1"/>
        <v>18087</v>
      </c>
      <c r="J111" s="205" t="s">
        <v>25</v>
      </c>
      <c r="K111" s="205" t="s">
        <v>214</v>
      </c>
      <c r="L111" s="199" t="s">
        <v>1141</v>
      </c>
      <c r="M111" s="205" t="s">
        <v>2610</v>
      </c>
      <c r="N111" s="201" t="s">
        <v>1030</v>
      </c>
      <c r="O111" s="205" t="s">
        <v>1190</v>
      </c>
      <c r="P111" s="205" t="s">
        <v>1191</v>
      </c>
      <c r="Q111" s="208" t="s">
        <v>720</v>
      </c>
      <c r="R111" s="208" t="s">
        <v>721</v>
      </c>
      <c r="S111" s="208" t="s">
        <v>2394</v>
      </c>
      <c r="U111" s="209"/>
      <c r="V111" s="209"/>
      <c r="W111" s="209"/>
      <c r="X111" s="209"/>
    </row>
    <row r="112" spans="1:24" s="205" customFormat="1" hidden="1" x14ac:dyDescent="0.2">
      <c r="A112" s="205" t="s">
        <v>366</v>
      </c>
      <c r="B112" s="205" t="s">
        <v>365</v>
      </c>
      <c r="C112" s="200" t="s">
        <v>2394</v>
      </c>
      <c r="D112" s="199" t="s">
        <v>152</v>
      </c>
      <c r="E112" s="199"/>
      <c r="F112" s="206">
        <v>18510</v>
      </c>
      <c r="G112" s="206">
        <v>0</v>
      </c>
      <c r="H112" s="206">
        <v>0</v>
      </c>
      <c r="I112" s="202">
        <f t="shared" si="1"/>
        <v>18510</v>
      </c>
      <c r="J112" s="205" t="s">
        <v>25</v>
      </c>
      <c r="K112" s="205" t="s">
        <v>214</v>
      </c>
      <c r="L112" s="199" t="s">
        <v>1042</v>
      </c>
      <c r="M112" s="205" t="s">
        <v>2611</v>
      </c>
      <c r="N112" s="201" t="s">
        <v>1030</v>
      </c>
      <c r="O112" s="205" t="s">
        <v>1190</v>
      </c>
      <c r="P112" s="205" t="s">
        <v>1191</v>
      </c>
      <c r="Q112" s="208" t="s">
        <v>494</v>
      </c>
      <c r="R112" s="208" t="s">
        <v>780</v>
      </c>
      <c r="S112" s="208" t="s">
        <v>2394</v>
      </c>
      <c r="U112" s="209"/>
      <c r="V112" s="209"/>
      <c r="W112" s="209"/>
      <c r="X112" s="209"/>
    </row>
    <row r="113" spans="1:24" s="205" customFormat="1" hidden="1" x14ac:dyDescent="0.2">
      <c r="A113" s="205" t="s">
        <v>261</v>
      </c>
      <c r="B113" s="205" t="s">
        <v>2052</v>
      </c>
      <c r="C113" s="200" t="s">
        <v>2394</v>
      </c>
      <c r="D113" s="199" t="s">
        <v>166</v>
      </c>
      <c r="E113" s="199"/>
      <c r="F113" s="206">
        <v>-81219</v>
      </c>
      <c r="G113" s="206">
        <v>0</v>
      </c>
      <c r="H113" s="206">
        <v>0</v>
      </c>
      <c r="I113" s="202">
        <f t="shared" si="1"/>
        <v>-81219</v>
      </c>
      <c r="J113" s="205" t="s">
        <v>25</v>
      </c>
      <c r="K113" s="205" t="s">
        <v>214</v>
      </c>
      <c r="L113" s="199" t="s">
        <v>1068</v>
      </c>
      <c r="M113" s="205" t="s">
        <v>2612</v>
      </c>
      <c r="N113" s="201" t="s">
        <v>1030</v>
      </c>
      <c r="O113" s="205" t="s">
        <v>652</v>
      </c>
      <c r="P113" s="205" t="s">
        <v>652</v>
      </c>
      <c r="Q113" s="208" t="s">
        <v>2054</v>
      </c>
      <c r="R113" s="208" t="s">
        <v>2055</v>
      </c>
      <c r="S113" s="208" t="s">
        <v>2394</v>
      </c>
      <c r="U113" s="209"/>
      <c r="V113" s="209"/>
      <c r="W113" s="209"/>
      <c r="X113" s="209"/>
    </row>
    <row r="114" spans="1:24" s="205" customFormat="1" hidden="1" x14ac:dyDescent="0.2">
      <c r="A114" s="209" t="s">
        <v>164</v>
      </c>
      <c r="B114" s="209" t="s">
        <v>301</v>
      </c>
      <c r="C114" s="234" t="s">
        <v>2394</v>
      </c>
      <c r="D114" s="201" t="s">
        <v>152</v>
      </c>
      <c r="E114" s="201"/>
      <c r="F114" s="211">
        <v>170039</v>
      </c>
      <c r="G114" s="206">
        <v>0</v>
      </c>
      <c r="H114" s="206">
        <v>0</v>
      </c>
      <c r="I114" s="202">
        <f t="shared" si="1"/>
        <v>170039</v>
      </c>
      <c r="J114" s="209" t="s">
        <v>25</v>
      </c>
      <c r="K114" s="209" t="s">
        <v>214</v>
      </c>
      <c r="L114" s="201" t="s">
        <v>1042</v>
      </c>
      <c r="M114" s="209" t="s">
        <v>2613</v>
      </c>
      <c r="N114" s="201" t="s">
        <v>1030</v>
      </c>
      <c r="O114" s="209" t="s">
        <v>652</v>
      </c>
      <c r="P114" s="209" t="s">
        <v>652</v>
      </c>
      <c r="Q114" s="213" t="s">
        <v>491</v>
      </c>
      <c r="R114" s="213" t="s">
        <v>884</v>
      </c>
      <c r="S114" s="213" t="s">
        <v>2394</v>
      </c>
      <c r="T114" s="209"/>
      <c r="U114" s="209"/>
      <c r="V114" s="209"/>
      <c r="W114" s="209"/>
      <c r="X114" s="209"/>
    </row>
    <row r="115" spans="1:24" s="205" customFormat="1" hidden="1" x14ac:dyDescent="0.2">
      <c r="A115" s="205" t="s">
        <v>563</v>
      </c>
      <c r="B115" s="205" t="s">
        <v>564</v>
      </c>
      <c r="C115" s="200" t="s">
        <v>2614</v>
      </c>
      <c r="D115" s="201" t="s">
        <v>152</v>
      </c>
      <c r="E115" s="201"/>
      <c r="F115" s="206">
        <v>24664</v>
      </c>
      <c r="G115" s="206">
        <v>2466</v>
      </c>
      <c r="H115" s="206">
        <v>247</v>
      </c>
      <c r="I115" s="202">
        <f t="shared" si="1"/>
        <v>22445</v>
      </c>
      <c r="J115" s="205" t="s">
        <v>565</v>
      </c>
      <c r="K115" s="205" t="s">
        <v>29</v>
      </c>
      <c r="L115" s="201" t="s">
        <v>1042</v>
      </c>
      <c r="M115" s="205" t="s">
        <v>2615</v>
      </c>
      <c r="N115" s="201" t="s">
        <v>1030</v>
      </c>
      <c r="O115" s="205" t="s">
        <v>1190</v>
      </c>
      <c r="P115" s="205" t="s">
        <v>1191</v>
      </c>
      <c r="Q115" s="208" t="s">
        <v>653</v>
      </c>
      <c r="R115" s="208" t="s">
        <v>654</v>
      </c>
      <c r="S115" s="208" t="s">
        <v>2614</v>
      </c>
    </row>
    <row r="116" spans="1:24" s="205" customFormat="1" hidden="1" x14ac:dyDescent="0.2">
      <c r="A116" s="205" t="s">
        <v>306</v>
      </c>
      <c r="B116" s="205" t="s">
        <v>385</v>
      </c>
      <c r="C116" s="200" t="s">
        <v>2614</v>
      </c>
      <c r="D116" s="201" t="s">
        <v>152</v>
      </c>
      <c r="E116" s="201"/>
      <c r="F116" s="206">
        <v>5603</v>
      </c>
      <c r="G116" s="206">
        <v>560</v>
      </c>
      <c r="H116" s="206">
        <v>56</v>
      </c>
      <c r="I116" s="202">
        <f t="shared" si="1"/>
        <v>5099</v>
      </c>
      <c r="J116" s="205" t="s">
        <v>307</v>
      </c>
      <c r="K116" s="205" t="s">
        <v>29</v>
      </c>
      <c r="L116" s="201" t="s">
        <v>1042</v>
      </c>
      <c r="M116" s="205" t="s">
        <v>2616</v>
      </c>
      <c r="N116" s="201" t="s">
        <v>1030</v>
      </c>
      <c r="O116" s="205" t="s">
        <v>652</v>
      </c>
      <c r="P116" s="205" t="s">
        <v>652</v>
      </c>
      <c r="Q116" s="208" t="s">
        <v>499</v>
      </c>
      <c r="R116" s="208" t="s">
        <v>752</v>
      </c>
      <c r="S116" s="208" t="s">
        <v>2614</v>
      </c>
    </row>
    <row r="117" spans="1:24" s="205" customFormat="1" hidden="1" x14ac:dyDescent="0.2">
      <c r="A117" s="205" t="s">
        <v>175</v>
      </c>
      <c r="B117" s="205" t="s">
        <v>529</v>
      </c>
      <c r="C117" s="200" t="s">
        <v>2614</v>
      </c>
      <c r="D117" s="201" t="s">
        <v>152</v>
      </c>
      <c r="E117" s="201"/>
      <c r="F117" s="206">
        <v>84118</v>
      </c>
      <c r="G117" s="206">
        <v>8412</v>
      </c>
      <c r="H117" s="206">
        <v>841</v>
      </c>
      <c r="I117" s="202">
        <f t="shared" si="1"/>
        <v>76547</v>
      </c>
      <c r="J117" s="205" t="s">
        <v>32</v>
      </c>
      <c r="K117" s="205" t="s">
        <v>29</v>
      </c>
      <c r="L117" s="201" t="s">
        <v>1042</v>
      </c>
      <c r="M117" s="205" t="s">
        <v>2617</v>
      </c>
      <c r="N117" s="201" t="s">
        <v>1030</v>
      </c>
      <c r="O117" s="205" t="s">
        <v>652</v>
      </c>
      <c r="P117" s="205" t="s">
        <v>652</v>
      </c>
      <c r="Q117" s="208" t="s">
        <v>718</v>
      </c>
      <c r="R117" s="208" t="s">
        <v>719</v>
      </c>
      <c r="S117" s="208" t="s">
        <v>2614</v>
      </c>
    </row>
    <row r="118" spans="1:24" s="205" customFormat="1" hidden="1" x14ac:dyDescent="0.2">
      <c r="A118" s="205" t="s">
        <v>64</v>
      </c>
      <c r="B118" s="205" t="s">
        <v>514</v>
      </c>
      <c r="C118" s="200" t="s">
        <v>2614</v>
      </c>
      <c r="D118" s="201" t="s">
        <v>152</v>
      </c>
      <c r="E118" s="201"/>
      <c r="F118" s="206">
        <v>722548</v>
      </c>
      <c r="G118" s="206">
        <v>72255</v>
      </c>
      <c r="H118" s="206">
        <v>7225</v>
      </c>
      <c r="I118" s="202">
        <f t="shared" si="1"/>
        <v>657518</v>
      </c>
      <c r="J118" s="205" t="s">
        <v>31</v>
      </c>
      <c r="K118" s="205" t="s">
        <v>29</v>
      </c>
      <c r="L118" s="201" t="s">
        <v>1042</v>
      </c>
      <c r="M118" s="205" t="s">
        <v>2618</v>
      </c>
      <c r="N118" s="201" t="s">
        <v>1030</v>
      </c>
      <c r="O118" s="205" t="s">
        <v>652</v>
      </c>
      <c r="P118" s="205" t="s">
        <v>652</v>
      </c>
      <c r="Q118" s="208" t="s">
        <v>653</v>
      </c>
      <c r="R118" s="208" t="s">
        <v>654</v>
      </c>
      <c r="S118" s="208" t="s">
        <v>2614</v>
      </c>
    </row>
    <row r="119" spans="1:24" s="205" customFormat="1" hidden="1" x14ac:dyDescent="0.2">
      <c r="A119" s="205" t="s">
        <v>125</v>
      </c>
      <c r="B119" s="205" t="s">
        <v>2619</v>
      </c>
      <c r="C119" s="200" t="s">
        <v>2614</v>
      </c>
      <c r="D119" s="201" t="s">
        <v>152</v>
      </c>
      <c r="E119" s="201"/>
      <c r="F119" s="206">
        <v>52816</v>
      </c>
      <c r="G119" s="206">
        <v>5282</v>
      </c>
      <c r="H119" s="206">
        <v>528</v>
      </c>
      <c r="I119" s="202">
        <f t="shared" si="1"/>
        <v>48062</v>
      </c>
      <c r="J119" s="205" t="s">
        <v>31</v>
      </c>
      <c r="K119" s="205" t="s">
        <v>29</v>
      </c>
      <c r="L119" s="201" t="s">
        <v>1028</v>
      </c>
      <c r="M119" s="205" t="s">
        <v>2620</v>
      </c>
      <c r="N119" s="201" t="s">
        <v>1030</v>
      </c>
      <c r="O119" s="205" t="s">
        <v>652</v>
      </c>
      <c r="P119" s="205" t="s">
        <v>652</v>
      </c>
      <c r="Q119" s="208" t="s">
        <v>651</v>
      </c>
      <c r="R119" s="208" t="s">
        <v>673</v>
      </c>
      <c r="S119" s="208" t="s">
        <v>2614</v>
      </c>
    </row>
    <row r="120" spans="1:24" s="205" customFormat="1" hidden="1" x14ac:dyDescent="0.2">
      <c r="A120" s="205" t="s">
        <v>125</v>
      </c>
      <c r="B120" s="205" t="s">
        <v>2621</v>
      </c>
      <c r="C120" s="200" t="s">
        <v>2614</v>
      </c>
      <c r="D120" s="201" t="s">
        <v>152</v>
      </c>
      <c r="E120" s="201"/>
      <c r="F120" s="206">
        <v>30095</v>
      </c>
      <c r="G120" s="206">
        <v>3010</v>
      </c>
      <c r="H120" s="206">
        <v>301</v>
      </c>
      <c r="I120" s="202">
        <f t="shared" si="1"/>
        <v>27386</v>
      </c>
      <c r="J120" s="205" t="s">
        <v>31</v>
      </c>
      <c r="K120" s="205" t="s">
        <v>29</v>
      </c>
      <c r="L120" s="201" t="s">
        <v>1042</v>
      </c>
      <c r="M120" s="205" t="s">
        <v>2622</v>
      </c>
      <c r="N120" s="201" t="s">
        <v>1030</v>
      </c>
      <c r="O120" s="205" t="s">
        <v>652</v>
      </c>
      <c r="P120" s="205" t="s">
        <v>652</v>
      </c>
      <c r="Q120" s="208" t="s">
        <v>651</v>
      </c>
      <c r="R120" s="208" t="s">
        <v>673</v>
      </c>
      <c r="S120" s="208" t="s">
        <v>2614</v>
      </c>
    </row>
    <row r="121" spans="1:24" s="205" customFormat="1" hidden="1" x14ac:dyDescent="0.2">
      <c r="A121" s="205" t="s">
        <v>125</v>
      </c>
      <c r="B121" s="205" t="s">
        <v>2623</v>
      </c>
      <c r="C121" s="200" t="s">
        <v>2614</v>
      </c>
      <c r="D121" s="201" t="s">
        <v>152</v>
      </c>
      <c r="E121" s="201"/>
      <c r="F121" s="206">
        <v>125411</v>
      </c>
      <c r="G121" s="206">
        <v>12541</v>
      </c>
      <c r="H121" s="206">
        <v>1254</v>
      </c>
      <c r="I121" s="202">
        <f t="shared" si="1"/>
        <v>114124</v>
      </c>
      <c r="J121" s="205" t="s">
        <v>31</v>
      </c>
      <c r="K121" s="205" t="s">
        <v>29</v>
      </c>
      <c r="L121" s="201" t="s">
        <v>1042</v>
      </c>
      <c r="M121" s="205" t="s">
        <v>2624</v>
      </c>
      <c r="N121" s="201" t="s">
        <v>1030</v>
      </c>
      <c r="O121" s="205" t="s">
        <v>652</v>
      </c>
      <c r="P121" s="205" t="s">
        <v>652</v>
      </c>
      <c r="Q121" s="208" t="s">
        <v>692</v>
      </c>
      <c r="R121" s="208" t="s">
        <v>693</v>
      </c>
      <c r="S121" s="208" t="s">
        <v>2614</v>
      </c>
    </row>
    <row r="122" spans="1:24" s="205" customFormat="1" hidden="1" x14ac:dyDescent="0.2">
      <c r="A122" s="205" t="s">
        <v>125</v>
      </c>
      <c r="B122" s="205" t="s">
        <v>2625</v>
      </c>
      <c r="C122" s="200" t="s">
        <v>2614</v>
      </c>
      <c r="D122" s="201" t="s">
        <v>152</v>
      </c>
      <c r="E122" s="201"/>
      <c r="F122" s="206">
        <v>51743</v>
      </c>
      <c r="G122" s="206">
        <v>5174</v>
      </c>
      <c r="H122" s="206">
        <v>517</v>
      </c>
      <c r="I122" s="202">
        <f t="shared" si="1"/>
        <v>47086</v>
      </c>
      <c r="J122" s="205" t="s">
        <v>31</v>
      </c>
      <c r="K122" s="205" t="s">
        <v>29</v>
      </c>
      <c r="L122" s="201" t="s">
        <v>1042</v>
      </c>
      <c r="M122" s="205" t="s">
        <v>2626</v>
      </c>
      <c r="N122" s="201" t="s">
        <v>1030</v>
      </c>
      <c r="O122" s="205" t="s">
        <v>652</v>
      </c>
      <c r="P122" s="205" t="s">
        <v>652</v>
      </c>
      <c r="Q122" s="208" t="s">
        <v>701</v>
      </c>
      <c r="R122" s="208" t="s">
        <v>702</v>
      </c>
      <c r="S122" s="208" t="s">
        <v>2614</v>
      </c>
    </row>
    <row r="123" spans="1:24" s="205" customFormat="1" hidden="1" x14ac:dyDescent="0.2">
      <c r="A123" s="205" t="s">
        <v>2627</v>
      </c>
      <c r="B123" s="205" t="s">
        <v>2628</v>
      </c>
      <c r="C123" s="200" t="s">
        <v>2614</v>
      </c>
      <c r="D123" s="199" t="s">
        <v>152</v>
      </c>
      <c r="E123" s="199"/>
      <c r="F123" s="206">
        <v>237661</v>
      </c>
      <c r="G123" s="206">
        <v>23766</v>
      </c>
      <c r="H123" s="206">
        <v>2377</v>
      </c>
      <c r="I123" s="202">
        <f t="shared" si="1"/>
        <v>216272</v>
      </c>
      <c r="J123" s="205" t="s">
        <v>31</v>
      </c>
      <c r="K123" s="205" t="s">
        <v>29</v>
      </c>
      <c r="L123" s="199" t="s">
        <v>1028</v>
      </c>
      <c r="M123" s="205" t="s">
        <v>2629</v>
      </c>
      <c r="N123" s="201" t="s">
        <v>1030</v>
      </c>
      <c r="O123" s="205" t="s">
        <v>652</v>
      </c>
      <c r="P123" s="205" t="s">
        <v>652</v>
      </c>
      <c r="Q123" s="208" t="s">
        <v>2191</v>
      </c>
      <c r="R123" s="208" t="s">
        <v>2192</v>
      </c>
      <c r="S123" s="208" t="s">
        <v>2614</v>
      </c>
    </row>
    <row r="124" spans="1:24" s="205" customFormat="1" hidden="1" x14ac:dyDescent="0.2">
      <c r="A124" s="205" t="s">
        <v>558</v>
      </c>
      <c r="B124" s="205" t="s">
        <v>559</v>
      </c>
      <c r="C124" s="200" t="s">
        <v>2614</v>
      </c>
      <c r="D124" s="199" t="s">
        <v>152</v>
      </c>
      <c r="E124" s="199"/>
      <c r="F124" s="206">
        <v>42152</v>
      </c>
      <c r="G124" s="206">
        <v>4215</v>
      </c>
      <c r="H124" s="206">
        <v>422</v>
      </c>
      <c r="I124" s="202">
        <f t="shared" si="1"/>
        <v>38359</v>
      </c>
      <c r="J124" s="205" t="s">
        <v>31</v>
      </c>
      <c r="K124" s="205" t="s">
        <v>29</v>
      </c>
      <c r="L124" s="199" t="s">
        <v>1042</v>
      </c>
      <c r="M124" s="205" t="s">
        <v>2630</v>
      </c>
      <c r="N124" s="201" t="s">
        <v>1030</v>
      </c>
      <c r="O124" s="205" t="s">
        <v>1046</v>
      </c>
      <c r="P124" s="205" t="s">
        <v>1047</v>
      </c>
      <c r="Q124" s="208" t="s">
        <v>653</v>
      </c>
      <c r="R124" s="208" t="s">
        <v>654</v>
      </c>
      <c r="S124" s="208" t="s">
        <v>2614</v>
      </c>
    </row>
    <row r="125" spans="1:24" s="205" customFormat="1" hidden="1" x14ac:dyDescent="0.2">
      <c r="A125" s="205" t="s">
        <v>558</v>
      </c>
      <c r="B125" s="205" t="s">
        <v>559</v>
      </c>
      <c r="C125" s="200" t="s">
        <v>2614</v>
      </c>
      <c r="D125" s="199" t="s">
        <v>152</v>
      </c>
      <c r="E125" s="199"/>
      <c r="F125" s="206">
        <v>581706</v>
      </c>
      <c r="G125" s="206">
        <v>58171</v>
      </c>
      <c r="H125" s="206">
        <v>5817</v>
      </c>
      <c r="I125" s="202">
        <f t="shared" si="1"/>
        <v>529352</v>
      </c>
      <c r="J125" s="205" t="s">
        <v>31</v>
      </c>
      <c r="K125" s="205" t="s">
        <v>29</v>
      </c>
      <c r="L125" s="199" t="s">
        <v>1042</v>
      </c>
      <c r="M125" s="205" t="s">
        <v>2631</v>
      </c>
      <c r="N125" s="201" t="s">
        <v>1030</v>
      </c>
      <c r="O125" s="205" t="s">
        <v>1046</v>
      </c>
      <c r="P125" s="205" t="s">
        <v>1047</v>
      </c>
      <c r="Q125" s="208" t="s">
        <v>653</v>
      </c>
      <c r="R125" s="208" t="s">
        <v>654</v>
      </c>
      <c r="S125" s="208" t="s">
        <v>2614</v>
      </c>
    </row>
    <row r="126" spans="1:24" s="205" customFormat="1" hidden="1" x14ac:dyDescent="0.2">
      <c r="A126" s="205" t="s">
        <v>2632</v>
      </c>
      <c r="B126" s="205" t="s">
        <v>2633</v>
      </c>
      <c r="C126" s="200" t="s">
        <v>2614</v>
      </c>
      <c r="D126" s="199" t="s">
        <v>152</v>
      </c>
      <c r="E126" s="199"/>
      <c r="F126" s="206">
        <v>29327</v>
      </c>
      <c r="G126" s="206">
        <v>2933</v>
      </c>
      <c r="H126" s="206">
        <v>293</v>
      </c>
      <c r="I126" s="202">
        <f t="shared" si="1"/>
        <v>26687</v>
      </c>
      <c r="J126" s="205" t="s">
        <v>41</v>
      </c>
      <c r="K126" s="205" t="s">
        <v>29</v>
      </c>
      <c r="L126" s="199" t="s">
        <v>1028</v>
      </c>
      <c r="M126" s="205" t="s">
        <v>2634</v>
      </c>
      <c r="N126" s="201" t="s">
        <v>1030</v>
      </c>
      <c r="O126" s="205" t="s">
        <v>652</v>
      </c>
      <c r="P126" s="205" t="s">
        <v>652</v>
      </c>
      <c r="Q126" s="208" t="s">
        <v>1407</v>
      </c>
      <c r="R126" s="208" t="s">
        <v>1408</v>
      </c>
      <c r="S126" s="208" t="s">
        <v>2614</v>
      </c>
    </row>
    <row r="127" spans="1:24" s="205" customFormat="1" hidden="1" x14ac:dyDescent="0.2">
      <c r="A127" s="205" t="s">
        <v>2599</v>
      </c>
      <c r="B127" s="205" t="s">
        <v>2635</v>
      </c>
      <c r="C127" s="200" t="s">
        <v>2614</v>
      </c>
      <c r="D127" s="199" t="s">
        <v>152</v>
      </c>
      <c r="E127" s="199"/>
      <c r="F127" s="206">
        <v>68648</v>
      </c>
      <c r="G127" s="206">
        <v>6865</v>
      </c>
      <c r="H127" s="206">
        <v>687</v>
      </c>
      <c r="I127" s="202">
        <f t="shared" si="1"/>
        <v>62470</v>
      </c>
      <c r="J127" s="205" t="s">
        <v>41</v>
      </c>
      <c r="K127" s="205" t="s">
        <v>29</v>
      </c>
      <c r="L127" s="199" t="s">
        <v>1028</v>
      </c>
      <c r="M127" s="205" t="s">
        <v>2636</v>
      </c>
      <c r="N127" s="201" t="s">
        <v>1030</v>
      </c>
      <c r="O127" s="205" t="s">
        <v>652</v>
      </c>
      <c r="P127" s="205" t="s">
        <v>652</v>
      </c>
      <c r="Q127" s="208" t="s">
        <v>987</v>
      </c>
      <c r="R127" s="208" t="s">
        <v>988</v>
      </c>
      <c r="S127" s="208" t="s">
        <v>2614</v>
      </c>
    </row>
    <row r="128" spans="1:24" s="205" customFormat="1" hidden="1" x14ac:dyDescent="0.2">
      <c r="A128" s="205" t="s">
        <v>2637</v>
      </c>
      <c r="B128" s="205" t="s">
        <v>2638</v>
      </c>
      <c r="C128" s="200" t="s">
        <v>2614</v>
      </c>
      <c r="D128" s="199" t="s">
        <v>152</v>
      </c>
      <c r="E128" s="199"/>
      <c r="F128" s="206">
        <v>56090</v>
      </c>
      <c r="G128" s="206">
        <v>5609</v>
      </c>
      <c r="H128" s="206">
        <v>561</v>
      </c>
      <c r="I128" s="202">
        <f t="shared" si="1"/>
        <v>51042</v>
      </c>
      <c r="J128" s="205" t="s">
        <v>1180</v>
      </c>
      <c r="K128" s="205" t="s">
        <v>29</v>
      </c>
      <c r="L128" s="199" t="s">
        <v>1058</v>
      </c>
      <c r="M128" s="205" t="s">
        <v>2639</v>
      </c>
      <c r="N128" s="201" t="s">
        <v>1030</v>
      </c>
      <c r="O128" s="205" t="s">
        <v>652</v>
      </c>
      <c r="P128" s="205" t="s">
        <v>652</v>
      </c>
      <c r="Q128" s="208" t="s">
        <v>832</v>
      </c>
      <c r="R128" s="208" t="s">
        <v>1495</v>
      </c>
      <c r="S128" s="208" t="s">
        <v>2614</v>
      </c>
    </row>
    <row r="129" spans="1:20" s="205" customFormat="1" hidden="1" x14ac:dyDescent="0.2">
      <c r="A129" s="205" t="s">
        <v>2640</v>
      </c>
      <c r="B129" s="205" t="s">
        <v>2641</v>
      </c>
      <c r="C129" s="200" t="s">
        <v>2614</v>
      </c>
      <c r="D129" s="199" t="s">
        <v>152</v>
      </c>
      <c r="E129" s="199"/>
      <c r="F129" s="206">
        <v>69588</v>
      </c>
      <c r="G129" s="206">
        <v>6959</v>
      </c>
      <c r="H129" s="206">
        <v>696</v>
      </c>
      <c r="I129" s="202">
        <f t="shared" si="1"/>
        <v>63325</v>
      </c>
      <c r="J129" s="205" t="s">
        <v>2642</v>
      </c>
      <c r="K129" s="205" t="s">
        <v>29</v>
      </c>
      <c r="L129" s="199" t="s">
        <v>1028</v>
      </c>
      <c r="M129" s="205" t="s">
        <v>2643</v>
      </c>
      <c r="N129" s="201" t="s">
        <v>1030</v>
      </c>
      <c r="O129" s="205" t="s">
        <v>652</v>
      </c>
      <c r="P129" s="205" t="s">
        <v>652</v>
      </c>
      <c r="Q129" s="214" t="s">
        <v>651</v>
      </c>
      <c r="R129" s="214" t="s">
        <v>673</v>
      </c>
      <c r="S129" s="214" t="s">
        <v>2614</v>
      </c>
    </row>
    <row r="130" spans="1:20" s="205" customFormat="1" hidden="1" x14ac:dyDescent="0.2">
      <c r="A130" s="209" t="s">
        <v>262</v>
      </c>
      <c r="B130" s="209" t="s">
        <v>1313</v>
      </c>
      <c r="C130" s="234" t="s">
        <v>2614</v>
      </c>
      <c r="D130" s="201" t="s">
        <v>152</v>
      </c>
      <c r="E130" s="201"/>
      <c r="F130" s="211">
        <v>47766</v>
      </c>
      <c r="G130" s="211">
        <v>4777</v>
      </c>
      <c r="H130" s="211">
        <v>478</v>
      </c>
      <c r="I130" s="202">
        <f t="shared" si="1"/>
        <v>43467</v>
      </c>
      <c r="J130" s="209" t="s">
        <v>40</v>
      </c>
      <c r="K130" s="209" t="s">
        <v>29</v>
      </c>
      <c r="L130" s="201" t="s">
        <v>1042</v>
      </c>
      <c r="M130" s="209" t="s">
        <v>2644</v>
      </c>
      <c r="N130" s="201" t="s">
        <v>1030</v>
      </c>
      <c r="O130" s="209" t="s">
        <v>652</v>
      </c>
      <c r="P130" s="209" t="s">
        <v>652</v>
      </c>
      <c r="Q130" s="213" t="s">
        <v>987</v>
      </c>
      <c r="R130" s="213" t="s">
        <v>988</v>
      </c>
      <c r="S130" s="213" t="s">
        <v>2614</v>
      </c>
      <c r="T130" s="209"/>
    </row>
    <row r="131" spans="1:20" s="205" customFormat="1" hidden="1" x14ac:dyDescent="0.2">
      <c r="A131" s="209" t="s">
        <v>262</v>
      </c>
      <c r="B131" s="209" t="s">
        <v>1247</v>
      </c>
      <c r="C131" s="234" t="s">
        <v>2614</v>
      </c>
      <c r="D131" s="201" t="s">
        <v>152</v>
      </c>
      <c r="E131" s="201"/>
      <c r="F131" s="211">
        <v>40751</v>
      </c>
      <c r="G131" s="211">
        <v>4075</v>
      </c>
      <c r="H131" s="211">
        <v>408</v>
      </c>
      <c r="I131" s="202">
        <f t="shared" ref="I131:I194" si="2">F131+H131-G131</f>
        <v>37084</v>
      </c>
      <c r="J131" s="209" t="s">
        <v>40</v>
      </c>
      <c r="K131" s="209" t="s">
        <v>29</v>
      </c>
      <c r="L131" s="201" t="s">
        <v>1042</v>
      </c>
      <c r="M131" s="209" t="s">
        <v>2645</v>
      </c>
      <c r="N131" s="201" t="s">
        <v>1030</v>
      </c>
      <c r="O131" s="209" t="s">
        <v>652</v>
      </c>
      <c r="P131" s="209" t="s">
        <v>652</v>
      </c>
      <c r="Q131" s="213" t="s">
        <v>987</v>
      </c>
      <c r="R131" s="213" t="s">
        <v>988</v>
      </c>
      <c r="S131" s="213" t="s">
        <v>2614</v>
      </c>
      <c r="T131" s="209"/>
    </row>
    <row r="132" spans="1:20" s="205" customFormat="1" hidden="1" x14ac:dyDescent="0.2">
      <c r="A132" s="209" t="s">
        <v>262</v>
      </c>
      <c r="B132" s="209" t="s">
        <v>1247</v>
      </c>
      <c r="C132" s="234" t="s">
        <v>2614</v>
      </c>
      <c r="D132" s="201" t="s">
        <v>166</v>
      </c>
      <c r="E132" s="201"/>
      <c r="F132" s="211">
        <v>-47766</v>
      </c>
      <c r="G132" s="211">
        <v>-4777</v>
      </c>
      <c r="H132" s="211">
        <v>-478</v>
      </c>
      <c r="I132" s="202">
        <f t="shared" si="2"/>
        <v>-43467</v>
      </c>
      <c r="J132" s="209" t="s">
        <v>40</v>
      </c>
      <c r="K132" s="209" t="s">
        <v>29</v>
      </c>
      <c r="L132" s="201" t="s">
        <v>1068</v>
      </c>
      <c r="M132" s="209" t="s">
        <v>2646</v>
      </c>
      <c r="N132" s="201" t="s">
        <v>1030</v>
      </c>
      <c r="O132" s="209" t="s">
        <v>652</v>
      </c>
      <c r="P132" s="209" t="s">
        <v>652</v>
      </c>
      <c r="Q132" s="213" t="s">
        <v>987</v>
      </c>
      <c r="R132" s="213" t="s">
        <v>988</v>
      </c>
      <c r="S132" s="213" t="s">
        <v>2614</v>
      </c>
      <c r="T132" s="209"/>
    </row>
    <row r="133" spans="1:20" s="205" customFormat="1" hidden="1" x14ac:dyDescent="0.2">
      <c r="A133" s="205" t="s">
        <v>2647</v>
      </c>
      <c r="B133" s="205" t="s">
        <v>2648</v>
      </c>
      <c r="C133" s="200" t="s">
        <v>2614</v>
      </c>
      <c r="D133" s="201" t="s">
        <v>152</v>
      </c>
      <c r="E133" s="201"/>
      <c r="F133" s="206">
        <v>67877</v>
      </c>
      <c r="G133" s="206">
        <v>6788</v>
      </c>
      <c r="H133" s="206">
        <v>339</v>
      </c>
      <c r="I133" s="202">
        <f t="shared" si="2"/>
        <v>61428</v>
      </c>
      <c r="J133" s="205" t="s">
        <v>373</v>
      </c>
      <c r="K133" s="205" t="s">
        <v>23</v>
      </c>
      <c r="L133" s="201" t="s">
        <v>1028</v>
      </c>
      <c r="M133" s="205" t="s">
        <v>2649</v>
      </c>
      <c r="N133" s="201" t="s">
        <v>1030</v>
      </c>
      <c r="O133" s="205" t="s">
        <v>652</v>
      </c>
      <c r="P133" s="205" t="s">
        <v>652</v>
      </c>
      <c r="Q133" s="208" t="s">
        <v>2191</v>
      </c>
      <c r="R133" s="208" t="s">
        <v>2192</v>
      </c>
      <c r="S133" s="208" t="s">
        <v>2614</v>
      </c>
    </row>
    <row r="134" spans="1:20" s="205" customFormat="1" hidden="1" x14ac:dyDescent="0.2">
      <c r="A134" s="205" t="s">
        <v>537</v>
      </c>
      <c r="B134" s="205" t="s">
        <v>538</v>
      </c>
      <c r="C134" s="200" t="s">
        <v>2614</v>
      </c>
      <c r="D134" s="199" t="s">
        <v>152</v>
      </c>
      <c r="E134" s="199"/>
      <c r="F134" s="206">
        <v>8835</v>
      </c>
      <c r="G134" s="206">
        <v>884</v>
      </c>
      <c r="H134" s="206">
        <v>44</v>
      </c>
      <c r="I134" s="202">
        <f t="shared" si="2"/>
        <v>7995</v>
      </c>
      <c r="J134" s="205" t="s">
        <v>344</v>
      </c>
      <c r="K134" s="205" t="s">
        <v>23</v>
      </c>
      <c r="L134" s="201" t="s">
        <v>1042</v>
      </c>
      <c r="M134" s="205" t="s">
        <v>2650</v>
      </c>
      <c r="N134" s="201" t="s">
        <v>1030</v>
      </c>
      <c r="O134" s="205" t="s">
        <v>1065</v>
      </c>
      <c r="P134" s="205" t="s">
        <v>1066</v>
      </c>
      <c r="Q134" s="208" t="s">
        <v>688</v>
      </c>
      <c r="R134" s="208" t="s">
        <v>689</v>
      </c>
      <c r="S134" s="208" t="s">
        <v>2614</v>
      </c>
    </row>
    <row r="135" spans="1:20" s="205" customFormat="1" hidden="1" x14ac:dyDescent="0.2">
      <c r="A135" s="205" t="s">
        <v>266</v>
      </c>
      <c r="B135" s="205" t="s">
        <v>2651</v>
      </c>
      <c r="C135" s="200" t="s">
        <v>2614</v>
      </c>
      <c r="D135" s="201" t="s">
        <v>152</v>
      </c>
      <c r="E135" s="201"/>
      <c r="F135" s="206">
        <v>6501139</v>
      </c>
      <c r="G135" s="206">
        <v>650112</v>
      </c>
      <c r="H135" s="206">
        <v>32506</v>
      </c>
      <c r="I135" s="202">
        <f t="shared" si="2"/>
        <v>5883533</v>
      </c>
      <c r="J135" s="205" t="s">
        <v>59</v>
      </c>
      <c r="K135" s="205" t="s">
        <v>23</v>
      </c>
      <c r="L135" s="201" t="s">
        <v>1028</v>
      </c>
      <c r="M135" s="205" t="s">
        <v>2652</v>
      </c>
      <c r="N135" s="201" t="s">
        <v>1030</v>
      </c>
      <c r="O135" s="205" t="s">
        <v>652</v>
      </c>
      <c r="P135" s="205" t="s">
        <v>652</v>
      </c>
      <c r="Q135" s="208" t="s">
        <v>2191</v>
      </c>
      <c r="R135" s="208" t="s">
        <v>2192</v>
      </c>
      <c r="S135" s="208" t="s">
        <v>2614</v>
      </c>
    </row>
    <row r="136" spans="1:20" s="205" customFormat="1" hidden="1" x14ac:dyDescent="0.2">
      <c r="A136" s="205" t="s">
        <v>245</v>
      </c>
      <c r="B136" s="205" t="s">
        <v>2653</v>
      </c>
      <c r="C136" s="200" t="s">
        <v>2614</v>
      </c>
      <c r="D136" s="201" t="s">
        <v>152</v>
      </c>
      <c r="E136" s="201"/>
      <c r="F136" s="206">
        <v>31332</v>
      </c>
      <c r="G136" s="206">
        <v>3133</v>
      </c>
      <c r="H136" s="206">
        <v>157</v>
      </c>
      <c r="I136" s="202">
        <f t="shared" si="2"/>
        <v>28356</v>
      </c>
      <c r="J136" s="205" t="s">
        <v>489</v>
      </c>
      <c r="K136" s="205" t="s">
        <v>23</v>
      </c>
      <c r="L136" s="201" t="s">
        <v>1042</v>
      </c>
      <c r="M136" s="205" t="s">
        <v>2654</v>
      </c>
      <c r="N136" s="201" t="s">
        <v>1030</v>
      </c>
      <c r="O136" s="205" t="s">
        <v>652</v>
      </c>
      <c r="P136" s="205" t="s">
        <v>652</v>
      </c>
      <c r="Q136" s="208" t="s">
        <v>653</v>
      </c>
      <c r="R136" s="208" t="s">
        <v>654</v>
      </c>
      <c r="S136" s="208" t="s">
        <v>2614</v>
      </c>
    </row>
    <row r="137" spans="1:20" s="205" customFormat="1" hidden="1" x14ac:dyDescent="0.2">
      <c r="A137" s="205" t="s">
        <v>249</v>
      </c>
      <c r="B137" s="205" t="s">
        <v>2655</v>
      </c>
      <c r="C137" s="200" t="s">
        <v>2614</v>
      </c>
      <c r="D137" s="201" t="s">
        <v>152</v>
      </c>
      <c r="E137" s="201"/>
      <c r="F137" s="206">
        <v>120957</v>
      </c>
      <c r="G137" s="206">
        <v>12096</v>
      </c>
      <c r="H137" s="206">
        <v>605</v>
      </c>
      <c r="I137" s="202">
        <f t="shared" si="2"/>
        <v>109466</v>
      </c>
      <c r="J137" s="205" t="s">
        <v>489</v>
      </c>
      <c r="K137" s="205" t="s">
        <v>23</v>
      </c>
      <c r="L137" s="201" t="s">
        <v>1042</v>
      </c>
      <c r="M137" s="205" t="s">
        <v>2656</v>
      </c>
      <c r="N137" s="201" t="s">
        <v>1030</v>
      </c>
      <c r="O137" s="205" t="s">
        <v>652</v>
      </c>
      <c r="P137" s="205" t="s">
        <v>652</v>
      </c>
      <c r="Q137" s="208" t="s">
        <v>692</v>
      </c>
      <c r="R137" s="208" t="s">
        <v>693</v>
      </c>
      <c r="S137" s="208" t="s">
        <v>2614</v>
      </c>
    </row>
    <row r="138" spans="1:20" s="205" customFormat="1" hidden="1" x14ac:dyDescent="0.2">
      <c r="A138" s="205" t="s">
        <v>2657</v>
      </c>
      <c r="B138" s="205" t="s">
        <v>2658</v>
      </c>
      <c r="C138" s="200" t="s">
        <v>2614</v>
      </c>
      <c r="D138" s="201" t="s">
        <v>152</v>
      </c>
      <c r="E138" s="201"/>
      <c r="F138" s="206">
        <v>67877</v>
      </c>
      <c r="G138" s="206">
        <v>6788</v>
      </c>
      <c r="H138" s="206">
        <v>339</v>
      </c>
      <c r="I138" s="202">
        <f t="shared" si="2"/>
        <v>61428</v>
      </c>
      <c r="J138" s="205" t="s">
        <v>373</v>
      </c>
      <c r="K138" s="205" t="s">
        <v>23</v>
      </c>
      <c r="L138" s="201" t="s">
        <v>1028</v>
      </c>
      <c r="M138" s="205" t="s">
        <v>2659</v>
      </c>
      <c r="N138" s="201" t="s">
        <v>1030</v>
      </c>
      <c r="O138" s="205" t="s">
        <v>652</v>
      </c>
      <c r="P138" s="205" t="s">
        <v>652</v>
      </c>
      <c r="Q138" s="208" t="s">
        <v>2191</v>
      </c>
      <c r="R138" s="208" t="s">
        <v>2192</v>
      </c>
      <c r="S138" s="208" t="s">
        <v>2614</v>
      </c>
    </row>
    <row r="139" spans="1:20" s="205" customFormat="1" hidden="1" x14ac:dyDescent="0.2">
      <c r="A139" s="205" t="s">
        <v>77</v>
      </c>
      <c r="B139" s="205" t="s">
        <v>369</v>
      </c>
      <c r="C139" s="200" t="s">
        <v>2614</v>
      </c>
      <c r="D139" s="201" t="s">
        <v>152</v>
      </c>
      <c r="E139" s="201"/>
      <c r="F139" s="206">
        <v>75243</v>
      </c>
      <c r="G139" s="206">
        <v>7524</v>
      </c>
      <c r="H139" s="206">
        <v>376</v>
      </c>
      <c r="I139" s="202">
        <f t="shared" si="2"/>
        <v>68095</v>
      </c>
      <c r="J139" s="205" t="s">
        <v>33</v>
      </c>
      <c r="K139" s="205" t="s">
        <v>23</v>
      </c>
      <c r="L139" s="201" t="s">
        <v>1042</v>
      </c>
      <c r="M139" s="205" t="s">
        <v>2660</v>
      </c>
      <c r="N139" s="201" t="s">
        <v>652</v>
      </c>
      <c r="O139" s="205" t="s">
        <v>652</v>
      </c>
      <c r="P139" s="205" t="s">
        <v>652</v>
      </c>
      <c r="Q139" s="208" t="s">
        <v>503</v>
      </c>
      <c r="R139" s="208" t="s">
        <v>766</v>
      </c>
      <c r="S139" s="208" t="s">
        <v>2614</v>
      </c>
    </row>
    <row r="140" spans="1:20" s="205" customFormat="1" hidden="1" x14ac:dyDescent="0.2">
      <c r="A140" s="205" t="s">
        <v>1000</v>
      </c>
      <c r="B140" s="205" t="s">
        <v>2661</v>
      </c>
      <c r="C140" s="200" t="s">
        <v>2614</v>
      </c>
      <c r="D140" s="201" t="s">
        <v>152</v>
      </c>
      <c r="E140" s="201"/>
      <c r="F140" s="206">
        <v>457377</v>
      </c>
      <c r="G140" s="206">
        <v>45738</v>
      </c>
      <c r="H140" s="206">
        <v>2287</v>
      </c>
      <c r="I140" s="202">
        <f t="shared" si="2"/>
        <v>413926</v>
      </c>
      <c r="J140" s="205" t="s">
        <v>2662</v>
      </c>
      <c r="K140" s="205" t="s">
        <v>23</v>
      </c>
      <c r="L140" s="201" t="s">
        <v>1028</v>
      </c>
      <c r="M140" s="205" t="s">
        <v>2663</v>
      </c>
      <c r="N140" s="201" t="s">
        <v>1030</v>
      </c>
      <c r="O140" s="205" t="s">
        <v>1285</v>
      </c>
      <c r="P140" s="205" t="s">
        <v>1286</v>
      </c>
      <c r="Q140" s="208" t="s">
        <v>2664</v>
      </c>
      <c r="R140" s="208" t="s">
        <v>2665</v>
      </c>
      <c r="S140" s="208" t="s">
        <v>2614</v>
      </c>
    </row>
    <row r="141" spans="1:20" s="205" customFormat="1" hidden="1" x14ac:dyDescent="0.2">
      <c r="A141" s="205" t="s">
        <v>97</v>
      </c>
      <c r="B141" s="205" t="s">
        <v>265</v>
      </c>
      <c r="C141" s="200" t="s">
        <v>2614</v>
      </c>
      <c r="D141" s="201" t="s">
        <v>166</v>
      </c>
      <c r="E141" s="201"/>
      <c r="F141" s="206">
        <v>-54209</v>
      </c>
      <c r="G141" s="206">
        <v>-5421</v>
      </c>
      <c r="H141" s="206">
        <v>-271</v>
      </c>
      <c r="I141" s="202">
        <f t="shared" si="2"/>
        <v>-49059</v>
      </c>
      <c r="J141" s="205" t="s">
        <v>54</v>
      </c>
      <c r="K141" s="205" t="s">
        <v>23</v>
      </c>
      <c r="L141" s="201" t="s">
        <v>1068</v>
      </c>
      <c r="M141" s="205" t="s">
        <v>2666</v>
      </c>
      <c r="N141" s="201" t="s">
        <v>1030</v>
      </c>
      <c r="O141" s="205" t="s">
        <v>652</v>
      </c>
      <c r="P141" s="205" t="s">
        <v>652</v>
      </c>
      <c r="Q141" s="208" t="s">
        <v>775</v>
      </c>
      <c r="R141" s="208" t="s">
        <v>776</v>
      </c>
      <c r="S141" s="208" t="s">
        <v>2614</v>
      </c>
    </row>
    <row r="142" spans="1:20" s="205" customFormat="1" hidden="1" x14ac:dyDescent="0.2">
      <c r="A142" s="205" t="s">
        <v>1562</v>
      </c>
      <c r="B142" s="205" t="s">
        <v>1563</v>
      </c>
      <c r="C142" s="200" t="s">
        <v>2614</v>
      </c>
      <c r="D142" s="199" t="s">
        <v>152</v>
      </c>
      <c r="E142" s="199"/>
      <c r="F142" s="206">
        <v>534748</v>
      </c>
      <c r="G142" s="206">
        <v>53475</v>
      </c>
      <c r="H142" s="206">
        <v>2674</v>
      </c>
      <c r="I142" s="202">
        <f t="shared" si="2"/>
        <v>483947</v>
      </c>
      <c r="J142" s="205" t="s">
        <v>81</v>
      </c>
      <c r="K142" s="205" t="s">
        <v>23</v>
      </c>
      <c r="L142" s="199" t="s">
        <v>1042</v>
      </c>
      <c r="M142" s="205" t="s">
        <v>2667</v>
      </c>
      <c r="N142" s="201" t="s">
        <v>1565</v>
      </c>
      <c r="O142" s="205" t="s">
        <v>1295</v>
      </c>
      <c r="P142" s="205" t="s">
        <v>1061</v>
      </c>
      <c r="Q142" s="208" t="s">
        <v>1106</v>
      </c>
      <c r="R142" s="208" t="s">
        <v>1107</v>
      </c>
      <c r="S142" s="208" t="s">
        <v>2614</v>
      </c>
    </row>
    <row r="143" spans="1:20" s="205" customFormat="1" hidden="1" x14ac:dyDescent="0.2">
      <c r="A143" s="205" t="s">
        <v>130</v>
      </c>
      <c r="B143" s="205" t="s">
        <v>623</v>
      </c>
      <c r="C143" s="200" t="s">
        <v>2614</v>
      </c>
      <c r="D143" s="199" t="s">
        <v>152</v>
      </c>
      <c r="E143" s="199"/>
      <c r="F143" s="206">
        <v>93150</v>
      </c>
      <c r="G143" s="206">
        <v>9315</v>
      </c>
      <c r="H143" s="206">
        <v>466</v>
      </c>
      <c r="I143" s="202">
        <f t="shared" si="2"/>
        <v>84301</v>
      </c>
      <c r="J143" s="205" t="s">
        <v>44</v>
      </c>
      <c r="K143" s="205" t="s">
        <v>23</v>
      </c>
      <c r="L143" s="199" t="s">
        <v>1042</v>
      </c>
      <c r="M143" s="205" t="s">
        <v>2668</v>
      </c>
      <c r="N143" s="201" t="s">
        <v>1030</v>
      </c>
      <c r="O143" s="205" t="s">
        <v>652</v>
      </c>
      <c r="P143" s="205" t="s">
        <v>652</v>
      </c>
      <c r="Q143" s="208" t="s">
        <v>653</v>
      </c>
      <c r="R143" s="208" t="s">
        <v>654</v>
      </c>
      <c r="S143" s="208" t="s">
        <v>2614</v>
      </c>
    </row>
    <row r="144" spans="1:20" s="205" customFormat="1" hidden="1" x14ac:dyDescent="0.2">
      <c r="A144" s="205" t="s">
        <v>147</v>
      </c>
      <c r="B144" s="205" t="s">
        <v>389</v>
      </c>
      <c r="C144" s="200" t="s">
        <v>2614</v>
      </c>
      <c r="D144" s="199" t="s">
        <v>152</v>
      </c>
      <c r="E144" s="199"/>
      <c r="F144" s="206">
        <v>46441</v>
      </c>
      <c r="G144" s="206">
        <v>4644</v>
      </c>
      <c r="H144" s="206">
        <v>232</v>
      </c>
      <c r="I144" s="202">
        <f t="shared" si="2"/>
        <v>42029</v>
      </c>
      <c r="J144" s="205" t="s">
        <v>54</v>
      </c>
      <c r="K144" s="205" t="s">
        <v>23</v>
      </c>
      <c r="L144" s="199" t="s">
        <v>1042</v>
      </c>
      <c r="M144" s="205" t="s">
        <v>2669</v>
      </c>
      <c r="N144" s="201" t="s">
        <v>1030</v>
      </c>
      <c r="O144" s="205" t="s">
        <v>652</v>
      </c>
      <c r="P144" s="205" t="s">
        <v>652</v>
      </c>
      <c r="Q144" s="214" t="s">
        <v>701</v>
      </c>
      <c r="R144" s="214" t="s">
        <v>702</v>
      </c>
      <c r="S144" s="214" t="s">
        <v>2614</v>
      </c>
    </row>
    <row r="145" spans="1:24" s="205" customFormat="1" hidden="1" x14ac:dyDescent="0.2">
      <c r="A145" s="209" t="s">
        <v>145</v>
      </c>
      <c r="B145" s="209" t="s">
        <v>543</v>
      </c>
      <c r="C145" s="234" t="s">
        <v>2614</v>
      </c>
      <c r="D145" s="201" t="s">
        <v>152</v>
      </c>
      <c r="E145" s="201"/>
      <c r="F145" s="211">
        <v>27700</v>
      </c>
      <c r="G145" s="211">
        <v>2770</v>
      </c>
      <c r="H145" s="211">
        <v>139</v>
      </c>
      <c r="I145" s="202">
        <f t="shared" si="2"/>
        <v>25069</v>
      </c>
      <c r="J145" s="209" t="s">
        <v>38</v>
      </c>
      <c r="K145" s="209" t="s">
        <v>23</v>
      </c>
      <c r="L145" s="201" t="s">
        <v>1042</v>
      </c>
      <c r="M145" s="209" t="s">
        <v>2670</v>
      </c>
      <c r="N145" s="201" t="s">
        <v>1030</v>
      </c>
      <c r="O145" s="209" t="s">
        <v>652</v>
      </c>
      <c r="P145" s="209" t="s">
        <v>652</v>
      </c>
      <c r="Q145" s="213" t="s">
        <v>812</v>
      </c>
      <c r="R145" s="213" t="s">
        <v>857</v>
      </c>
      <c r="S145" s="213" t="s">
        <v>2614</v>
      </c>
      <c r="T145" s="209"/>
      <c r="U145" s="209"/>
      <c r="V145" s="209"/>
      <c r="W145" s="209"/>
      <c r="X145" s="209"/>
    </row>
    <row r="146" spans="1:24" s="205" customFormat="1" hidden="1" x14ac:dyDescent="0.2">
      <c r="A146" s="205" t="s">
        <v>34</v>
      </c>
      <c r="B146" s="205" t="s">
        <v>583</v>
      </c>
      <c r="C146" s="200" t="s">
        <v>2614</v>
      </c>
      <c r="D146" s="201" t="s">
        <v>152</v>
      </c>
      <c r="E146" s="201"/>
      <c r="F146" s="206">
        <v>148588</v>
      </c>
      <c r="G146" s="206">
        <v>0</v>
      </c>
      <c r="H146" s="206">
        <v>0</v>
      </c>
      <c r="I146" s="202">
        <f t="shared" si="2"/>
        <v>148588</v>
      </c>
      <c r="J146" s="205" t="s">
        <v>25</v>
      </c>
      <c r="K146" s="205" t="s">
        <v>214</v>
      </c>
      <c r="L146" s="201" t="s">
        <v>1042</v>
      </c>
      <c r="M146" s="205" t="s">
        <v>2671</v>
      </c>
      <c r="N146" s="201" t="s">
        <v>1030</v>
      </c>
      <c r="O146" s="205" t="s">
        <v>652</v>
      </c>
      <c r="P146" s="205" t="s">
        <v>652</v>
      </c>
      <c r="Q146" s="208" t="s">
        <v>653</v>
      </c>
      <c r="R146" s="208" t="s">
        <v>654</v>
      </c>
      <c r="S146" s="208" t="s">
        <v>2614</v>
      </c>
      <c r="U146" s="209"/>
      <c r="V146" s="209"/>
      <c r="W146" s="209"/>
      <c r="X146" s="209"/>
    </row>
    <row r="147" spans="1:24" s="205" customFormat="1" hidden="1" x14ac:dyDescent="0.2">
      <c r="A147" s="205" t="s">
        <v>311</v>
      </c>
      <c r="B147" s="205" t="s">
        <v>549</v>
      </c>
      <c r="C147" s="200" t="s">
        <v>2614</v>
      </c>
      <c r="D147" s="199" t="s">
        <v>152</v>
      </c>
      <c r="E147" s="199"/>
      <c r="F147" s="206">
        <v>13959</v>
      </c>
      <c r="G147" s="206">
        <v>0</v>
      </c>
      <c r="H147" s="206">
        <v>0</v>
      </c>
      <c r="I147" s="202">
        <f t="shared" si="2"/>
        <v>13959</v>
      </c>
      <c r="J147" s="205" t="s">
        <v>25</v>
      </c>
      <c r="K147" s="205" t="s">
        <v>214</v>
      </c>
      <c r="L147" s="199" t="s">
        <v>1042</v>
      </c>
      <c r="M147" s="205" t="s">
        <v>2672</v>
      </c>
      <c r="N147" s="201" t="s">
        <v>1030</v>
      </c>
      <c r="O147" s="205" t="s">
        <v>1190</v>
      </c>
      <c r="P147" s="205" t="s">
        <v>1191</v>
      </c>
      <c r="Q147" s="208" t="s">
        <v>720</v>
      </c>
      <c r="R147" s="208" t="s">
        <v>721</v>
      </c>
      <c r="S147" s="208" t="s">
        <v>2614</v>
      </c>
      <c r="U147" s="209"/>
      <c r="V147" s="209"/>
      <c r="W147" s="209"/>
      <c r="X147" s="209"/>
    </row>
    <row r="148" spans="1:24" s="205" customFormat="1" hidden="1" x14ac:dyDescent="0.2">
      <c r="A148" s="205" t="s">
        <v>261</v>
      </c>
      <c r="B148" s="205" t="s">
        <v>2052</v>
      </c>
      <c r="C148" s="200" t="s">
        <v>2614</v>
      </c>
      <c r="D148" s="199" t="s">
        <v>152</v>
      </c>
      <c r="E148" s="199"/>
      <c r="F148" s="206">
        <v>81219</v>
      </c>
      <c r="G148" s="206">
        <v>0</v>
      </c>
      <c r="H148" s="206">
        <v>0</v>
      </c>
      <c r="I148" s="202">
        <f t="shared" si="2"/>
        <v>81219</v>
      </c>
      <c r="J148" s="205" t="s">
        <v>25</v>
      </c>
      <c r="K148" s="205" t="s">
        <v>214</v>
      </c>
      <c r="L148" s="199" t="s">
        <v>1042</v>
      </c>
      <c r="M148" s="205" t="s">
        <v>2673</v>
      </c>
      <c r="N148" s="201" t="s">
        <v>1030</v>
      </c>
      <c r="O148" s="205" t="s">
        <v>652</v>
      </c>
      <c r="P148" s="205" t="s">
        <v>652</v>
      </c>
      <c r="Q148" s="208" t="s">
        <v>2054</v>
      </c>
      <c r="R148" s="208" t="s">
        <v>2055</v>
      </c>
      <c r="S148" s="208" t="s">
        <v>2614</v>
      </c>
      <c r="U148" s="209"/>
      <c r="V148" s="209"/>
      <c r="W148" s="209"/>
      <c r="X148" s="209"/>
    </row>
    <row r="149" spans="1:24" s="205" customFormat="1" hidden="1" x14ac:dyDescent="0.2">
      <c r="A149" s="205" t="s">
        <v>1170</v>
      </c>
      <c r="B149" s="205" t="s">
        <v>1171</v>
      </c>
      <c r="C149" s="200" t="s">
        <v>824</v>
      </c>
      <c r="D149" s="201" t="s">
        <v>152</v>
      </c>
      <c r="E149" s="201"/>
      <c r="F149" s="206">
        <v>10249</v>
      </c>
      <c r="G149" s="206">
        <v>1025</v>
      </c>
      <c r="H149" s="206">
        <v>102</v>
      </c>
      <c r="I149" s="202">
        <f t="shared" si="2"/>
        <v>9326</v>
      </c>
      <c r="J149" s="205" t="s">
        <v>410</v>
      </c>
      <c r="K149" s="205" t="s">
        <v>29</v>
      </c>
      <c r="L149" s="201" t="s">
        <v>1042</v>
      </c>
      <c r="M149" s="205" t="s">
        <v>2674</v>
      </c>
      <c r="N149" s="201" t="s">
        <v>1030</v>
      </c>
      <c r="O149" s="205" t="s">
        <v>652</v>
      </c>
      <c r="P149" s="205" t="s">
        <v>652</v>
      </c>
      <c r="Q149" s="208" t="s">
        <v>987</v>
      </c>
      <c r="R149" s="208" t="s">
        <v>988</v>
      </c>
      <c r="S149" s="208" t="s">
        <v>824</v>
      </c>
      <c r="T149" s="209"/>
      <c r="U149" s="209"/>
      <c r="V149" s="209"/>
      <c r="W149" s="209"/>
      <c r="X149" s="209"/>
    </row>
    <row r="150" spans="1:24" s="205" customFormat="1" hidden="1" x14ac:dyDescent="0.2">
      <c r="A150" s="205" t="s">
        <v>2675</v>
      </c>
      <c r="B150" s="205" t="s">
        <v>2676</v>
      </c>
      <c r="C150" s="200" t="s">
        <v>824</v>
      </c>
      <c r="D150" s="201" t="s">
        <v>152</v>
      </c>
      <c r="E150" s="201"/>
      <c r="F150" s="206">
        <v>515957</v>
      </c>
      <c r="G150" s="206">
        <v>51596</v>
      </c>
      <c r="H150" s="206">
        <v>5160</v>
      </c>
      <c r="I150" s="202">
        <f t="shared" si="2"/>
        <v>469521</v>
      </c>
      <c r="J150" s="205" t="s">
        <v>82</v>
      </c>
      <c r="K150" s="205" t="s">
        <v>29</v>
      </c>
      <c r="L150" s="201" t="s">
        <v>1028</v>
      </c>
      <c r="M150" s="205" t="s">
        <v>2677</v>
      </c>
      <c r="N150" s="201" t="s">
        <v>1030</v>
      </c>
      <c r="O150" s="205" t="s">
        <v>652</v>
      </c>
      <c r="P150" s="205" t="s">
        <v>652</v>
      </c>
      <c r="Q150" s="208" t="s">
        <v>2191</v>
      </c>
      <c r="R150" s="208" t="s">
        <v>2192</v>
      </c>
      <c r="S150" s="208" t="s">
        <v>824</v>
      </c>
    </row>
    <row r="151" spans="1:24" s="205" customFormat="1" hidden="1" x14ac:dyDescent="0.2">
      <c r="A151" s="205" t="s">
        <v>176</v>
      </c>
      <c r="B151" s="205" t="s">
        <v>528</v>
      </c>
      <c r="C151" s="200" t="s">
        <v>824</v>
      </c>
      <c r="D151" s="201" t="s">
        <v>166</v>
      </c>
      <c r="E151" s="201"/>
      <c r="F151" s="206">
        <v>-184875</v>
      </c>
      <c r="G151" s="206">
        <v>-18488</v>
      </c>
      <c r="H151" s="206">
        <v>-1849</v>
      </c>
      <c r="I151" s="202">
        <f t="shared" si="2"/>
        <v>-168236</v>
      </c>
      <c r="J151" s="205" t="s">
        <v>177</v>
      </c>
      <c r="K151" s="205" t="s">
        <v>29</v>
      </c>
      <c r="L151" s="201" t="s">
        <v>1068</v>
      </c>
      <c r="M151" s="205" t="s">
        <v>2678</v>
      </c>
      <c r="N151" s="201" t="s">
        <v>1030</v>
      </c>
      <c r="O151" s="205" t="s">
        <v>652</v>
      </c>
      <c r="P151" s="205" t="s">
        <v>652</v>
      </c>
      <c r="Q151" s="208" t="s">
        <v>718</v>
      </c>
      <c r="R151" s="208" t="s">
        <v>719</v>
      </c>
      <c r="S151" s="208" t="s">
        <v>824</v>
      </c>
    </row>
    <row r="152" spans="1:24" s="205" customFormat="1" hidden="1" x14ac:dyDescent="0.2">
      <c r="A152" s="205" t="s">
        <v>517</v>
      </c>
      <c r="B152" s="205" t="s">
        <v>2679</v>
      </c>
      <c r="C152" s="200" t="s">
        <v>824</v>
      </c>
      <c r="D152" s="201" t="s">
        <v>152</v>
      </c>
      <c r="E152" s="201"/>
      <c r="F152" s="206">
        <v>1161637</v>
      </c>
      <c r="G152" s="206">
        <v>116164</v>
      </c>
      <c r="H152" s="206">
        <v>11616</v>
      </c>
      <c r="I152" s="202">
        <f t="shared" si="2"/>
        <v>1057089</v>
      </c>
      <c r="J152" s="205" t="s">
        <v>82</v>
      </c>
      <c r="K152" s="205" t="s">
        <v>29</v>
      </c>
      <c r="L152" s="201" t="s">
        <v>1028</v>
      </c>
      <c r="M152" s="205" t="s">
        <v>2680</v>
      </c>
      <c r="N152" s="201" t="s">
        <v>1030</v>
      </c>
      <c r="O152" s="205" t="s">
        <v>652</v>
      </c>
      <c r="P152" s="205" t="s">
        <v>652</v>
      </c>
      <c r="Q152" s="208" t="s">
        <v>2191</v>
      </c>
      <c r="R152" s="208" t="s">
        <v>2192</v>
      </c>
      <c r="S152" s="208" t="s">
        <v>824</v>
      </c>
    </row>
    <row r="153" spans="1:24" s="205" customFormat="1" hidden="1" x14ac:dyDescent="0.2">
      <c r="A153" s="205" t="s">
        <v>517</v>
      </c>
      <c r="B153" s="205" t="s">
        <v>2681</v>
      </c>
      <c r="C153" s="200" t="s">
        <v>824</v>
      </c>
      <c r="D153" s="201" t="s">
        <v>166</v>
      </c>
      <c r="E153" s="201"/>
      <c r="F153" s="206">
        <v>-23390</v>
      </c>
      <c r="G153" s="206">
        <v>-2339</v>
      </c>
      <c r="H153" s="206">
        <v>-234</v>
      </c>
      <c r="I153" s="202">
        <f t="shared" si="2"/>
        <v>-21285</v>
      </c>
      <c r="J153" s="205" t="s">
        <v>82</v>
      </c>
      <c r="K153" s="205" t="s">
        <v>29</v>
      </c>
      <c r="L153" s="201" t="s">
        <v>1068</v>
      </c>
      <c r="M153" s="205" t="s">
        <v>2682</v>
      </c>
      <c r="N153" s="201" t="s">
        <v>1030</v>
      </c>
      <c r="O153" s="205" t="s">
        <v>652</v>
      </c>
      <c r="P153" s="205" t="s">
        <v>652</v>
      </c>
      <c r="Q153" s="208" t="s">
        <v>2683</v>
      </c>
      <c r="R153" s="208" t="s">
        <v>2684</v>
      </c>
      <c r="S153" s="208" t="s">
        <v>824</v>
      </c>
    </row>
    <row r="154" spans="1:24" s="205" customFormat="1" hidden="1" x14ac:dyDescent="0.2">
      <c r="A154" s="205" t="s">
        <v>271</v>
      </c>
      <c r="B154" s="205" t="s">
        <v>2685</v>
      </c>
      <c r="C154" s="200" t="s">
        <v>824</v>
      </c>
      <c r="D154" s="201" t="s">
        <v>152</v>
      </c>
      <c r="E154" s="201"/>
      <c r="F154" s="206">
        <v>396102</v>
      </c>
      <c r="G154" s="206">
        <v>39610</v>
      </c>
      <c r="H154" s="206">
        <v>3961</v>
      </c>
      <c r="I154" s="202">
        <f t="shared" si="2"/>
        <v>360453</v>
      </c>
      <c r="J154" s="205" t="s">
        <v>82</v>
      </c>
      <c r="K154" s="205" t="s">
        <v>29</v>
      </c>
      <c r="L154" s="201" t="s">
        <v>1028</v>
      </c>
      <c r="M154" s="205" t="s">
        <v>2686</v>
      </c>
      <c r="N154" s="201" t="s">
        <v>1030</v>
      </c>
      <c r="O154" s="205" t="s">
        <v>652</v>
      </c>
      <c r="P154" s="205" t="s">
        <v>652</v>
      </c>
      <c r="Q154" s="208" t="s">
        <v>2191</v>
      </c>
      <c r="R154" s="208" t="s">
        <v>2192</v>
      </c>
      <c r="S154" s="208" t="s">
        <v>824</v>
      </c>
    </row>
    <row r="155" spans="1:24" s="205" customFormat="1" hidden="1" x14ac:dyDescent="0.2">
      <c r="A155" s="205" t="s">
        <v>2687</v>
      </c>
      <c r="B155" s="205" t="s">
        <v>2688</v>
      </c>
      <c r="C155" s="200" t="s">
        <v>824</v>
      </c>
      <c r="D155" s="199" t="s">
        <v>152</v>
      </c>
      <c r="E155" s="199"/>
      <c r="F155" s="206">
        <v>46438</v>
      </c>
      <c r="G155" s="206">
        <v>4644</v>
      </c>
      <c r="H155" s="206">
        <v>464</v>
      </c>
      <c r="I155" s="202">
        <f t="shared" si="2"/>
        <v>42258</v>
      </c>
      <c r="J155" s="205" t="s">
        <v>46</v>
      </c>
      <c r="K155" s="205" t="s">
        <v>29</v>
      </c>
      <c r="L155" s="199" t="s">
        <v>1028</v>
      </c>
      <c r="M155" s="205" t="s">
        <v>2689</v>
      </c>
      <c r="N155" s="201" t="s">
        <v>1030</v>
      </c>
      <c r="O155" s="205" t="s">
        <v>652</v>
      </c>
      <c r="P155" s="205" t="s">
        <v>652</v>
      </c>
      <c r="Q155" s="208" t="s">
        <v>651</v>
      </c>
      <c r="R155" s="208" t="s">
        <v>673</v>
      </c>
      <c r="S155" s="208" t="s">
        <v>824</v>
      </c>
    </row>
    <row r="156" spans="1:24" s="205" customFormat="1" hidden="1" x14ac:dyDescent="0.2">
      <c r="A156" s="205" t="s">
        <v>2690</v>
      </c>
      <c r="B156" s="205" t="s">
        <v>2691</v>
      </c>
      <c r="C156" s="200" t="s">
        <v>824</v>
      </c>
      <c r="D156" s="199" t="s">
        <v>152</v>
      </c>
      <c r="E156" s="199"/>
      <c r="F156" s="206">
        <v>64384</v>
      </c>
      <c r="G156" s="206">
        <v>6438</v>
      </c>
      <c r="H156" s="206">
        <v>644</v>
      </c>
      <c r="I156" s="202">
        <f t="shared" si="2"/>
        <v>58590</v>
      </c>
      <c r="J156" s="205" t="s">
        <v>911</v>
      </c>
      <c r="K156" s="205" t="s">
        <v>29</v>
      </c>
      <c r="L156" s="199" t="s">
        <v>1058</v>
      </c>
      <c r="M156" s="205" t="s">
        <v>2692</v>
      </c>
      <c r="N156" s="201" t="s">
        <v>1030</v>
      </c>
      <c r="O156" s="205" t="s">
        <v>652</v>
      </c>
      <c r="P156" s="205" t="s">
        <v>652</v>
      </c>
      <c r="Q156" s="208" t="s">
        <v>878</v>
      </c>
      <c r="R156" s="208" t="s">
        <v>944</v>
      </c>
      <c r="S156" s="208" t="s">
        <v>824</v>
      </c>
    </row>
    <row r="157" spans="1:24" s="205" customFormat="1" hidden="1" x14ac:dyDescent="0.2">
      <c r="A157" s="205" t="s">
        <v>2693</v>
      </c>
      <c r="B157" s="205" t="s">
        <v>2694</v>
      </c>
      <c r="C157" s="200" t="s">
        <v>824</v>
      </c>
      <c r="D157" s="199" t="s">
        <v>152</v>
      </c>
      <c r="E157" s="199"/>
      <c r="F157" s="206">
        <v>184614</v>
      </c>
      <c r="G157" s="206">
        <v>18461</v>
      </c>
      <c r="H157" s="206">
        <v>1846</v>
      </c>
      <c r="I157" s="202">
        <f t="shared" si="2"/>
        <v>167999</v>
      </c>
      <c r="J157" s="205" t="s">
        <v>82</v>
      </c>
      <c r="K157" s="205" t="s">
        <v>29</v>
      </c>
      <c r="L157" s="199" t="s">
        <v>1028</v>
      </c>
      <c r="M157" s="205" t="s">
        <v>2695</v>
      </c>
      <c r="N157" s="201" t="s">
        <v>1030</v>
      </c>
      <c r="O157" s="205" t="s">
        <v>652</v>
      </c>
      <c r="P157" s="205" t="s">
        <v>652</v>
      </c>
      <c r="Q157" s="214" t="s">
        <v>2191</v>
      </c>
      <c r="R157" s="214" t="s">
        <v>2191</v>
      </c>
      <c r="S157" s="214" t="s">
        <v>824</v>
      </c>
    </row>
    <row r="158" spans="1:24" s="205" customFormat="1" hidden="1" x14ac:dyDescent="0.2">
      <c r="A158" s="209" t="s">
        <v>243</v>
      </c>
      <c r="B158" s="209" t="s">
        <v>2696</v>
      </c>
      <c r="C158" s="234" t="s">
        <v>824</v>
      </c>
      <c r="D158" s="201" t="s">
        <v>152</v>
      </c>
      <c r="E158" s="201"/>
      <c r="F158" s="211">
        <v>38659</v>
      </c>
      <c r="G158" s="211">
        <v>3866</v>
      </c>
      <c r="H158" s="211">
        <v>387</v>
      </c>
      <c r="I158" s="202">
        <f t="shared" si="2"/>
        <v>35180</v>
      </c>
      <c r="J158" s="209" t="s">
        <v>46</v>
      </c>
      <c r="K158" s="209" t="s">
        <v>29</v>
      </c>
      <c r="L158" s="201" t="s">
        <v>1028</v>
      </c>
      <c r="M158" s="209" t="s">
        <v>2697</v>
      </c>
      <c r="N158" s="201" t="s">
        <v>1030</v>
      </c>
      <c r="O158" s="209" t="s">
        <v>652</v>
      </c>
      <c r="P158" s="209" t="s">
        <v>652</v>
      </c>
      <c r="Q158" s="213" t="s">
        <v>820</v>
      </c>
      <c r="R158" s="213" t="s">
        <v>821</v>
      </c>
      <c r="S158" s="213" t="s">
        <v>824</v>
      </c>
      <c r="T158" s="209"/>
    </row>
    <row r="159" spans="1:24" s="205" customFormat="1" hidden="1" x14ac:dyDescent="0.2">
      <c r="A159" s="209" t="s">
        <v>441</v>
      </c>
      <c r="B159" s="209" t="s">
        <v>1084</v>
      </c>
      <c r="C159" s="234" t="s">
        <v>824</v>
      </c>
      <c r="D159" s="201" t="s">
        <v>152</v>
      </c>
      <c r="E159" s="201"/>
      <c r="F159" s="211">
        <v>40314</v>
      </c>
      <c r="G159" s="211">
        <v>4031</v>
      </c>
      <c r="H159" s="211">
        <v>403</v>
      </c>
      <c r="I159" s="202">
        <f t="shared" si="2"/>
        <v>36686</v>
      </c>
      <c r="J159" s="209" t="s">
        <v>31</v>
      </c>
      <c r="K159" s="209" t="s">
        <v>29</v>
      </c>
      <c r="L159" s="201" t="s">
        <v>1042</v>
      </c>
      <c r="M159" s="209" t="s">
        <v>2698</v>
      </c>
      <c r="N159" s="201" t="s">
        <v>1030</v>
      </c>
      <c r="O159" s="209" t="s">
        <v>652</v>
      </c>
      <c r="P159" s="209" t="s">
        <v>652</v>
      </c>
      <c r="Q159" s="213" t="s">
        <v>987</v>
      </c>
      <c r="R159" s="213" t="s">
        <v>988</v>
      </c>
      <c r="S159" s="213" t="s">
        <v>824</v>
      </c>
      <c r="T159" s="209"/>
    </row>
    <row r="160" spans="1:24" s="205" customFormat="1" hidden="1" x14ac:dyDescent="0.2">
      <c r="A160" s="209" t="s">
        <v>262</v>
      </c>
      <c r="B160" s="209" t="s">
        <v>1247</v>
      </c>
      <c r="C160" s="234" t="s">
        <v>824</v>
      </c>
      <c r="D160" s="201" t="s">
        <v>152</v>
      </c>
      <c r="E160" s="201"/>
      <c r="F160" s="211">
        <v>23774</v>
      </c>
      <c r="G160" s="211">
        <v>2377</v>
      </c>
      <c r="H160" s="211">
        <v>238</v>
      </c>
      <c r="I160" s="202">
        <f t="shared" si="2"/>
        <v>21635</v>
      </c>
      <c r="J160" s="209" t="s">
        <v>40</v>
      </c>
      <c r="K160" s="209" t="s">
        <v>29</v>
      </c>
      <c r="L160" s="201" t="s">
        <v>1042</v>
      </c>
      <c r="M160" s="209" t="s">
        <v>2699</v>
      </c>
      <c r="N160" s="201" t="s">
        <v>1030</v>
      </c>
      <c r="O160" s="209" t="s">
        <v>652</v>
      </c>
      <c r="P160" s="209" t="s">
        <v>652</v>
      </c>
      <c r="Q160" s="213" t="s">
        <v>987</v>
      </c>
      <c r="R160" s="213" t="s">
        <v>988</v>
      </c>
      <c r="S160" s="213" t="s">
        <v>824</v>
      </c>
      <c r="T160" s="209"/>
    </row>
    <row r="161" spans="1:20" s="205" customFormat="1" hidden="1" x14ac:dyDescent="0.2">
      <c r="A161" s="205" t="s">
        <v>251</v>
      </c>
      <c r="B161" s="205" t="s">
        <v>2700</v>
      </c>
      <c r="C161" s="200" t="s">
        <v>824</v>
      </c>
      <c r="D161" s="201" t="s">
        <v>152</v>
      </c>
      <c r="E161" s="201"/>
      <c r="F161" s="206">
        <v>54669</v>
      </c>
      <c r="G161" s="206">
        <v>5467</v>
      </c>
      <c r="H161" s="206">
        <v>273</v>
      </c>
      <c r="I161" s="202">
        <f t="shared" si="2"/>
        <v>49475</v>
      </c>
      <c r="J161" s="205" t="s">
        <v>104</v>
      </c>
      <c r="K161" s="205" t="s">
        <v>23</v>
      </c>
      <c r="L161" s="201" t="s">
        <v>1058</v>
      </c>
      <c r="M161" s="205" t="s">
        <v>2701</v>
      </c>
      <c r="N161" s="201" t="s">
        <v>1072</v>
      </c>
      <c r="O161" s="205" t="s">
        <v>652</v>
      </c>
      <c r="P161" s="205" t="s">
        <v>652</v>
      </c>
      <c r="Q161" s="208" t="s">
        <v>651</v>
      </c>
      <c r="R161" s="208" t="s">
        <v>673</v>
      </c>
      <c r="S161" s="208" t="s">
        <v>824</v>
      </c>
    </row>
    <row r="162" spans="1:20" s="205" customFormat="1" hidden="1" x14ac:dyDescent="0.2">
      <c r="A162" s="205" t="s">
        <v>251</v>
      </c>
      <c r="B162" s="205" t="s">
        <v>2702</v>
      </c>
      <c r="C162" s="200" t="s">
        <v>824</v>
      </c>
      <c r="D162" s="201" t="s">
        <v>152</v>
      </c>
      <c r="E162" s="201"/>
      <c r="F162" s="206">
        <v>83823</v>
      </c>
      <c r="G162" s="206">
        <v>8382</v>
      </c>
      <c r="H162" s="206">
        <v>419</v>
      </c>
      <c r="I162" s="202">
        <f t="shared" si="2"/>
        <v>75860</v>
      </c>
      <c r="J162" s="205" t="s">
        <v>104</v>
      </c>
      <c r="K162" s="205" t="s">
        <v>23</v>
      </c>
      <c r="L162" s="201" t="s">
        <v>1028</v>
      </c>
      <c r="M162" s="205" t="s">
        <v>2703</v>
      </c>
      <c r="N162" s="201" t="s">
        <v>1072</v>
      </c>
      <c r="O162" s="205" t="s">
        <v>652</v>
      </c>
      <c r="P162" s="205" t="s">
        <v>652</v>
      </c>
      <c r="Q162" s="208" t="s">
        <v>2191</v>
      </c>
      <c r="R162" s="208" t="s">
        <v>2192</v>
      </c>
      <c r="S162" s="208" t="s">
        <v>824</v>
      </c>
    </row>
    <row r="163" spans="1:20" s="205" customFormat="1" hidden="1" x14ac:dyDescent="0.2">
      <c r="A163" s="205" t="s">
        <v>244</v>
      </c>
      <c r="B163" s="205" t="s">
        <v>2704</v>
      </c>
      <c r="C163" s="200" t="s">
        <v>824</v>
      </c>
      <c r="D163" s="201" t="s">
        <v>152</v>
      </c>
      <c r="E163" s="201"/>
      <c r="F163" s="206">
        <v>84164</v>
      </c>
      <c r="G163" s="206">
        <v>8416</v>
      </c>
      <c r="H163" s="206">
        <v>421</v>
      </c>
      <c r="I163" s="202">
        <f t="shared" si="2"/>
        <v>76169</v>
      </c>
      <c r="J163" s="205" t="s">
        <v>38</v>
      </c>
      <c r="K163" s="205" t="s">
        <v>23</v>
      </c>
      <c r="L163" s="201" t="s">
        <v>1028</v>
      </c>
      <c r="M163" s="205" t="s">
        <v>2705</v>
      </c>
      <c r="N163" s="201" t="s">
        <v>1030</v>
      </c>
      <c r="O163" s="205" t="s">
        <v>652</v>
      </c>
      <c r="P163" s="205" t="s">
        <v>652</v>
      </c>
      <c r="Q163" s="208" t="s">
        <v>987</v>
      </c>
      <c r="R163" s="208" t="s">
        <v>988</v>
      </c>
      <c r="S163" s="208" t="s">
        <v>824</v>
      </c>
    </row>
    <row r="164" spans="1:20" s="205" customFormat="1" hidden="1" x14ac:dyDescent="0.2">
      <c r="A164" s="205" t="s">
        <v>244</v>
      </c>
      <c r="B164" s="205" t="s">
        <v>2706</v>
      </c>
      <c r="C164" s="200" t="s">
        <v>824</v>
      </c>
      <c r="D164" s="201" t="s">
        <v>152</v>
      </c>
      <c r="E164" s="201"/>
      <c r="F164" s="206">
        <v>84164</v>
      </c>
      <c r="G164" s="206">
        <v>8416</v>
      </c>
      <c r="H164" s="206">
        <v>421</v>
      </c>
      <c r="I164" s="202">
        <f t="shared" si="2"/>
        <v>76169</v>
      </c>
      <c r="J164" s="205" t="s">
        <v>38</v>
      </c>
      <c r="K164" s="205" t="s">
        <v>23</v>
      </c>
      <c r="L164" s="201" t="s">
        <v>1028</v>
      </c>
      <c r="M164" s="205" t="s">
        <v>2707</v>
      </c>
      <c r="N164" s="201" t="s">
        <v>1030</v>
      </c>
      <c r="O164" s="205" t="s">
        <v>652</v>
      </c>
      <c r="P164" s="205" t="s">
        <v>652</v>
      </c>
      <c r="Q164" s="208" t="s">
        <v>987</v>
      </c>
      <c r="R164" s="208" t="s">
        <v>988</v>
      </c>
      <c r="S164" s="208" t="s">
        <v>824</v>
      </c>
    </row>
    <row r="165" spans="1:20" s="205" customFormat="1" hidden="1" x14ac:dyDescent="0.2">
      <c r="A165" s="205" t="s">
        <v>244</v>
      </c>
      <c r="B165" s="205" t="s">
        <v>2708</v>
      </c>
      <c r="C165" s="200" t="s">
        <v>824</v>
      </c>
      <c r="D165" s="201" t="s">
        <v>152</v>
      </c>
      <c r="E165" s="201"/>
      <c r="F165" s="206">
        <v>117590</v>
      </c>
      <c r="G165" s="206">
        <v>11759</v>
      </c>
      <c r="H165" s="206">
        <v>588</v>
      </c>
      <c r="I165" s="202">
        <f t="shared" si="2"/>
        <v>106419</v>
      </c>
      <c r="J165" s="205" t="s">
        <v>38</v>
      </c>
      <c r="K165" s="205" t="s">
        <v>23</v>
      </c>
      <c r="L165" s="201" t="s">
        <v>1028</v>
      </c>
      <c r="M165" s="205" t="s">
        <v>2709</v>
      </c>
      <c r="N165" s="201" t="s">
        <v>1030</v>
      </c>
      <c r="O165" s="205" t="s">
        <v>652</v>
      </c>
      <c r="P165" s="205" t="s">
        <v>652</v>
      </c>
      <c r="Q165" s="208" t="s">
        <v>987</v>
      </c>
      <c r="R165" s="208" t="s">
        <v>988</v>
      </c>
      <c r="S165" s="208" t="s">
        <v>824</v>
      </c>
    </row>
    <row r="166" spans="1:20" s="205" customFormat="1" hidden="1" x14ac:dyDescent="0.2">
      <c r="A166" s="205" t="s">
        <v>2710</v>
      </c>
      <c r="B166" s="205" t="s">
        <v>2711</v>
      </c>
      <c r="C166" s="200" t="s">
        <v>824</v>
      </c>
      <c r="D166" s="201" t="s">
        <v>152</v>
      </c>
      <c r="E166" s="201"/>
      <c r="F166" s="206">
        <v>67877</v>
      </c>
      <c r="G166" s="206">
        <v>6788</v>
      </c>
      <c r="H166" s="206">
        <v>339</v>
      </c>
      <c r="I166" s="202">
        <f t="shared" si="2"/>
        <v>61428</v>
      </c>
      <c r="J166" s="205" t="s">
        <v>373</v>
      </c>
      <c r="K166" s="205" t="s">
        <v>23</v>
      </c>
      <c r="L166" s="201" t="s">
        <v>1028</v>
      </c>
      <c r="M166" s="205" t="s">
        <v>2712</v>
      </c>
      <c r="N166" s="201" t="s">
        <v>1030</v>
      </c>
      <c r="O166" s="205" t="s">
        <v>652</v>
      </c>
      <c r="P166" s="205" t="s">
        <v>652</v>
      </c>
      <c r="Q166" s="208" t="s">
        <v>2191</v>
      </c>
      <c r="R166" s="208" t="s">
        <v>2192</v>
      </c>
      <c r="S166" s="208" t="s">
        <v>824</v>
      </c>
    </row>
    <row r="167" spans="1:20" s="205" customFormat="1" hidden="1" x14ac:dyDescent="0.2">
      <c r="A167" s="205" t="s">
        <v>431</v>
      </c>
      <c r="B167" s="205" t="s">
        <v>432</v>
      </c>
      <c r="C167" s="200" t="s">
        <v>824</v>
      </c>
      <c r="D167" s="201" t="s">
        <v>152</v>
      </c>
      <c r="E167" s="201"/>
      <c r="F167" s="206">
        <v>10176</v>
      </c>
      <c r="G167" s="206">
        <v>1018</v>
      </c>
      <c r="H167" s="206">
        <v>51</v>
      </c>
      <c r="I167" s="202">
        <f t="shared" si="2"/>
        <v>9209</v>
      </c>
      <c r="J167" s="205" t="s">
        <v>753</v>
      </c>
      <c r="K167" s="205" t="s">
        <v>23</v>
      </c>
      <c r="L167" s="201" t="s">
        <v>1042</v>
      </c>
      <c r="M167" s="205" t="s">
        <v>2713</v>
      </c>
      <c r="N167" s="201" t="s">
        <v>1072</v>
      </c>
      <c r="O167" s="205" t="s">
        <v>1060</v>
      </c>
      <c r="P167" s="205" t="s">
        <v>1061</v>
      </c>
      <c r="Q167" s="208" t="s">
        <v>754</v>
      </c>
      <c r="R167" s="208" t="s">
        <v>755</v>
      </c>
      <c r="S167" s="208" t="s">
        <v>824</v>
      </c>
    </row>
    <row r="168" spans="1:20" s="205" customFormat="1" hidden="1" x14ac:dyDescent="0.2">
      <c r="A168" s="205" t="s">
        <v>97</v>
      </c>
      <c r="B168" s="205" t="s">
        <v>2714</v>
      </c>
      <c r="C168" s="200" t="s">
        <v>824</v>
      </c>
      <c r="D168" s="201" t="s">
        <v>152</v>
      </c>
      <c r="E168" s="201"/>
      <c r="F168" s="206">
        <v>8374660</v>
      </c>
      <c r="G168" s="206">
        <v>837466</v>
      </c>
      <c r="H168" s="206">
        <v>41873</v>
      </c>
      <c r="I168" s="202">
        <f t="shared" si="2"/>
        <v>7579067</v>
      </c>
      <c r="J168" s="205" t="s">
        <v>54</v>
      </c>
      <c r="K168" s="205" t="s">
        <v>23</v>
      </c>
      <c r="L168" s="201" t="s">
        <v>1028</v>
      </c>
      <c r="M168" s="205" t="s">
        <v>2715</v>
      </c>
      <c r="N168" s="201" t="s">
        <v>1030</v>
      </c>
      <c r="O168" s="205" t="s">
        <v>652</v>
      </c>
      <c r="P168" s="205" t="s">
        <v>652</v>
      </c>
      <c r="Q168" s="208" t="s">
        <v>2716</v>
      </c>
      <c r="R168" s="208" t="s">
        <v>2717</v>
      </c>
      <c r="S168" s="208" t="s">
        <v>824</v>
      </c>
    </row>
    <row r="169" spans="1:20" s="205" customFormat="1" hidden="1" x14ac:dyDescent="0.2">
      <c r="A169" s="205" t="s">
        <v>197</v>
      </c>
      <c r="B169" s="205" t="s">
        <v>927</v>
      </c>
      <c r="C169" s="200" t="s">
        <v>824</v>
      </c>
      <c r="D169" s="199" t="s">
        <v>152</v>
      </c>
      <c r="E169" s="199"/>
      <c r="F169" s="206">
        <v>56485</v>
      </c>
      <c r="G169" s="206">
        <v>5649</v>
      </c>
      <c r="H169" s="206">
        <v>282</v>
      </c>
      <c r="I169" s="202">
        <f t="shared" si="2"/>
        <v>51118</v>
      </c>
      <c r="J169" s="205" t="s">
        <v>59</v>
      </c>
      <c r="K169" s="205" t="s">
        <v>23</v>
      </c>
      <c r="L169" s="199" t="s">
        <v>1042</v>
      </c>
      <c r="M169" s="205" t="s">
        <v>2718</v>
      </c>
      <c r="N169" s="201" t="s">
        <v>1030</v>
      </c>
      <c r="O169" s="205" t="s">
        <v>2719</v>
      </c>
      <c r="P169" s="205" t="s">
        <v>1187</v>
      </c>
      <c r="Q169" s="208" t="s">
        <v>722</v>
      </c>
      <c r="R169" s="208" t="s">
        <v>723</v>
      </c>
      <c r="S169" s="208" t="s">
        <v>824</v>
      </c>
    </row>
    <row r="170" spans="1:20" s="205" customFormat="1" hidden="1" x14ac:dyDescent="0.2">
      <c r="A170" s="205" t="s">
        <v>2720</v>
      </c>
      <c r="B170" s="205" t="s">
        <v>2721</v>
      </c>
      <c r="C170" s="200" t="s">
        <v>824</v>
      </c>
      <c r="D170" s="199" t="s">
        <v>152</v>
      </c>
      <c r="E170" s="199"/>
      <c r="F170" s="206">
        <v>66020</v>
      </c>
      <c r="G170" s="206">
        <v>6602</v>
      </c>
      <c r="H170" s="206">
        <v>330</v>
      </c>
      <c r="I170" s="202">
        <f t="shared" si="2"/>
        <v>59748</v>
      </c>
      <c r="J170" s="205" t="s">
        <v>104</v>
      </c>
      <c r="K170" s="205" t="s">
        <v>23</v>
      </c>
      <c r="L170" s="199" t="s">
        <v>1028</v>
      </c>
      <c r="M170" s="205" t="s">
        <v>2722</v>
      </c>
      <c r="N170" s="201" t="s">
        <v>1072</v>
      </c>
      <c r="O170" s="205" t="s">
        <v>652</v>
      </c>
      <c r="P170" s="205" t="s">
        <v>652</v>
      </c>
      <c r="Q170" s="208" t="s">
        <v>987</v>
      </c>
      <c r="R170" s="208" t="s">
        <v>988</v>
      </c>
      <c r="S170" s="208" t="s">
        <v>824</v>
      </c>
    </row>
    <row r="171" spans="1:20" s="205" customFormat="1" hidden="1" x14ac:dyDescent="0.2">
      <c r="A171" s="205" t="s">
        <v>2723</v>
      </c>
      <c r="B171" s="205" t="s">
        <v>2724</v>
      </c>
      <c r="C171" s="200" t="s">
        <v>824</v>
      </c>
      <c r="D171" s="199" t="s">
        <v>152</v>
      </c>
      <c r="E171" s="199"/>
      <c r="F171" s="206">
        <v>42530</v>
      </c>
      <c r="G171" s="206">
        <v>4253</v>
      </c>
      <c r="H171" s="206">
        <v>213</v>
      </c>
      <c r="I171" s="202">
        <f t="shared" si="2"/>
        <v>38490</v>
      </c>
      <c r="J171" s="205" t="s">
        <v>22</v>
      </c>
      <c r="K171" s="205" t="s">
        <v>23</v>
      </c>
      <c r="L171" s="199" t="s">
        <v>1058</v>
      </c>
      <c r="M171" s="205" t="s">
        <v>2725</v>
      </c>
      <c r="N171" s="201" t="s">
        <v>1030</v>
      </c>
      <c r="O171" s="205" t="s">
        <v>652</v>
      </c>
      <c r="P171" s="205" t="s">
        <v>652</v>
      </c>
      <c r="Q171" s="208" t="s">
        <v>987</v>
      </c>
      <c r="R171" s="208" t="s">
        <v>988</v>
      </c>
      <c r="S171" s="208" t="s">
        <v>824</v>
      </c>
    </row>
    <row r="172" spans="1:20" s="205" customFormat="1" hidden="1" x14ac:dyDescent="0.2">
      <c r="A172" s="205" t="s">
        <v>2726</v>
      </c>
      <c r="B172" s="205" t="s">
        <v>2727</v>
      </c>
      <c r="C172" s="200" t="s">
        <v>824</v>
      </c>
      <c r="D172" s="199" t="s">
        <v>152</v>
      </c>
      <c r="E172" s="199"/>
      <c r="F172" s="206">
        <v>68661</v>
      </c>
      <c r="G172" s="206">
        <v>6866</v>
      </c>
      <c r="H172" s="206">
        <v>343</v>
      </c>
      <c r="I172" s="202">
        <f t="shared" si="2"/>
        <v>62138</v>
      </c>
      <c r="J172" s="205" t="s">
        <v>104</v>
      </c>
      <c r="K172" s="205" t="s">
        <v>23</v>
      </c>
      <c r="L172" s="199" t="s">
        <v>1028</v>
      </c>
      <c r="M172" s="205" t="s">
        <v>2728</v>
      </c>
      <c r="N172" s="201" t="s">
        <v>1072</v>
      </c>
      <c r="O172" s="205" t="s">
        <v>652</v>
      </c>
      <c r="P172" s="205" t="s">
        <v>652</v>
      </c>
      <c r="Q172" s="208" t="s">
        <v>987</v>
      </c>
      <c r="R172" s="208" t="s">
        <v>988</v>
      </c>
      <c r="S172" s="208" t="s">
        <v>824</v>
      </c>
    </row>
    <row r="173" spans="1:20" s="205" customFormat="1" hidden="1" x14ac:dyDescent="0.2">
      <c r="A173" s="205" t="s">
        <v>2729</v>
      </c>
      <c r="B173" s="205" t="s">
        <v>2730</v>
      </c>
      <c r="C173" s="200" t="s">
        <v>824</v>
      </c>
      <c r="D173" s="199" t="s">
        <v>152</v>
      </c>
      <c r="E173" s="199"/>
      <c r="F173" s="206">
        <v>30055</v>
      </c>
      <c r="G173" s="206">
        <v>3006</v>
      </c>
      <c r="H173" s="206">
        <v>150</v>
      </c>
      <c r="I173" s="202">
        <f t="shared" si="2"/>
        <v>27199</v>
      </c>
      <c r="J173" s="205" t="s">
        <v>373</v>
      </c>
      <c r="K173" s="205" t="s">
        <v>23</v>
      </c>
      <c r="L173" s="199" t="s">
        <v>1058</v>
      </c>
      <c r="M173" s="205" t="s">
        <v>2731</v>
      </c>
      <c r="N173" s="201" t="s">
        <v>1030</v>
      </c>
      <c r="O173" s="205" t="s">
        <v>652</v>
      </c>
      <c r="P173" s="205" t="s">
        <v>652</v>
      </c>
      <c r="Q173" s="208" t="s">
        <v>2191</v>
      </c>
      <c r="R173" s="208" t="s">
        <v>2192</v>
      </c>
      <c r="S173" s="208" t="s">
        <v>824</v>
      </c>
    </row>
    <row r="174" spans="1:20" s="205" customFormat="1" hidden="1" x14ac:dyDescent="0.2">
      <c r="A174" s="205" t="s">
        <v>2732</v>
      </c>
      <c r="B174" s="205" t="s">
        <v>2733</v>
      </c>
      <c r="C174" s="200" t="s">
        <v>824</v>
      </c>
      <c r="D174" s="199" t="s">
        <v>152</v>
      </c>
      <c r="E174" s="199"/>
      <c r="F174" s="206">
        <v>51703</v>
      </c>
      <c r="G174" s="206">
        <v>5170</v>
      </c>
      <c r="H174" s="206">
        <v>259</v>
      </c>
      <c r="I174" s="202">
        <f t="shared" si="2"/>
        <v>46792</v>
      </c>
      <c r="J174" s="205" t="s">
        <v>373</v>
      </c>
      <c r="K174" s="205" t="s">
        <v>23</v>
      </c>
      <c r="L174" s="199" t="s">
        <v>1058</v>
      </c>
      <c r="M174" s="205" t="s">
        <v>2734</v>
      </c>
      <c r="N174" s="201" t="s">
        <v>1030</v>
      </c>
      <c r="O174" s="205" t="s">
        <v>652</v>
      </c>
      <c r="P174" s="205" t="s">
        <v>652</v>
      </c>
      <c r="Q174" s="208" t="s">
        <v>2191</v>
      </c>
      <c r="R174" s="208" t="s">
        <v>2192</v>
      </c>
      <c r="S174" s="208" t="s">
        <v>824</v>
      </c>
    </row>
    <row r="175" spans="1:20" s="205" customFormat="1" hidden="1" x14ac:dyDescent="0.2">
      <c r="A175" s="205" t="s">
        <v>194</v>
      </c>
      <c r="B175" s="205" t="s">
        <v>548</v>
      </c>
      <c r="C175" s="200" t="s">
        <v>824</v>
      </c>
      <c r="D175" s="199" t="s">
        <v>152</v>
      </c>
      <c r="E175" s="199"/>
      <c r="F175" s="206">
        <v>10577</v>
      </c>
      <c r="G175" s="206">
        <v>1058</v>
      </c>
      <c r="H175" s="206">
        <v>53</v>
      </c>
      <c r="I175" s="202">
        <f t="shared" si="2"/>
        <v>9572</v>
      </c>
      <c r="J175" s="205" t="s">
        <v>52</v>
      </c>
      <c r="K175" s="205" t="s">
        <v>23</v>
      </c>
      <c r="L175" s="199" t="s">
        <v>1141</v>
      </c>
      <c r="M175" s="205" t="s">
        <v>2735</v>
      </c>
      <c r="N175" s="201" t="s">
        <v>1030</v>
      </c>
      <c r="O175" s="205" t="s">
        <v>652</v>
      </c>
      <c r="P175" s="205" t="s">
        <v>652</v>
      </c>
      <c r="Q175" s="214" t="s">
        <v>837</v>
      </c>
      <c r="R175" s="214" t="s">
        <v>838</v>
      </c>
      <c r="S175" s="214" t="s">
        <v>824</v>
      </c>
    </row>
    <row r="176" spans="1:20" s="205" customFormat="1" hidden="1" x14ac:dyDescent="0.2">
      <c r="A176" s="209" t="s">
        <v>485</v>
      </c>
      <c r="B176" s="209" t="s">
        <v>2736</v>
      </c>
      <c r="C176" s="234" t="s">
        <v>824</v>
      </c>
      <c r="D176" s="201" t="s">
        <v>152</v>
      </c>
      <c r="E176" s="201"/>
      <c r="F176" s="211">
        <v>490264</v>
      </c>
      <c r="G176" s="211">
        <v>49027</v>
      </c>
      <c r="H176" s="211">
        <v>2451</v>
      </c>
      <c r="I176" s="202">
        <f t="shared" si="2"/>
        <v>443688</v>
      </c>
      <c r="J176" s="209" t="s">
        <v>2737</v>
      </c>
      <c r="K176" s="209" t="s">
        <v>23</v>
      </c>
      <c r="L176" s="201" t="s">
        <v>1028</v>
      </c>
      <c r="M176" s="209" t="s">
        <v>2738</v>
      </c>
      <c r="N176" s="201" t="s">
        <v>1030</v>
      </c>
      <c r="O176" s="209" t="s">
        <v>652</v>
      </c>
      <c r="P176" s="209" t="s">
        <v>652</v>
      </c>
      <c r="Q176" s="233" t="s">
        <v>2191</v>
      </c>
      <c r="R176" s="233" t="s">
        <v>2192</v>
      </c>
      <c r="S176" s="233" t="s">
        <v>824</v>
      </c>
      <c r="T176" s="209"/>
    </row>
    <row r="177" spans="1:24" s="205" customFormat="1" hidden="1" x14ac:dyDescent="0.2">
      <c r="A177" s="209" t="s">
        <v>207</v>
      </c>
      <c r="B177" s="209" t="s">
        <v>916</v>
      </c>
      <c r="C177" s="234" t="s">
        <v>824</v>
      </c>
      <c r="D177" s="201" t="s">
        <v>152</v>
      </c>
      <c r="E177" s="201"/>
      <c r="F177" s="211">
        <v>127367</v>
      </c>
      <c r="G177" s="211">
        <v>12737</v>
      </c>
      <c r="H177" s="211">
        <v>637</v>
      </c>
      <c r="I177" s="202">
        <f t="shared" si="2"/>
        <v>115267</v>
      </c>
      <c r="J177" s="209" t="s">
        <v>44</v>
      </c>
      <c r="K177" s="209" t="s">
        <v>23</v>
      </c>
      <c r="L177" s="201" t="s">
        <v>1042</v>
      </c>
      <c r="M177" s="209" t="s">
        <v>2739</v>
      </c>
      <c r="N177" s="201" t="s">
        <v>1030</v>
      </c>
      <c r="O177" s="209" t="s">
        <v>652</v>
      </c>
      <c r="P177" s="209" t="s">
        <v>652</v>
      </c>
      <c r="Q177" s="213" t="s">
        <v>663</v>
      </c>
      <c r="R177" s="213" t="s">
        <v>745</v>
      </c>
      <c r="S177" s="213" t="s">
        <v>824</v>
      </c>
      <c r="T177" s="209"/>
    </row>
    <row r="178" spans="1:24" s="205" customFormat="1" hidden="1" x14ac:dyDescent="0.2">
      <c r="A178" s="209" t="s">
        <v>79</v>
      </c>
      <c r="B178" s="209" t="s">
        <v>535</v>
      </c>
      <c r="C178" s="234" t="s">
        <v>824</v>
      </c>
      <c r="D178" s="201" t="s">
        <v>152</v>
      </c>
      <c r="E178" s="201"/>
      <c r="F178" s="211">
        <v>81175</v>
      </c>
      <c r="G178" s="211">
        <v>8118</v>
      </c>
      <c r="H178" s="211">
        <v>406</v>
      </c>
      <c r="I178" s="202">
        <f t="shared" si="2"/>
        <v>73463</v>
      </c>
      <c r="J178" s="209" t="s">
        <v>22</v>
      </c>
      <c r="K178" s="209" t="s">
        <v>23</v>
      </c>
      <c r="L178" s="201" t="s">
        <v>1042</v>
      </c>
      <c r="M178" s="209" t="s">
        <v>2740</v>
      </c>
      <c r="N178" s="201" t="s">
        <v>1030</v>
      </c>
      <c r="O178" s="209" t="s">
        <v>652</v>
      </c>
      <c r="P178" s="209" t="s">
        <v>652</v>
      </c>
      <c r="Q178" s="213" t="s">
        <v>674</v>
      </c>
      <c r="R178" s="213" t="s">
        <v>675</v>
      </c>
      <c r="S178" s="213" t="s">
        <v>824</v>
      </c>
      <c r="T178" s="209"/>
      <c r="U178" s="209"/>
      <c r="V178" s="209"/>
      <c r="W178" s="209"/>
      <c r="X178" s="209"/>
    </row>
    <row r="179" spans="1:24" s="205" customFormat="1" hidden="1" x14ac:dyDescent="0.2">
      <c r="A179" s="209" t="s">
        <v>79</v>
      </c>
      <c r="B179" s="209" t="s">
        <v>535</v>
      </c>
      <c r="C179" s="234" t="s">
        <v>824</v>
      </c>
      <c r="D179" s="201" t="s">
        <v>166</v>
      </c>
      <c r="E179" s="201"/>
      <c r="F179" s="211">
        <v>-241382</v>
      </c>
      <c r="G179" s="211">
        <v>-24138</v>
      </c>
      <c r="H179" s="211">
        <v>-1207</v>
      </c>
      <c r="I179" s="202">
        <f t="shared" si="2"/>
        <v>-218451</v>
      </c>
      <c r="J179" s="209" t="s">
        <v>22</v>
      </c>
      <c r="K179" s="209" t="s">
        <v>23</v>
      </c>
      <c r="L179" s="201" t="s">
        <v>1068</v>
      </c>
      <c r="M179" s="209" t="s">
        <v>2741</v>
      </c>
      <c r="N179" s="201" t="s">
        <v>1030</v>
      </c>
      <c r="O179" s="209" t="s">
        <v>652</v>
      </c>
      <c r="P179" s="209" t="s">
        <v>652</v>
      </c>
      <c r="Q179" s="213" t="s">
        <v>674</v>
      </c>
      <c r="R179" s="213" t="s">
        <v>675</v>
      </c>
      <c r="S179" s="213" t="s">
        <v>824</v>
      </c>
      <c r="T179" s="209"/>
      <c r="U179" s="209"/>
      <c r="V179" s="209"/>
      <c r="W179" s="209"/>
      <c r="X179" s="209"/>
    </row>
    <row r="180" spans="1:24" s="205" customFormat="1" hidden="1" x14ac:dyDescent="0.2">
      <c r="A180" s="205" t="s">
        <v>35</v>
      </c>
      <c r="B180" s="205" t="s">
        <v>351</v>
      </c>
      <c r="C180" s="200" t="s">
        <v>824</v>
      </c>
      <c r="D180" s="201" t="s">
        <v>152</v>
      </c>
      <c r="E180" s="201"/>
      <c r="F180" s="206">
        <v>8107</v>
      </c>
      <c r="G180" s="206">
        <v>0</v>
      </c>
      <c r="H180" s="206">
        <v>0</v>
      </c>
      <c r="I180" s="202">
        <f t="shared" si="2"/>
        <v>8107</v>
      </c>
      <c r="J180" s="205" t="s">
        <v>25</v>
      </c>
      <c r="K180" s="205" t="s">
        <v>214</v>
      </c>
      <c r="L180" s="201" t="s">
        <v>1042</v>
      </c>
      <c r="M180" s="205" t="s">
        <v>2742</v>
      </c>
      <c r="N180" s="201" t="s">
        <v>1030</v>
      </c>
      <c r="O180" s="205" t="s">
        <v>652</v>
      </c>
      <c r="P180" s="205" t="s">
        <v>652</v>
      </c>
      <c r="Q180" s="208" t="s">
        <v>771</v>
      </c>
      <c r="R180" s="208" t="s">
        <v>772</v>
      </c>
      <c r="S180" s="208" t="s">
        <v>824</v>
      </c>
      <c r="U180" s="209"/>
      <c r="V180" s="209"/>
      <c r="W180" s="209"/>
      <c r="X180" s="209"/>
    </row>
    <row r="181" spans="1:24" s="205" customFormat="1" hidden="1" x14ac:dyDescent="0.2">
      <c r="A181" s="205" t="s">
        <v>2743</v>
      </c>
      <c r="B181" s="205" t="s">
        <v>2744</v>
      </c>
      <c r="C181" s="200" t="s">
        <v>824</v>
      </c>
      <c r="D181" s="199" t="s">
        <v>166</v>
      </c>
      <c r="E181" s="199"/>
      <c r="F181" s="206">
        <v>-64490</v>
      </c>
      <c r="G181" s="206">
        <v>0</v>
      </c>
      <c r="H181" s="206">
        <v>0</v>
      </c>
      <c r="I181" s="202">
        <f t="shared" si="2"/>
        <v>-64490</v>
      </c>
      <c r="J181" s="205" t="s">
        <v>25</v>
      </c>
      <c r="K181" s="205" t="s">
        <v>214</v>
      </c>
      <c r="L181" s="199" t="s">
        <v>1068</v>
      </c>
      <c r="M181" s="205" t="s">
        <v>2745</v>
      </c>
      <c r="N181" s="201" t="s">
        <v>1030</v>
      </c>
      <c r="O181" s="205" t="s">
        <v>652</v>
      </c>
      <c r="P181" s="205" t="s">
        <v>652</v>
      </c>
      <c r="Q181" s="208" t="s">
        <v>847</v>
      </c>
      <c r="R181" s="208" t="s">
        <v>848</v>
      </c>
      <c r="S181" s="208" t="s">
        <v>824</v>
      </c>
      <c r="U181" s="209"/>
      <c r="V181" s="209"/>
      <c r="W181" s="209"/>
      <c r="X181" s="209"/>
    </row>
    <row r="182" spans="1:24" s="205" customFormat="1" hidden="1" x14ac:dyDescent="0.2">
      <c r="A182" s="209" t="s">
        <v>164</v>
      </c>
      <c r="B182" s="209" t="s">
        <v>301</v>
      </c>
      <c r="C182" s="234" t="s">
        <v>824</v>
      </c>
      <c r="D182" s="201" t="s">
        <v>152</v>
      </c>
      <c r="E182" s="201"/>
      <c r="F182" s="211">
        <v>58535</v>
      </c>
      <c r="G182" s="206">
        <v>0</v>
      </c>
      <c r="H182" s="206">
        <v>0</v>
      </c>
      <c r="I182" s="202">
        <f t="shared" si="2"/>
        <v>58535</v>
      </c>
      <c r="J182" s="209" t="s">
        <v>25</v>
      </c>
      <c r="K182" s="209" t="s">
        <v>214</v>
      </c>
      <c r="L182" s="201" t="s">
        <v>1141</v>
      </c>
      <c r="M182" s="209" t="s">
        <v>2746</v>
      </c>
      <c r="N182" s="201" t="s">
        <v>1030</v>
      </c>
      <c r="O182" s="209" t="s">
        <v>652</v>
      </c>
      <c r="P182" s="209" t="s">
        <v>652</v>
      </c>
      <c r="Q182" s="213" t="s">
        <v>491</v>
      </c>
      <c r="R182" s="213" t="s">
        <v>884</v>
      </c>
      <c r="S182" s="213" t="s">
        <v>824</v>
      </c>
      <c r="T182" s="209"/>
      <c r="U182" s="209"/>
      <c r="V182" s="209"/>
      <c r="W182" s="209"/>
      <c r="X182" s="209"/>
    </row>
    <row r="183" spans="1:24" s="205" customFormat="1" hidden="1" x14ac:dyDescent="0.2">
      <c r="A183" s="205" t="s">
        <v>192</v>
      </c>
      <c r="B183" s="205" t="s">
        <v>617</v>
      </c>
      <c r="C183" s="200" t="s">
        <v>2747</v>
      </c>
      <c r="D183" s="201" t="s">
        <v>152</v>
      </c>
      <c r="E183" s="201"/>
      <c r="F183" s="206">
        <v>19292</v>
      </c>
      <c r="G183" s="206">
        <v>1929</v>
      </c>
      <c r="H183" s="206">
        <v>193</v>
      </c>
      <c r="I183" s="202">
        <f t="shared" si="2"/>
        <v>17556</v>
      </c>
      <c r="J183" s="205" t="s">
        <v>32</v>
      </c>
      <c r="K183" s="205" t="s">
        <v>29</v>
      </c>
      <c r="L183" s="201" t="s">
        <v>1042</v>
      </c>
      <c r="M183" s="205" t="s">
        <v>2748</v>
      </c>
      <c r="N183" s="201" t="s">
        <v>1030</v>
      </c>
      <c r="O183" s="205" t="s">
        <v>652</v>
      </c>
      <c r="P183" s="205" t="s">
        <v>652</v>
      </c>
      <c r="Q183" s="208" t="s">
        <v>653</v>
      </c>
      <c r="R183" s="208" t="s">
        <v>654</v>
      </c>
      <c r="S183" s="208" t="s">
        <v>2747</v>
      </c>
    </row>
    <row r="184" spans="1:24" s="205" customFormat="1" hidden="1" x14ac:dyDescent="0.2">
      <c r="A184" s="205" t="s">
        <v>2743</v>
      </c>
      <c r="B184" s="205" t="s">
        <v>2749</v>
      </c>
      <c r="C184" s="200" t="s">
        <v>2747</v>
      </c>
      <c r="D184" s="199" t="s">
        <v>152</v>
      </c>
      <c r="E184" s="199"/>
      <c r="F184" s="206">
        <v>691956</v>
      </c>
      <c r="G184" s="206">
        <v>69196</v>
      </c>
      <c r="H184" s="206">
        <v>6920</v>
      </c>
      <c r="I184" s="202">
        <f t="shared" si="2"/>
        <v>629680</v>
      </c>
      <c r="J184" s="205" t="s">
        <v>31</v>
      </c>
      <c r="K184" s="205" t="s">
        <v>29</v>
      </c>
      <c r="L184" s="199" t="s">
        <v>1028</v>
      </c>
      <c r="M184" s="205" t="s">
        <v>2750</v>
      </c>
      <c r="N184" s="201" t="s">
        <v>1030</v>
      </c>
      <c r="O184" s="205" t="s">
        <v>652</v>
      </c>
      <c r="P184" s="205" t="s">
        <v>652</v>
      </c>
      <c r="Q184" s="208" t="s">
        <v>2054</v>
      </c>
      <c r="R184" s="208" t="s">
        <v>2055</v>
      </c>
      <c r="S184" s="208" t="s">
        <v>2747</v>
      </c>
    </row>
    <row r="185" spans="1:24" s="205" customFormat="1" hidden="1" x14ac:dyDescent="0.2">
      <c r="A185" s="205" t="s">
        <v>2751</v>
      </c>
      <c r="B185" s="205" t="s">
        <v>2752</v>
      </c>
      <c r="C185" s="200" t="s">
        <v>2747</v>
      </c>
      <c r="D185" s="199" t="s">
        <v>152</v>
      </c>
      <c r="E185" s="199"/>
      <c r="F185" s="206">
        <v>29327</v>
      </c>
      <c r="G185" s="206">
        <v>2933</v>
      </c>
      <c r="H185" s="206">
        <v>293</v>
      </c>
      <c r="I185" s="202">
        <f t="shared" si="2"/>
        <v>26687</v>
      </c>
      <c r="J185" s="205" t="s">
        <v>329</v>
      </c>
      <c r="K185" s="205" t="s">
        <v>29</v>
      </c>
      <c r="L185" s="199" t="s">
        <v>1058</v>
      </c>
      <c r="M185" s="205" t="s">
        <v>2753</v>
      </c>
      <c r="N185" s="201" t="s">
        <v>1030</v>
      </c>
      <c r="O185" s="205" t="s">
        <v>652</v>
      </c>
      <c r="P185" s="205" t="s">
        <v>652</v>
      </c>
      <c r="Q185" s="208" t="s">
        <v>2054</v>
      </c>
      <c r="R185" s="208" t="s">
        <v>2055</v>
      </c>
      <c r="S185" s="208" t="s">
        <v>2747</v>
      </c>
    </row>
    <row r="186" spans="1:24" s="205" customFormat="1" hidden="1" x14ac:dyDescent="0.2">
      <c r="A186" s="205" t="s">
        <v>2754</v>
      </c>
      <c r="B186" s="205" t="s">
        <v>2755</v>
      </c>
      <c r="C186" s="200" t="s">
        <v>2747</v>
      </c>
      <c r="D186" s="199" t="s">
        <v>152</v>
      </c>
      <c r="E186" s="199"/>
      <c r="F186" s="206">
        <v>29327</v>
      </c>
      <c r="G186" s="206">
        <v>2933</v>
      </c>
      <c r="H186" s="206">
        <v>293</v>
      </c>
      <c r="I186" s="202">
        <f t="shared" si="2"/>
        <v>26687</v>
      </c>
      <c r="J186" s="205" t="s">
        <v>329</v>
      </c>
      <c r="K186" s="205" t="s">
        <v>29</v>
      </c>
      <c r="L186" s="199" t="s">
        <v>1058</v>
      </c>
      <c r="M186" s="205" t="s">
        <v>2756</v>
      </c>
      <c r="N186" s="201" t="s">
        <v>1030</v>
      </c>
      <c r="O186" s="205" t="s">
        <v>652</v>
      </c>
      <c r="P186" s="205" t="s">
        <v>652</v>
      </c>
      <c r="Q186" s="208" t="s">
        <v>2386</v>
      </c>
      <c r="R186" s="208" t="s">
        <v>2387</v>
      </c>
      <c r="S186" s="208" t="s">
        <v>2747</v>
      </c>
    </row>
    <row r="187" spans="1:24" s="205" customFormat="1" hidden="1" x14ac:dyDescent="0.2">
      <c r="A187" s="205" t="s">
        <v>2757</v>
      </c>
      <c r="B187" s="205" t="s">
        <v>2758</v>
      </c>
      <c r="C187" s="200" t="s">
        <v>2747</v>
      </c>
      <c r="D187" s="199" t="s">
        <v>152</v>
      </c>
      <c r="E187" s="199"/>
      <c r="F187" s="206">
        <v>104734</v>
      </c>
      <c r="G187" s="206">
        <v>10473</v>
      </c>
      <c r="H187" s="206">
        <v>1047</v>
      </c>
      <c r="I187" s="202">
        <f t="shared" si="2"/>
        <v>95308</v>
      </c>
      <c r="J187" s="205" t="s">
        <v>31</v>
      </c>
      <c r="K187" s="205" t="s">
        <v>29</v>
      </c>
      <c r="L187" s="199" t="s">
        <v>1058</v>
      </c>
      <c r="M187" s="205" t="s">
        <v>2759</v>
      </c>
      <c r="N187" s="201" t="s">
        <v>1393</v>
      </c>
      <c r="O187" s="205" t="s">
        <v>652</v>
      </c>
      <c r="P187" s="205" t="s">
        <v>652</v>
      </c>
      <c r="Q187" s="208" t="s">
        <v>1086</v>
      </c>
      <c r="R187" s="208" t="s">
        <v>1360</v>
      </c>
      <c r="S187" s="208" t="s">
        <v>2747</v>
      </c>
    </row>
    <row r="188" spans="1:24" s="205" customFormat="1" hidden="1" x14ac:dyDescent="0.2">
      <c r="A188" s="205" t="s">
        <v>2760</v>
      </c>
      <c r="B188" s="205" t="s">
        <v>2761</v>
      </c>
      <c r="C188" s="200" t="s">
        <v>2747</v>
      </c>
      <c r="D188" s="199" t="s">
        <v>152</v>
      </c>
      <c r="E188" s="199"/>
      <c r="F188" s="206">
        <v>51499</v>
      </c>
      <c r="G188" s="206">
        <v>5150</v>
      </c>
      <c r="H188" s="206">
        <v>515</v>
      </c>
      <c r="I188" s="202">
        <f t="shared" si="2"/>
        <v>46864</v>
      </c>
      <c r="J188" s="205" t="s">
        <v>329</v>
      </c>
      <c r="K188" s="205" t="s">
        <v>29</v>
      </c>
      <c r="L188" s="199" t="s">
        <v>1058</v>
      </c>
      <c r="M188" s="205" t="s">
        <v>2762</v>
      </c>
      <c r="N188" s="201" t="s">
        <v>1030</v>
      </c>
      <c r="O188" s="205" t="s">
        <v>652</v>
      </c>
      <c r="P188" s="205" t="s">
        <v>652</v>
      </c>
      <c r="Q188" s="208" t="s">
        <v>2386</v>
      </c>
      <c r="R188" s="208" t="s">
        <v>2387</v>
      </c>
      <c r="S188" s="208" t="s">
        <v>2747</v>
      </c>
    </row>
    <row r="189" spans="1:24" s="205" customFormat="1" hidden="1" x14ac:dyDescent="0.2">
      <c r="A189" s="205" t="s">
        <v>924</v>
      </c>
      <c r="B189" s="205" t="s">
        <v>925</v>
      </c>
      <c r="C189" s="200" t="s">
        <v>2747</v>
      </c>
      <c r="D189" s="199" t="s">
        <v>166</v>
      </c>
      <c r="E189" s="199"/>
      <c r="F189" s="206">
        <v>-148710</v>
      </c>
      <c r="G189" s="206">
        <v>-14871</v>
      </c>
      <c r="H189" s="206">
        <v>-1487</v>
      </c>
      <c r="I189" s="202">
        <f t="shared" si="2"/>
        <v>-135326</v>
      </c>
      <c r="J189" s="205" t="s">
        <v>926</v>
      </c>
      <c r="K189" s="205" t="s">
        <v>29</v>
      </c>
      <c r="L189" s="199" t="s">
        <v>1068</v>
      </c>
      <c r="M189" s="205" t="s">
        <v>2763</v>
      </c>
      <c r="N189" s="201" t="s">
        <v>2764</v>
      </c>
      <c r="O189" s="205" t="s">
        <v>652</v>
      </c>
      <c r="P189" s="205" t="s">
        <v>652</v>
      </c>
      <c r="Q189" s="214" t="s">
        <v>722</v>
      </c>
      <c r="R189" s="214" t="s">
        <v>654</v>
      </c>
      <c r="S189" s="214" t="s">
        <v>2747</v>
      </c>
    </row>
    <row r="190" spans="1:24" s="205" customFormat="1" hidden="1" x14ac:dyDescent="0.2">
      <c r="A190" s="209" t="s">
        <v>352</v>
      </c>
      <c r="B190" s="209" t="s">
        <v>2765</v>
      </c>
      <c r="C190" s="234" t="s">
        <v>2747</v>
      </c>
      <c r="D190" s="201" t="s">
        <v>152</v>
      </c>
      <c r="E190" s="201"/>
      <c r="F190" s="211">
        <v>25185</v>
      </c>
      <c r="G190" s="211">
        <v>2519</v>
      </c>
      <c r="H190" s="211">
        <v>252</v>
      </c>
      <c r="I190" s="202">
        <f t="shared" si="2"/>
        <v>22918</v>
      </c>
      <c r="J190" s="209" t="s">
        <v>133</v>
      </c>
      <c r="K190" s="209" t="s">
        <v>29</v>
      </c>
      <c r="L190" s="201" t="s">
        <v>1042</v>
      </c>
      <c r="M190" s="209" t="s">
        <v>2766</v>
      </c>
      <c r="N190" s="201" t="s">
        <v>1030</v>
      </c>
      <c r="O190" s="209" t="s">
        <v>652</v>
      </c>
      <c r="P190" s="209" t="s">
        <v>652</v>
      </c>
      <c r="Q190" s="213" t="s">
        <v>2767</v>
      </c>
      <c r="R190" s="213" t="s">
        <v>2768</v>
      </c>
      <c r="S190" s="213" t="s">
        <v>2747</v>
      </c>
      <c r="T190" s="209"/>
    </row>
    <row r="191" spans="1:24" s="205" customFormat="1" hidden="1" x14ac:dyDescent="0.2">
      <c r="A191" s="209" t="s">
        <v>169</v>
      </c>
      <c r="B191" s="209" t="s">
        <v>923</v>
      </c>
      <c r="C191" s="234" t="s">
        <v>2747</v>
      </c>
      <c r="D191" s="201" t="s">
        <v>152</v>
      </c>
      <c r="E191" s="201"/>
      <c r="F191" s="211">
        <v>48708</v>
      </c>
      <c r="G191" s="211">
        <v>4871</v>
      </c>
      <c r="H191" s="211">
        <v>487</v>
      </c>
      <c r="I191" s="202">
        <f t="shared" si="2"/>
        <v>44324</v>
      </c>
      <c r="J191" s="209" t="s">
        <v>90</v>
      </c>
      <c r="K191" s="209" t="s">
        <v>29</v>
      </c>
      <c r="L191" s="201" t="s">
        <v>1042</v>
      </c>
      <c r="M191" s="209" t="s">
        <v>2769</v>
      </c>
      <c r="N191" s="201" t="s">
        <v>1030</v>
      </c>
      <c r="O191" s="209" t="s">
        <v>2770</v>
      </c>
      <c r="P191" s="209" t="s">
        <v>2771</v>
      </c>
      <c r="Q191" s="213" t="s">
        <v>722</v>
      </c>
      <c r="R191" s="213" t="s">
        <v>723</v>
      </c>
      <c r="S191" s="213" t="s">
        <v>2747</v>
      </c>
      <c r="T191" s="209"/>
    </row>
    <row r="192" spans="1:24" s="205" customFormat="1" hidden="1" x14ac:dyDescent="0.2">
      <c r="A192" s="205" t="s">
        <v>116</v>
      </c>
      <c r="B192" s="205" t="s">
        <v>524</v>
      </c>
      <c r="C192" s="200" t="s">
        <v>2747</v>
      </c>
      <c r="D192" s="199" t="s">
        <v>152</v>
      </c>
      <c r="E192" s="199"/>
      <c r="F192" s="206">
        <v>7842</v>
      </c>
      <c r="G192" s="206">
        <v>784</v>
      </c>
      <c r="H192" s="206">
        <v>39</v>
      </c>
      <c r="I192" s="202">
        <f t="shared" si="2"/>
        <v>7097</v>
      </c>
      <c r="J192" s="205" t="s">
        <v>44</v>
      </c>
      <c r="K192" s="205" t="s">
        <v>23</v>
      </c>
      <c r="L192" s="201" t="s">
        <v>1042</v>
      </c>
      <c r="M192" s="205" t="s">
        <v>2772</v>
      </c>
      <c r="N192" s="201" t="s">
        <v>1030</v>
      </c>
      <c r="O192" s="205" t="s">
        <v>652</v>
      </c>
      <c r="P192" s="205" t="s">
        <v>652</v>
      </c>
      <c r="Q192" s="208" t="s">
        <v>666</v>
      </c>
      <c r="R192" s="208" t="s">
        <v>667</v>
      </c>
      <c r="S192" s="208" t="s">
        <v>2747</v>
      </c>
    </row>
    <row r="193" spans="1:24" s="205" customFormat="1" hidden="1" x14ac:dyDescent="0.2">
      <c r="A193" s="205" t="s">
        <v>251</v>
      </c>
      <c r="B193" s="205" t="s">
        <v>2773</v>
      </c>
      <c r="C193" s="200" t="s">
        <v>2747</v>
      </c>
      <c r="D193" s="201" t="s">
        <v>152</v>
      </c>
      <c r="E193" s="201"/>
      <c r="F193" s="206">
        <v>92412</v>
      </c>
      <c r="G193" s="206">
        <v>9241</v>
      </c>
      <c r="H193" s="206">
        <v>462</v>
      </c>
      <c r="I193" s="202">
        <f t="shared" si="2"/>
        <v>83633</v>
      </c>
      <c r="J193" s="205" t="s">
        <v>104</v>
      </c>
      <c r="K193" s="205" t="s">
        <v>23</v>
      </c>
      <c r="L193" s="201" t="s">
        <v>1028</v>
      </c>
      <c r="M193" s="205" t="s">
        <v>2774</v>
      </c>
      <c r="N193" s="201" t="s">
        <v>1072</v>
      </c>
      <c r="O193" s="205" t="s">
        <v>652</v>
      </c>
      <c r="P193" s="205" t="s">
        <v>652</v>
      </c>
      <c r="Q193" s="208" t="s">
        <v>2191</v>
      </c>
      <c r="R193" s="208" t="s">
        <v>2192</v>
      </c>
      <c r="S193" s="208" t="s">
        <v>2747</v>
      </c>
    </row>
    <row r="194" spans="1:24" s="205" customFormat="1" hidden="1" x14ac:dyDescent="0.2">
      <c r="A194" s="205" t="s">
        <v>251</v>
      </c>
      <c r="B194" s="205" t="s">
        <v>2775</v>
      </c>
      <c r="C194" s="200" t="s">
        <v>2747</v>
      </c>
      <c r="D194" s="201" t="s">
        <v>152</v>
      </c>
      <c r="E194" s="201"/>
      <c r="F194" s="206">
        <v>38699</v>
      </c>
      <c r="G194" s="206">
        <v>3870</v>
      </c>
      <c r="H194" s="206">
        <v>194</v>
      </c>
      <c r="I194" s="202">
        <f t="shared" si="2"/>
        <v>35023</v>
      </c>
      <c r="J194" s="205" t="s">
        <v>104</v>
      </c>
      <c r="K194" s="205" t="s">
        <v>23</v>
      </c>
      <c r="L194" s="201" t="s">
        <v>1028</v>
      </c>
      <c r="M194" s="205" t="s">
        <v>2776</v>
      </c>
      <c r="N194" s="201" t="s">
        <v>1072</v>
      </c>
      <c r="O194" s="205" t="s">
        <v>652</v>
      </c>
      <c r="P194" s="205" t="s">
        <v>652</v>
      </c>
      <c r="Q194" s="208" t="s">
        <v>2191</v>
      </c>
      <c r="R194" s="208" t="s">
        <v>2192</v>
      </c>
      <c r="S194" s="208" t="s">
        <v>2747</v>
      </c>
    </row>
    <row r="195" spans="1:24" s="205" customFormat="1" hidden="1" x14ac:dyDescent="0.2">
      <c r="A195" s="205" t="s">
        <v>251</v>
      </c>
      <c r="B195" s="205" t="s">
        <v>2777</v>
      </c>
      <c r="C195" s="200" t="s">
        <v>2747</v>
      </c>
      <c r="D195" s="201" t="s">
        <v>152</v>
      </c>
      <c r="E195" s="201"/>
      <c r="F195" s="206">
        <v>136214</v>
      </c>
      <c r="G195" s="206">
        <v>13621</v>
      </c>
      <c r="H195" s="206">
        <v>681</v>
      </c>
      <c r="I195" s="202">
        <f t="shared" ref="I195:I258" si="3">F195+H195-G195</f>
        <v>123274</v>
      </c>
      <c r="J195" s="205" t="s">
        <v>104</v>
      </c>
      <c r="K195" s="205" t="s">
        <v>23</v>
      </c>
      <c r="L195" s="201" t="s">
        <v>1028</v>
      </c>
      <c r="M195" s="205" t="s">
        <v>2778</v>
      </c>
      <c r="N195" s="201" t="s">
        <v>1072</v>
      </c>
      <c r="O195" s="205" t="s">
        <v>652</v>
      </c>
      <c r="P195" s="205" t="s">
        <v>652</v>
      </c>
      <c r="Q195" s="208" t="s">
        <v>2191</v>
      </c>
      <c r="R195" s="208" t="s">
        <v>2192</v>
      </c>
      <c r="S195" s="208" t="s">
        <v>2747</v>
      </c>
    </row>
    <row r="196" spans="1:24" s="205" customFormat="1" hidden="1" x14ac:dyDescent="0.2">
      <c r="A196" s="205" t="s">
        <v>251</v>
      </c>
      <c r="B196" s="205" t="s">
        <v>2779</v>
      </c>
      <c r="C196" s="200" t="s">
        <v>2747</v>
      </c>
      <c r="D196" s="201" t="s">
        <v>152</v>
      </c>
      <c r="E196" s="201"/>
      <c r="F196" s="206">
        <v>136959</v>
      </c>
      <c r="G196" s="206">
        <v>13696</v>
      </c>
      <c r="H196" s="206">
        <v>685</v>
      </c>
      <c r="I196" s="202">
        <f t="shared" si="3"/>
        <v>123948</v>
      </c>
      <c r="J196" s="205" t="s">
        <v>104</v>
      </c>
      <c r="K196" s="205" t="s">
        <v>23</v>
      </c>
      <c r="L196" s="201" t="s">
        <v>1028</v>
      </c>
      <c r="M196" s="205" t="s">
        <v>2780</v>
      </c>
      <c r="N196" s="201" t="s">
        <v>1072</v>
      </c>
      <c r="O196" s="205" t="s">
        <v>652</v>
      </c>
      <c r="P196" s="205" t="s">
        <v>652</v>
      </c>
      <c r="Q196" s="208" t="s">
        <v>2191</v>
      </c>
      <c r="R196" s="208" t="s">
        <v>2192</v>
      </c>
      <c r="S196" s="208" t="s">
        <v>2747</v>
      </c>
    </row>
    <row r="197" spans="1:24" s="205" customFormat="1" hidden="1" x14ac:dyDescent="0.2">
      <c r="A197" s="205" t="s">
        <v>251</v>
      </c>
      <c r="B197" s="205" t="s">
        <v>2781</v>
      </c>
      <c r="C197" s="200" t="s">
        <v>2747</v>
      </c>
      <c r="D197" s="201" t="s">
        <v>152</v>
      </c>
      <c r="E197" s="201"/>
      <c r="F197" s="206">
        <v>52087</v>
      </c>
      <c r="G197" s="206">
        <v>5209</v>
      </c>
      <c r="H197" s="206">
        <v>260</v>
      </c>
      <c r="I197" s="202">
        <f t="shared" si="3"/>
        <v>47138</v>
      </c>
      <c r="J197" s="205" t="s">
        <v>104</v>
      </c>
      <c r="K197" s="205" t="s">
        <v>23</v>
      </c>
      <c r="L197" s="201" t="s">
        <v>1028</v>
      </c>
      <c r="M197" s="205" t="s">
        <v>2782</v>
      </c>
      <c r="N197" s="201" t="s">
        <v>1072</v>
      </c>
      <c r="O197" s="205" t="s">
        <v>652</v>
      </c>
      <c r="P197" s="205" t="s">
        <v>652</v>
      </c>
      <c r="Q197" s="208" t="s">
        <v>2191</v>
      </c>
      <c r="R197" s="208" t="s">
        <v>2192</v>
      </c>
      <c r="S197" s="208" t="s">
        <v>2747</v>
      </c>
    </row>
    <row r="198" spans="1:24" s="205" customFormat="1" hidden="1" x14ac:dyDescent="0.2">
      <c r="A198" s="205" t="s">
        <v>244</v>
      </c>
      <c r="B198" s="205" t="s">
        <v>2783</v>
      </c>
      <c r="C198" s="200" t="s">
        <v>2747</v>
      </c>
      <c r="D198" s="201" t="s">
        <v>152</v>
      </c>
      <c r="E198" s="201"/>
      <c r="F198" s="206">
        <v>117590</v>
      </c>
      <c r="G198" s="206">
        <v>11759</v>
      </c>
      <c r="H198" s="206">
        <v>588</v>
      </c>
      <c r="I198" s="202">
        <f t="shared" si="3"/>
        <v>106419</v>
      </c>
      <c r="J198" s="205" t="s">
        <v>38</v>
      </c>
      <c r="K198" s="205" t="s">
        <v>23</v>
      </c>
      <c r="L198" s="201" t="s">
        <v>1042</v>
      </c>
      <c r="M198" s="205" t="s">
        <v>2784</v>
      </c>
      <c r="N198" s="201" t="s">
        <v>1030</v>
      </c>
      <c r="O198" s="205" t="s">
        <v>652</v>
      </c>
      <c r="P198" s="205" t="s">
        <v>652</v>
      </c>
      <c r="Q198" s="208" t="s">
        <v>738</v>
      </c>
      <c r="R198" s="208" t="s">
        <v>739</v>
      </c>
      <c r="S198" s="208" t="s">
        <v>2747</v>
      </c>
    </row>
    <row r="199" spans="1:24" s="205" customFormat="1" hidden="1" x14ac:dyDescent="0.2">
      <c r="A199" s="205" t="s">
        <v>2785</v>
      </c>
      <c r="B199" s="205" t="s">
        <v>2786</v>
      </c>
      <c r="C199" s="200" t="s">
        <v>2747</v>
      </c>
      <c r="D199" s="199" t="s">
        <v>152</v>
      </c>
      <c r="E199" s="199"/>
      <c r="F199" s="206">
        <v>38660</v>
      </c>
      <c r="G199" s="206">
        <v>3866</v>
      </c>
      <c r="H199" s="206">
        <v>193</v>
      </c>
      <c r="I199" s="202">
        <f t="shared" si="3"/>
        <v>34987</v>
      </c>
      <c r="J199" s="205" t="s">
        <v>631</v>
      </c>
      <c r="K199" s="205" t="s">
        <v>23</v>
      </c>
      <c r="L199" s="199" t="s">
        <v>1058</v>
      </c>
      <c r="M199" s="205" t="s">
        <v>2787</v>
      </c>
      <c r="N199" s="201" t="s">
        <v>1030</v>
      </c>
      <c r="O199" s="205" t="s">
        <v>652</v>
      </c>
      <c r="P199" s="205" t="s">
        <v>652</v>
      </c>
      <c r="Q199" s="208" t="s">
        <v>776</v>
      </c>
      <c r="R199" s="208" t="s">
        <v>2788</v>
      </c>
      <c r="S199" s="208" t="s">
        <v>2747</v>
      </c>
    </row>
    <row r="200" spans="1:24" s="205" customFormat="1" hidden="1" x14ac:dyDescent="0.2">
      <c r="A200" s="205" t="s">
        <v>2789</v>
      </c>
      <c r="B200" s="205" t="s">
        <v>2790</v>
      </c>
      <c r="C200" s="200" t="s">
        <v>2747</v>
      </c>
      <c r="D200" s="199" t="s">
        <v>152</v>
      </c>
      <c r="E200" s="199"/>
      <c r="F200" s="206">
        <v>124462</v>
      </c>
      <c r="G200" s="206">
        <v>12446</v>
      </c>
      <c r="H200" s="206">
        <v>622</v>
      </c>
      <c r="I200" s="202">
        <f t="shared" si="3"/>
        <v>112638</v>
      </c>
      <c r="J200" s="205" t="s">
        <v>48</v>
      </c>
      <c r="K200" s="205" t="s">
        <v>23</v>
      </c>
      <c r="L200" s="199" t="s">
        <v>1058</v>
      </c>
      <c r="M200" s="205" t="s">
        <v>2791</v>
      </c>
      <c r="N200" s="201" t="s">
        <v>1030</v>
      </c>
      <c r="O200" s="205" t="s">
        <v>652</v>
      </c>
      <c r="P200" s="205" t="s">
        <v>652</v>
      </c>
      <c r="Q200" s="208" t="s">
        <v>2792</v>
      </c>
      <c r="R200" s="208" t="s">
        <v>2793</v>
      </c>
      <c r="S200" s="208" t="s">
        <v>2747</v>
      </c>
    </row>
    <row r="201" spans="1:24" s="205" customFormat="1" hidden="1" x14ac:dyDescent="0.2">
      <c r="A201" s="205" t="s">
        <v>2789</v>
      </c>
      <c r="B201" s="205" t="s">
        <v>2794</v>
      </c>
      <c r="C201" s="200" t="s">
        <v>2747</v>
      </c>
      <c r="D201" s="199" t="s">
        <v>152</v>
      </c>
      <c r="E201" s="199"/>
      <c r="F201" s="206">
        <v>124463</v>
      </c>
      <c r="G201" s="206">
        <v>12446</v>
      </c>
      <c r="H201" s="206">
        <v>622</v>
      </c>
      <c r="I201" s="202">
        <f t="shared" si="3"/>
        <v>112639</v>
      </c>
      <c r="J201" s="205" t="s">
        <v>44</v>
      </c>
      <c r="K201" s="205" t="s">
        <v>23</v>
      </c>
      <c r="L201" s="199" t="s">
        <v>1028</v>
      </c>
      <c r="M201" s="205" t="s">
        <v>2795</v>
      </c>
      <c r="N201" s="201" t="s">
        <v>1030</v>
      </c>
      <c r="O201" s="205" t="s">
        <v>652</v>
      </c>
      <c r="P201" s="205" t="s">
        <v>652</v>
      </c>
      <c r="Q201" s="208" t="s">
        <v>2796</v>
      </c>
      <c r="R201" s="208" t="s">
        <v>2797</v>
      </c>
      <c r="S201" s="208" t="s">
        <v>2747</v>
      </c>
    </row>
    <row r="202" spans="1:24" s="205" customFormat="1" hidden="1" x14ac:dyDescent="0.2">
      <c r="A202" s="209" t="s">
        <v>105</v>
      </c>
      <c r="B202" s="209" t="s">
        <v>618</v>
      </c>
      <c r="C202" s="234" t="s">
        <v>2747</v>
      </c>
      <c r="D202" s="201" t="s">
        <v>152</v>
      </c>
      <c r="E202" s="201"/>
      <c r="F202" s="211">
        <v>14811</v>
      </c>
      <c r="G202" s="211">
        <v>1481</v>
      </c>
      <c r="H202" s="211">
        <v>74</v>
      </c>
      <c r="I202" s="202">
        <f t="shared" si="3"/>
        <v>13404</v>
      </c>
      <c r="J202" s="209" t="s">
        <v>44</v>
      </c>
      <c r="K202" s="209" t="s">
        <v>23</v>
      </c>
      <c r="L202" s="201" t="s">
        <v>1042</v>
      </c>
      <c r="M202" s="209" t="s">
        <v>2798</v>
      </c>
      <c r="N202" s="201" t="s">
        <v>1030</v>
      </c>
      <c r="O202" s="209" t="s">
        <v>652</v>
      </c>
      <c r="P202" s="209" t="s">
        <v>652</v>
      </c>
      <c r="Q202" s="213" t="s">
        <v>653</v>
      </c>
      <c r="R202" s="213" t="s">
        <v>654</v>
      </c>
      <c r="S202" s="213" t="s">
        <v>2747</v>
      </c>
      <c r="T202" s="209"/>
    </row>
    <row r="203" spans="1:24" s="205" customFormat="1" hidden="1" x14ac:dyDescent="0.2">
      <c r="A203" s="209" t="s">
        <v>105</v>
      </c>
      <c r="B203" s="209" t="s">
        <v>620</v>
      </c>
      <c r="C203" s="234" t="s">
        <v>2747</v>
      </c>
      <c r="D203" s="201" t="s">
        <v>152</v>
      </c>
      <c r="E203" s="201"/>
      <c r="F203" s="211">
        <v>17424</v>
      </c>
      <c r="G203" s="211">
        <v>1742</v>
      </c>
      <c r="H203" s="211">
        <v>87</v>
      </c>
      <c r="I203" s="202">
        <f t="shared" si="3"/>
        <v>15769</v>
      </c>
      <c r="J203" s="209" t="s">
        <v>44</v>
      </c>
      <c r="K203" s="209" t="s">
        <v>23</v>
      </c>
      <c r="L203" s="201" t="s">
        <v>1042</v>
      </c>
      <c r="M203" s="209" t="s">
        <v>2799</v>
      </c>
      <c r="N203" s="201" t="s">
        <v>1030</v>
      </c>
      <c r="O203" s="209" t="s">
        <v>652</v>
      </c>
      <c r="P203" s="209" t="s">
        <v>652</v>
      </c>
      <c r="Q203" s="213" t="s">
        <v>653</v>
      </c>
      <c r="R203" s="213" t="s">
        <v>654</v>
      </c>
      <c r="S203" s="213" t="s">
        <v>2747</v>
      </c>
      <c r="T203" s="209"/>
    </row>
    <row r="204" spans="1:24" s="205" customFormat="1" hidden="1" x14ac:dyDescent="0.2">
      <c r="A204" s="209" t="s">
        <v>140</v>
      </c>
      <c r="B204" s="209" t="s">
        <v>388</v>
      </c>
      <c r="C204" s="234" t="s">
        <v>2747</v>
      </c>
      <c r="D204" s="201" t="s">
        <v>152</v>
      </c>
      <c r="E204" s="201"/>
      <c r="F204" s="211">
        <v>5645</v>
      </c>
      <c r="G204" s="211">
        <v>565</v>
      </c>
      <c r="H204" s="211">
        <v>28</v>
      </c>
      <c r="I204" s="202">
        <f t="shared" si="3"/>
        <v>5108</v>
      </c>
      <c r="J204" s="209" t="s">
        <v>38</v>
      </c>
      <c r="K204" s="209" t="s">
        <v>23</v>
      </c>
      <c r="L204" s="201" t="s">
        <v>1042</v>
      </c>
      <c r="M204" s="209" t="s">
        <v>2800</v>
      </c>
      <c r="N204" s="201" t="s">
        <v>1030</v>
      </c>
      <c r="O204" s="209" t="s">
        <v>652</v>
      </c>
      <c r="P204" s="209" t="s">
        <v>652</v>
      </c>
      <c r="Q204" s="213" t="s">
        <v>696</v>
      </c>
      <c r="R204" s="213" t="s">
        <v>697</v>
      </c>
      <c r="S204" s="213" t="s">
        <v>2747</v>
      </c>
      <c r="T204" s="209"/>
    </row>
    <row r="205" spans="1:24" s="205" customFormat="1" hidden="1" x14ac:dyDescent="0.2">
      <c r="A205" s="209" t="s">
        <v>294</v>
      </c>
      <c r="B205" s="209" t="s">
        <v>2801</v>
      </c>
      <c r="C205" s="234" t="s">
        <v>2747</v>
      </c>
      <c r="D205" s="201" t="s">
        <v>152</v>
      </c>
      <c r="E205" s="201"/>
      <c r="F205" s="211">
        <v>2553684</v>
      </c>
      <c r="G205" s="211">
        <v>255368</v>
      </c>
      <c r="H205" s="211">
        <v>12768</v>
      </c>
      <c r="I205" s="202">
        <f t="shared" si="3"/>
        <v>2311084</v>
      </c>
      <c r="J205" s="209" t="s">
        <v>22</v>
      </c>
      <c r="K205" s="209" t="s">
        <v>23</v>
      </c>
      <c r="L205" s="201" t="s">
        <v>1028</v>
      </c>
      <c r="M205" s="209" t="s">
        <v>2802</v>
      </c>
      <c r="N205" s="201" t="s">
        <v>1030</v>
      </c>
      <c r="O205" s="209" t="s">
        <v>652</v>
      </c>
      <c r="P205" s="209" t="s">
        <v>652</v>
      </c>
      <c r="Q205" s="213" t="s">
        <v>755</v>
      </c>
      <c r="R205" s="213" t="s">
        <v>2803</v>
      </c>
      <c r="S205" s="213" t="s">
        <v>2747</v>
      </c>
      <c r="T205" s="209"/>
    </row>
    <row r="206" spans="1:24" s="205" customFormat="1" hidden="1" x14ac:dyDescent="0.2">
      <c r="A206" s="205" t="s">
        <v>148</v>
      </c>
      <c r="B206" s="205" t="s">
        <v>2804</v>
      </c>
      <c r="C206" s="200" t="s">
        <v>2747</v>
      </c>
      <c r="D206" s="201" t="s">
        <v>152</v>
      </c>
      <c r="E206" s="201"/>
      <c r="F206" s="206">
        <v>90872288</v>
      </c>
      <c r="G206" s="206">
        <v>0</v>
      </c>
      <c r="H206" s="206">
        <v>0</v>
      </c>
      <c r="I206" s="202">
        <f t="shared" si="3"/>
        <v>90872288</v>
      </c>
      <c r="J206" s="205" t="s">
        <v>25</v>
      </c>
      <c r="K206" s="205" t="s">
        <v>214</v>
      </c>
      <c r="L206" s="201" t="s">
        <v>1028</v>
      </c>
      <c r="M206" s="205" t="s">
        <v>2805</v>
      </c>
      <c r="N206" s="201" t="s">
        <v>652</v>
      </c>
      <c r="O206" s="205" t="s">
        <v>652</v>
      </c>
      <c r="P206" s="205" t="s">
        <v>652</v>
      </c>
      <c r="Q206" s="208" t="s">
        <v>2191</v>
      </c>
      <c r="R206" s="208" t="s">
        <v>2192</v>
      </c>
      <c r="S206" s="208" t="s">
        <v>2747</v>
      </c>
      <c r="U206" s="209"/>
      <c r="V206" s="209"/>
      <c r="W206" s="209"/>
      <c r="X206" s="209"/>
    </row>
    <row r="207" spans="1:24" s="205" customFormat="1" hidden="1" x14ac:dyDescent="0.2">
      <c r="A207" s="205" t="s">
        <v>148</v>
      </c>
      <c r="B207" s="205" t="s">
        <v>270</v>
      </c>
      <c r="C207" s="200" t="s">
        <v>2747</v>
      </c>
      <c r="D207" s="201" t="s">
        <v>166</v>
      </c>
      <c r="E207" s="201"/>
      <c r="F207" s="206">
        <v>-348426</v>
      </c>
      <c r="G207" s="206">
        <v>0</v>
      </c>
      <c r="H207" s="206">
        <v>0</v>
      </c>
      <c r="I207" s="202">
        <f t="shared" si="3"/>
        <v>-348426</v>
      </c>
      <c r="J207" s="205" t="s">
        <v>25</v>
      </c>
      <c r="K207" s="205" t="s">
        <v>214</v>
      </c>
      <c r="L207" s="201" t="s">
        <v>1068</v>
      </c>
      <c r="M207" s="205" t="s">
        <v>2806</v>
      </c>
      <c r="N207" s="201" t="s">
        <v>652</v>
      </c>
      <c r="O207" s="205" t="s">
        <v>652</v>
      </c>
      <c r="P207" s="205" t="s">
        <v>652</v>
      </c>
      <c r="Q207" s="208" t="s">
        <v>677</v>
      </c>
      <c r="R207" s="208" t="s">
        <v>678</v>
      </c>
      <c r="S207" s="208" t="s">
        <v>2747</v>
      </c>
      <c r="U207" s="209"/>
      <c r="V207" s="209"/>
      <c r="W207" s="209"/>
      <c r="X207" s="209"/>
    </row>
    <row r="208" spans="1:24" s="205" customFormat="1" hidden="1" x14ac:dyDescent="0.2">
      <c r="A208" s="205" t="s">
        <v>119</v>
      </c>
      <c r="B208" s="205" t="s">
        <v>2807</v>
      </c>
      <c r="C208" s="200" t="s">
        <v>2793</v>
      </c>
      <c r="D208" s="201" t="s">
        <v>152</v>
      </c>
      <c r="E208" s="201"/>
      <c r="F208" s="206">
        <v>51743</v>
      </c>
      <c r="G208" s="206">
        <v>5174</v>
      </c>
      <c r="H208" s="206">
        <v>517</v>
      </c>
      <c r="I208" s="202">
        <f t="shared" si="3"/>
        <v>47086</v>
      </c>
      <c r="J208" s="205" t="s">
        <v>31</v>
      </c>
      <c r="K208" s="205" t="s">
        <v>29</v>
      </c>
      <c r="L208" s="201" t="s">
        <v>1058</v>
      </c>
      <c r="M208" s="205" t="s">
        <v>2808</v>
      </c>
      <c r="N208" s="201" t="s">
        <v>1030</v>
      </c>
      <c r="O208" s="205" t="s">
        <v>652</v>
      </c>
      <c r="P208" s="205" t="s">
        <v>652</v>
      </c>
      <c r="Q208" s="208" t="s">
        <v>2191</v>
      </c>
      <c r="R208" s="208" t="s">
        <v>2192</v>
      </c>
      <c r="S208" s="208" t="s">
        <v>2793</v>
      </c>
    </row>
    <row r="209" spans="1:24" s="205" customFormat="1" hidden="1" x14ac:dyDescent="0.2">
      <c r="A209" s="205" t="s">
        <v>125</v>
      </c>
      <c r="B209" s="205" t="s">
        <v>2809</v>
      </c>
      <c r="C209" s="200" t="s">
        <v>2793</v>
      </c>
      <c r="D209" s="201" t="s">
        <v>152</v>
      </c>
      <c r="E209" s="201"/>
      <c r="F209" s="206">
        <v>337454</v>
      </c>
      <c r="G209" s="206">
        <v>33745</v>
      </c>
      <c r="H209" s="206">
        <v>3375</v>
      </c>
      <c r="I209" s="202">
        <f t="shared" si="3"/>
        <v>307084</v>
      </c>
      <c r="J209" s="205" t="s">
        <v>31</v>
      </c>
      <c r="K209" s="205" t="s">
        <v>29</v>
      </c>
      <c r="L209" s="201" t="s">
        <v>1028</v>
      </c>
      <c r="M209" s="205" t="s">
        <v>2810</v>
      </c>
      <c r="N209" s="201" t="s">
        <v>1030</v>
      </c>
      <c r="O209" s="205" t="s">
        <v>652</v>
      </c>
      <c r="P209" s="205" t="s">
        <v>652</v>
      </c>
      <c r="Q209" s="208" t="s">
        <v>2191</v>
      </c>
      <c r="R209" s="208" t="s">
        <v>2192</v>
      </c>
      <c r="S209" s="208" t="s">
        <v>2793</v>
      </c>
    </row>
    <row r="210" spans="1:24" s="205" customFormat="1" hidden="1" x14ac:dyDescent="0.2">
      <c r="A210" s="205" t="s">
        <v>125</v>
      </c>
      <c r="B210" s="205" t="s">
        <v>2811</v>
      </c>
      <c r="C210" s="200" t="s">
        <v>2793</v>
      </c>
      <c r="D210" s="201" t="s">
        <v>152</v>
      </c>
      <c r="E210" s="201"/>
      <c r="F210" s="206">
        <v>56130</v>
      </c>
      <c r="G210" s="206">
        <v>5613</v>
      </c>
      <c r="H210" s="206">
        <v>561</v>
      </c>
      <c r="I210" s="202">
        <f t="shared" si="3"/>
        <v>51078</v>
      </c>
      <c r="J210" s="205" t="s">
        <v>31</v>
      </c>
      <c r="K210" s="205" t="s">
        <v>29</v>
      </c>
      <c r="L210" s="201" t="s">
        <v>1028</v>
      </c>
      <c r="M210" s="205" t="s">
        <v>2812</v>
      </c>
      <c r="N210" s="201" t="s">
        <v>1030</v>
      </c>
      <c r="O210" s="205" t="s">
        <v>652</v>
      </c>
      <c r="P210" s="205" t="s">
        <v>652</v>
      </c>
      <c r="Q210" s="208" t="s">
        <v>2191</v>
      </c>
      <c r="R210" s="208" t="s">
        <v>2192</v>
      </c>
      <c r="S210" s="208" t="s">
        <v>2793</v>
      </c>
    </row>
    <row r="211" spans="1:24" s="205" customFormat="1" hidden="1" x14ac:dyDescent="0.2">
      <c r="A211" s="205" t="s">
        <v>125</v>
      </c>
      <c r="B211" s="205" t="s">
        <v>2813</v>
      </c>
      <c r="C211" s="200" t="s">
        <v>2793</v>
      </c>
      <c r="D211" s="201" t="s">
        <v>152</v>
      </c>
      <c r="E211" s="201"/>
      <c r="F211" s="206">
        <v>48753</v>
      </c>
      <c r="G211" s="206">
        <v>4875</v>
      </c>
      <c r="H211" s="206">
        <v>488</v>
      </c>
      <c r="I211" s="202">
        <f t="shared" si="3"/>
        <v>44366</v>
      </c>
      <c r="J211" s="205" t="s">
        <v>31</v>
      </c>
      <c r="K211" s="205" t="s">
        <v>29</v>
      </c>
      <c r="L211" s="201" t="s">
        <v>1028</v>
      </c>
      <c r="M211" s="205" t="s">
        <v>2814</v>
      </c>
      <c r="N211" s="201" t="s">
        <v>1030</v>
      </c>
      <c r="O211" s="205" t="s">
        <v>652</v>
      </c>
      <c r="P211" s="205" t="s">
        <v>652</v>
      </c>
      <c r="Q211" s="208" t="s">
        <v>2191</v>
      </c>
      <c r="R211" s="208" t="s">
        <v>2192</v>
      </c>
      <c r="S211" s="208" t="s">
        <v>2793</v>
      </c>
    </row>
    <row r="212" spans="1:24" s="205" customFormat="1" hidden="1" x14ac:dyDescent="0.2">
      <c r="A212" s="205" t="s">
        <v>125</v>
      </c>
      <c r="B212" s="205" t="s">
        <v>2815</v>
      </c>
      <c r="C212" s="200" t="s">
        <v>2793</v>
      </c>
      <c r="D212" s="201" t="s">
        <v>152</v>
      </c>
      <c r="E212" s="201"/>
      <c r="F212" s="206">
        <v>38699</v>
      </c>
      <c r="G212" s="206">
        <v>3870</v>
      </c>
      <c r="H212" s="206">
        <v>387</v>
      </c>
      <c r="I212" s="202">
        <f t="shared" si="3"/>
        <v>35216</v>
      </c>
      <c r="J212" s="205" t="s">
        <v>31</v>
      </c>
      <c r="K212" s="205" t="s">
        <v>29</v>
      </c>
      <c r="L212" s="201" t="s">
        <v>1028</v>
      </c>
      <c r="M212" s="205" t="s">
        <v>2816</v>
      </c>
      <c r="N212" s="201" t="s">
        <v>1030</v>
      </c>
      <c r="O212" s="205" t="s">
        <v>652</v>
      </c>
      <c r="P212" s="205" t="s">
        <v>652</v>
      </c>
      <c r="Q212" s="208" t="s">
        <v>2191</v>
      </c>
      <c r="R212" s="208" t="s">
        <v>2192</v>
      </c>
      <c r="S212" s="208" t="s">
        <v>2793</v>
      </c>
    </row>
    <row r="213" spans="1:24" s="205" customFormat="1" hidden="1" x14ac:dyDescent="0.2">
      <c r="A213" s="205" t="s">
        <v>125</v>
      </c>
      <c r="B213" s="205" t="s">
        <v>2817</v>
      </c>
      <c r="C213" s="200" t="s">
        <v>2793</v>
      </c>
      <c r="D213" s="201" t="s">
        <v>152</v>
      </c>
      <c r="E213" s="201"/>
      <c r="F213" s="206">
        <v>157447</v>
      </c>
      <c r="G213" s="206">
        <v>15745</v>
      </c>
      <c r="H213" s="206">
        <v>1574</v>
      </c>
      <c r="I213" s="202">
        <f t="shared" si="3"/>
        <v>143276</v>
      </c>
      <c r="J213" s="205" t="s">
        <v>31</v>
      </c>
      <c r="K213" s="205" t="s">
        <v>29</v>
      </c>
      <c r="L213" s="201" t="s">
        <v>1028</v>
      </c>
      <c r="M213" s="205" t="s">
        <v>2818</v>
      </c>
      <c r="N213" s="201" t="s">
        <v>1030</v>
      </c>
      <c r="O213" s="205" t="s">
        <v>652</v>
      </c>
      <c r="P213" s="205" t="s">
        <v>652</v>
      </c>
      <c r="Q213" s="208" t="s">
        <v>2191</v>
      </c>
      <c r="R213" s="208" t="s">
        <v>2192</v>
      </c>
      <c r="S213" s="208" t="s">
        <v>2793</v>
      </c>
    </row>
    <row r="214" spans="1:24" s="205" customFormat="1" hidden="1" x14ac:dyDescent="0.2">
      <c r="A214" s="205" t="s">
        <v>125</v>
      </c>
      <c r="B214" s="205" t="s">
        <v>2819</v>
      </c>
      <c r="C214" s="200" t="s">
        <v>2793</v>
      </c>
      <c r="D214" s="201" t="s">
        <v>152</v>
      </c>
      <c r="E214" s="201"/>
      <c r="F214" s="206">
        <v>43177</v>
      </c>
      <c r="G214" s="206">
        <v>4318</v>
      </c>
      <c r="H214" s="206">
        <v>432</v>
      </c>
      <c r="I214" s="202">
        <f t="shared" si="3"/>
        <v>39291</v>
      </c>
      <c r="J214" s="205" t="s">
        <v>31</v>
      </c>
      <c r="K214" s="205" t="s">
        <v>29</v>
      </c>
      <c r="L214" s="201" t="s">
        <v>1028</v>
      </c>
      <c r="M214" s="205" t="s">
        <v>2820</v>
      </c>
      <c r="N214" s="201" t="s">
        <v>1030</v>
      </c>
      <c r="O214" s="205" t="s">
        <v>652</v>
      </c>
      <c r="P214" s="205" t="s">
        <v>652</v>
      </c>
      <c r="Q214" s="208" t="s">
        <v>2191</v>
      </c>
      <c r="R214" s="208" t="s">
        <v>2192</v>
      </c>
      <c r="S214" s="208" t="s">
        <v>2793</v>
      </c>
    </row>
    <row r="215" spans="1:24" s="205" customFormat="1" hidden="1" x14ac:dyDescent="0.2">
      <c r="A215" s="205" t="s">
        <v>125</v>
      </c>
      <c r="B215" s="205" t="s">
        <v>2821</v>
      </c>
      <c r="C215" s="200" t="s">
        <v>2793</v>
      </c>
      <c r="D215" s="201" t="s">
        <v>152</v>
      </c>
      <c r="E215" s="201"/>
      <c r="F215" s="206">
        <v>69853</v>
      </c>
      <c r="G215" s="206">
        <v>6985</v>
      </c>
      <c r="H215" s="206">
        <v>699</v>
      </c>
      <c r="I215" s="202">
        <f t="shared" si="3"/>
        <v>63567</v>
      </c>
      <c r="J215" s="205" t="s">
        <v>31</v>
      </c>
      <c r="K215" s="205" t="s">
        <v>29</v>
      </c>
      <c r="L215" s="201" t="s">
        <v>1028</v>
      </c>
      <c r="M215" s="205" t="s">
        <v>2822</v>
      </c>
      <c r="N215" s="201" t="s">
        <v>1030</v>
      </c>
      <c r="O215" s="205" t="s">
        <v>652</v>
      </c>
      <c r="P215" s="205" t="s">
        <v>652</v>
      </c>
      <c r="Q215" s="208" t="s">
        <v>2191</v>
      </c>
      <c r="R215" s="208" t="s">
        <v>2192</v>
      </c>
      <c r="S215" s="208" t="s">
        <v>2793</v>
      </c>
    </row>
    <row r="216" spans="1:24" s="205" customFormat="1" hidden="1" x14ac:dyDescent="0.2">
      <c r="A216" s="205" t="s">
        <v>125</v>
      </c>
      <c r="B216" s="205" t="s">
        <v>2823</v>
      </c>
      <c r="C216" s="200" t="s">
        <v>2793</v>
      </c>
      <c r="D216" s="201" t="s">
        <v>152</v>
      </c>
      <c r="E216" s="201"/>
      <c r="F216" s="206">
        <v>52243</v>
      </c>
      <c r="G216" s="206">
        <v>5224</v>
      </c>
      <c r="H216" s="206">
        <v>522</v>
      </c>
      <c r="I216" s="202">
        <f t="shared" si="3"/>
        <v>47541</v>
      </c>
      <c r="J216" s="205" t="s">
        <v>31</v>
      </c>
      <c r="K216" s="205" t="s">
        <v>29</v>
      </c>
      <c r="L216" s="201" t="s">
        <v>1028</v>
      </c>
      <c r="M216" s="205" t="s">
        <v>2824</v>
      </c>
      <c r="N216" s="201" t="s">
        <v>1030</v>
      </c>
      <c r="O216" s="205" t="s">
        <v>652</v>
      </c>
      <c r="P216" s="205" t="s">
        <v>652</v>
      </c>
      <c r="Q216" s="208" t="s">
        <v>2191</v>
      </c>
      <c r="R216" s="208" t="s">
        <v>2192</v>
      </c>
      <c r="S216" s="208" t="s">
        <v>2793</v>
      </c>
    </row>
    <row r="217" spans="1:24" s="205" customFormat="1" hidden="1" x14ac:dyDescent="0.2">
      <c r="A217" s="205" t="s">
        <v>125</v>
      </c>
      <c r="B217" s="205" t="s">
        <v>2825</v>
      </c>
      <c r="C217" s="200" t="s">
        <v>2793</v>
      </c>
      <c r="D217" s="201" t="s">
        <v>152</v>
      </c>
      <c r="E217" s="201"/>
      <c r="F217" s="206">
        <v>168727</v>
      </c>
      <c r="G217" s="206">
        <v>16873</v>
      </c>
      <c r="H217" s="206">
        <v>1687</v>
      </c>
      <c r="I217" s="202">
        <f t="shared" si="3"/>
        <v>153541</v>
      </c>
      <c r="J217" s="205" t="s">
        <v>31</v>
      </c>
      <c r="K217" s="205" t="s">
        <v>29</v>
      </c>
      <c r="L217" s="201" t="s">
        <v>1028</v>
      </c>
      <c r="M217" s="205" t="s">
        <v>2826</v>
      </c>
      <c r="N217" s="201" t="s">
        <v>1030</v>
      </c>
      <c r="O217" s="205" t="s">
        <v>652</v>
      </c>
      <c r="P217" s="205" t="s">
        <v>652</v>
      </c>
      <c r="Q217" s="208" t="s">
        <v>2191</v>
      </c>
      <c r="R217" s="208" t="s">
        <v>2192</v>
      </c>
      <c r="S217" s="208" t="s">
        <v>2793</v>
      </c>
    </row>
    <row r="218" spans="1:24" s="205" customFormat="1" hidden="1" x14ac:dyDescent="0.2">
      <c r="A218" s="205" t="s">
        <v>125</v>
      </c>
      <c r="B218" s="205" t="s">
        <v>2827</v>
      </c>
      <c r="C218" s="200" t="s">
        <v>2793</v>
      </c>
      <c r="D218" s="201" t="s">
        <v>152</v>
      </c>
      <c r="E218" s="201"/>
      <c r="F218" s="206">
        <v>90809</v>
      </c>
      <c r="G218" s="206">
        <v>9081</v>
      </c>
      <c r="H218" s="206">
        <v>908</v>
      </c>
      <c r="I218" s="202">
        <f t="shared" si="3"/>
        <v>82636</v>
      </c>
      <c r="J218" s="205" t="s">
        <v>31</v>
      </c>
      <c r="K218" s="205" t="s">
        <v>29</v>
      </c>
      <c r="L218" s="201" t="s">
        <v>1028</v>
      </c>
      <c r="M218" s="205" t="s">
        <v>2828</v>
      </c>
      <c r="N218" s="201" t="s">
        <v>1030</v>
      </c>
      <c r="O218" s="205" t="s">
        <v>652</v>
      </c>
      <c r="P218" s="205" t="s">
        <v>652</v>
      </c>
      <c r="Q218" s="208" t="s">
        <v>2191</v>
      </c>
      <c r="R218" s="208" t="s">
        <v>2192</v>
      </c>
      <c r="S218" s="208" t="s">
        <v>2793</v>
      </c>
    </row>
    <row r="219" spans="1:24" s="205" customFormat="1" hidden="1" x14ac:dyDescent="0.2">
      <c r="A219" s="205" t="s">
        <v>125</v>
      </c>
      <c r="B219" s="205" t="s">
        <v>2829</v>
      </c>
      <c r="C219" s="200" t="s">
        <v>2793</v>
      </c>
      <c r="D219" s="201" t="s">
        <v>152</v>
      </c>
      <c r="E219" s="201"/>
      <c r="F219" s="206">
        <v>30095</v>
      </c>
      <c r="G219" s="206">
        <v>3010</v>
      </c>
      <c r="H219" s="206">
        <v>301</v>
      </c>
      <c r="I219" s="202">
        <f t="shared" si="3"/>
        <v>27386</v>
      </c>
      <c r="J219" s="205" t="s">
        <v>31</v>
      </c>
      <c r="K219" s="205" t="s">
        <v>29</v>
      </c>
      <c r="L219" s="201" t="s">
        <v>1028</v>
      </c>
      <c r="M219" s="205" t="s">
        <v>2830</v>
      </c>
      <c r="N219" s="201" t="s">
        <v>1030</v>
      </c>
      <c r="O219" s="205" t="s">
        <v>652</v>
      </c>
      <c r="P219" s="205" t="s">
        <v>652</v>
      </c>
      <c r="Q219" s="208" t="s">
        <v>2191</v>
      </c>
      <c r="R219" s="208" t="s">
        <v>2192</v>
      </c>
      <c r="S219" s="208" t="s">
        <v>2793</v>
      </c>
    </row>
    <row r="220" spans="1:24" s="205" customFormat="1" hidden="1" x14ac:dyDescent="0.2">
      <c r="A220" s="205" t="s">
        <v>251</v>
      </c>
      <c r="B220" s="205" t="s">
        <v>2831</v>
      </c>
      <c r="C220" s="200" t="s">
        <v>2793</v>
      </c>
      <c r="D220" s="201" t="s">
        <v>152</v>
      </c>
      <c r="E220" s="201"/>
      <c r="F220" s="206">
        <v>52244</v>
      </c>
      <c r="G220" s="206">
        <v>5224</v>
      </c>
      <c r="H220" s="206">
        <v>261</v>
      </c>
      <c r="I220" s="202">
        <f t="shared" si="3"/>
        <v>47281</v>
      </c>
      <c r="J220" s="205" t="s">
        <v>104</v>
      </c>
      <c r="K220" s="205" t="s">
        <v>23</v>
      </c>
      <c r="L220" s="201" t="s">
        <v>1028</v>
      </c>
      <c r="M220" s="205" t="s">
        <v>2832</v>
      </c>
      <c r="N220" s="201" t="s">
        <v>1072</v>
      </c>
      <c r="O220" s="205" t="s">
        <v>652</v>
      </c>
      <c r="P220" s="205" t="s">
        <v>652</v>
      </c>
      <c r="Q220" s="208" t="s">
        <v>2191</v>
      </c>
      <c r="R220" s="208" t="s">
        <v>2192</v>
      </c>
      <c r="S220" s="208" t="s">
        <v>2793</v>
      </c>
    </row>
    <row r="221" spans="1:24" s="205" customFormat="1" hidden="1" x14ac:dyDescent="0.2">
      <c r="A221" s="205" t="s">
        <v>24</v>
      </c>
      <c r="B221" s="205" t="s">
        <v>622</v>
      </c>
      <c r="C221" s="200" t="s">
        <v>2793</v>
      </c>
      <c r="D221" s="201" t="s">
        <v>152</v>
      </c>
      <c r="E221" s="201"/>
      <c r="F221" s="206">
        <v>97566</v>
      </c>
      <c r="G221" s="206">
        <v>0</v>
      </c>
      <c r="H221" s="206">
        <v>0</v>
      </c>
      <c r="I221" s="202">
        <f t="shared" si="3"/>
        <v>97566</v>
      </c>
      <c r="J221" s="205" t="s">
        <v>25</v>
      </c>
      <c r="K221" s="205" t="s">
        <v>214</v>
      </c>
      <c r="L221" s="201" t="s">
        <v>1042</v>
      </c>
      <c r="M221" s="205" t="s">
        <v>2833</v>
      </c>
      <c r="N221" s="201" t="s">
        <v>1030</v>
      </c>
      <c r="O221" s="205" t="s">
        <v>652</v>
      </c>
      <c r="P221" s="205" t="s">
        <v>652</v>
      </c>
      <c r="Q221" s="208" t="s">
        <v>653</v>
      </c>
      <c r="R221" s="208" t="s">
        <v>654</v>
      </c>
      <c r="S221" s="208" t="s">
        <v>2793</v>
      </c>
      <c r="U221" s="209"/>
      <c r="V221" s="209"/>
      <c r="W221" s="209"/>
      <c r="X221" s="209"/>
    </row>
    <row r="222" spans="1:24" s="205" customFormat="1" hidden="1" x14ac:dyDescent="0.2">
      <c r="A222" s="205" t="s">
        <v>184</v>
      </c>
      <c r="B222" s="205" t="s">
        <v>2834</v>
      </c>
      <c r="C222" s="200" t="s">
        <v>755</v>
      </c>
      <c r="D222" s="201" t="s">
        <v>152</v>
      </c>
      <c r="E222" s="201"/>
      <c r="F222" s="206">
        <v>90560</v>
      </c>
      <c r="G222" s="206">
        <v>9056</v>
      </c>
      <c r="H222" s="206">
        <v>906</v>
      </c>
      <c r="I222" s="202">
        <f t="shared" si="3"/>
        <v>82410</v>
      </c>
      <c r="J222" s="205" t="s">
        <v>46</v>
      </c>
      <c r="K222" s="205" t="s">
        <v>29</v>
      </c>
      <c r="L222" s="201" t="s">
        <v>1028</v>
      </c>
      <c r="M222" s="205" t="s">
        <v>2835</v>
      </c>
      <c r="N222" s="201" t="s">
        <v>1030</v>
      </c>
      <c r="O222" s="205" t="s">
        <v>652</v>
      </c>
      <c r="P222" s="205" t="s">
        <v>652</v>
      </c>
      <c r="Q222" s="208" t="s">
        <v>651</v>
      </c>
      <c r="R222" s="208" t="s">
        <v>673</v>
      </c>
      <c r="S222" s="208" t="s">
        <v>755</v>
      </c>
    </row>
    <row r="223" spans="1:24" s="205" customFormat="1" hidden="1" x14ac:dyDescent="0.2">
      <c r="A223" s="205" t="s">
        <v>184</v>
      </c>
      <c r="B223" s="205" t="s">
        <v>2836</v>
      </c>
      <c r="C223" s="200" t="s">
        <v>755</v>
      </c>
      <c r="D223" s="201" t="s">
        <v>152</v>
      </c>
      <c r="E223" s="201"/>
      <c r="F223" s="206">
        <v>41308</v>
      </c>
      <c r="G223" s="206">
        <v>4131</v>
      </c>
      <c r="H223" s="206">
        <v>413</v>
      </c>
      <c r="I223" s="202">
        <f t="shared" si="3"/>
        <v>37590</v>
      </c>
      <c r="J223" s="205" t="s">
        <v>46</v>
      </c>
      <c r="K223" s="205" t="s">
        <v>29</v>
      </c>
      <c r="L223" s="201" t="s">
        <v>1028</v>
      </c>
      <c r="M223" s="205" t="s">
        <v>2837</v>
      </c>
      <c r="N223" s="201" t="s">
        <v>1030</v>
      </c>
      <c r="O223" s="205" t="s">
        <v>652</v>
      </c>
      <c r="P223" s="205" t="s">
        <v>652</v>
      </c>
      <c r="Q223" s="208" t="s">
        <v>651</v>
      </c>
      <c r="R223" s="208" t="s">
        <v>673</v>
      </c>
      <c r="S223" s="208" t="s">
        <v>755</v>
      </c>
    </row>
    <row r="224" spans="1:24" s="205" customFormat="1" hidden="1" x14ac:dyDescent="0.2">
      <c r="A224" s="205" t="s">
        <v>785</v>
      </c>
      <c r="B224" s="205" t="s">
        <v>2838</v>
      </c>
      <c r="C224" s="200" t="s">
        <v>755</v>
      </c>
      <c r="D224" s="199" t="s">
        <v>152</v>
      </c>
      <c r="E224" s="199"/>
      <c r="F224" s="206">
        <v>92372</v>
      </c>
      <c r="G224" s="206">
        <v>9237</v>
      </c>
      <c r="H224" s="206">
        <v>924</v>
      </c>
      <c r="I224" s="202">
        <f t="shared" si="3"/>
        <v>84059</v>
      </c>
      <c r="J224" s="205" t="s">
        <v>95</v>
      </c>
      <c r="K224" s="205" t="s">
        <v>29</v>
      </c>
      <c r="L224" s="199" t="s">
        <v>1058</v>
      </c>
      <c r="M224" s="205" t="s">
        <v>2839</v>
      </c>
      <c r="N224" s="201" t="s">
        <v>1030</v>
      </c>
      <c r="O224" s="205" t="s">
        <v>652</v>
      </c>
      <c r="P224" s="205" t="s">
        <v>652</v>
      </c>
      <c r="Q224" s="208" t="s">
        <v>2191</v>
      </c>
      <c r="R224" s="208" t="s">
        <v>2192</v>
      </c>
      <c r="S224" s="208" t="s">
        <v>755</v>
      </c>
    </row>
    <row r="225" spans="1:20" s="205" customFormat="1" hidden="1" x14ac:dyDescent="0.2">
      <c r="A225" s="205" t="s">
        <v>785</v>
      </c>
      <c r="B225" s="205" t="s">
        <v>2840</v>
      </c>
      <c r="C225" s="200" t="s">
        <v>755</v>
      </c>
      <c r="D225" s="199" t="s">
        <v>152</v>
      </c>
      <c r="E225" s="199"/>
      <c r="F225" s="206">
        <v>38660</v>
      </c>
      <c r="G225" s="206">
        <v>3866</v>
      </c>
      <c r="H225" s="206">
        <v>387</v>
      </c>
      <c r="I225" s="202">
        <f t="shared" si="3"/>
        <v>35181</v>
      </c>
      <c r="J225" s="205" t="s">
        <v>95</v>
      </c>
      <c r="K225" s="205" t="s">
        <v>29</v>
      </c>
      <c r="L225" s="199" t="s">
        <v>1058</v>
      </c>
      <c r="M225" s="205" t="s">
        <v>2841</v>
      </c>
      <c r="N225" s="201" t="s">
        <v>1030</v>
      </c>
      <c r="O225" s="205" t="s">
        <v>652</v>
      </c>
      <c r="P225" s="205" t="s">
        <v>652</v>
      </c>
      <c r="Q225" s="208" t="s">
        <v>2191</v>
      </c>
      <c r="R225" s="208" t="s">
        <v>2192</v>
      </c>
      <c r="S225" s="208" t="s">
        <v>755</v>
      </c>
    </row>
    <row r="226" spans="1:20" s="205" customFormat="1" hidden="1" x14ac:dyDescent="0.2">
      <c r="A226" s="205" t="s">
        <v>785</v>
      </c>
      <c r="B226" s="205" t="s">
        <v>2842</v>
      </c>
      <c r="C226" s="200" t="s">
        <v>755</v>
      </c>
      <c r="D226" s="199" t="s">
        <v>152</v>
      </c>
      <c r="E226" s="199"/>
      <c r="F226" s="206">
        <v>35142</v>
      </c>
      <c r="G226" s="206">
        <v>3514</v>
      </c>
      <c r="H226" s="206">
        <v>351</v>
      </c>
      <c r="I226" s="202">
        <f t="shared" si="3"/>
        <v>31979</v>
      </c>
      <c r="J226" s="205" t="s">
        <v>95</v>
      </c>
      <c r="K226" s="205" t="s">
        <v>29</v>
      </c>
      <c r="L226" s="199" t="s">
        <v>1058</v>
      </c>
      <c r="M226" s="205" t="s">
        <v>2843</v>
      </c>
      <c r="N226" s="201" t="s">
        <v>1030</v>
      </c>
      <c r="O226" s="205" t="s">
        <v>652</v>
      </c>
      <c r="P226" s="205" t="s">
        <v>652</v>
      </c>
      <c r="Q226" s="208" t="s">
        <v>2191</v>
      </c>
      <c r="R226" s="208" t="s">
        <v>2192</v>
      </c>
      <c r="S226" s="208" t="s">
        <v>755</v>
      </c>
    </row>
    <row r="227" spans="1:20" s="205" customFormat="1" hidden="1" x14ac:dyDescent="0.2">
      <c r="A227" s="205" t="s">
        <v>785</v>
      </c>
      <c r="B227" s="205" t="s">
        <v>2844</v>
      </c>
      <c r="C227" s="200" t="s">
        <v>755</v>
      </c>
      <c r="D227" s="199" t="s">
        <v>152</v>
      </c>
      <c r="E227" s="199"/>
      <c r="F227" s="206">
        <v>35142</v>
      </c>
      <c r="G227" s="206">
        <v>3514</v>
      </c>
      <c r="H227" s="206">
        <v>351</v>
      </c>
      <c r="I227" s="202">
        <f t="shared" si="3"/>
        <v>31979</v>
      </c>
      <c r="J227" s="205" t="s">
        <v>95</v>
      </c>
      <c r="K227" s="205" t="s">
        <v>29</v>
      </c>
      <c r="L227" s="199" t="s">
        <v>1058</v>
      </c>
      <c r="M227" s="205" t="s">
        <v>2845</v>
      </c>
      <c r="N227" s="201" t="s">
        <v>1030</v>
      </c>
      <c r="O227" s="205" t="s">
        <v>652</v>
      </c>
      <c r="P227" s="205" t="s">
        <v>652</v>
      </c>
      <c r="Q227" s="208" t="s">
        <v>2191</v>
      </c>
      <c r="R227" s="208" t="s">
        <v>2192</v>
      </c>
      <c r="S227" s="208" t="s">
        <v>755</v>
      </c>
    </row>
    <row r="228" spans="1:20" s="205" customFormat="1" hidden="1" x14ac:dyDescent="0.2">
      <c r="A228" s="205" t="s">
        <v>785</v>
      </c>
      <c r="B228" s="205" t="s">
        <v>2846</v>
      </c>
      <c r="C228" s="200" t="s">
        <v>755</v>
      </c>
      <c r="D228" s="199" t="s">
        <v>152</v>
      </c>
      <c r="E228" s="199"/>
      <c r="F228" s="206">
        <v>53856</v>
      </c>
      <c r="G228" s="206">
        <v>5386</v>
      </c>
      <c r="H228" s="206">
        <v>539</v>
      </c>
      <c r="I228" s="202">
        <f t="shared" si="3"/>
        <v>49009</v>
      </c>
      <c r="J228" s="205" t="s">
        <v>95</v>
      </c>
      <c r="K228" s="205" t="s">
        <v>29</v>
      </c>
      <c r="L228" s="199" t="s">
        <v>1058</v>
      </c>
      <c r="M228" s="205" t="s">
        <v>2847</v>
      </c>
      <c r="N228" s="201" t="s">
        <v>1030</v>
      </c>
      <c r="O228" s="205" t="s">
        <v>652</v>
      </c>
      <c r="P228" s="205" t="s">
        <v>652</v>
      </c>
      <c r="Q228" s="208" t="s">
        <v>720</v>
      </c>
      <c r="R228" s="208" t="s">
        <v>721</v>
      </c>
      <c r="S228" s="208" t="s">
        <v>755</v>
      </c>
    </row>
    <row r="229" spans="1:20" s="205" customFormat="1" hidden="1" x14ac:dyDescent="0.2">
      <c r="A229" s="205" t="s">
        <v>785</v>
      </c>
      <c r="B229" s="205" t="s">
        <v>2848</v>
      </c>
      <c r="C229" s="200" t="s">
        <v>755</v>
      </c>
      <c r="D229" s="199" t="s">
        <v>152</v>
      </c>
      <c r="E229" s="199"/>
      <c r="F229" s="206">
        <v>85259</v>
      </c>
      <c r="G229" s="206">
        <v>8526</v>
      </c>
      <c r="H229" s="206">
        <v>853</v>
      </c>
      <c r="I229" s="202">
        <f t="shared" si="3"/>
        <v>77586</v>
      </c>
      <c r="J229" s="205" t="s">
        <v>95</v>
      </c>
      <c r="K229" s="205" t="s">
        <v>29</v>
      </c>
      <c r="L229" s="199" t="s">
        <v>1058</v>
      </c>
      <c r="M229" s="205" t="s">
        <v>2849</v>
      </c>
      <c r="N229" s="201" t="s">
        <v>1030</v>
      </c>
      <c r="O229" s="205" t="s">
        <v>652</v>
      </c>
      <c r="P229" s="205" t="s">
        <v>652</v>
      </c>
      <c r="Q229" s="208" t="s">
        <v>2191</v>
      </c>
      <c r="R229" s="208" t="s">
        <v>2192</v>
      </c>
      <c r="S229" s="208" t="s">
        <v>755</v>
      </c>
    </row>
    <row r="230" spans="1:20" s="205" customFormat="1" hidden="1" x14ac:dyDescent="0.2">
      <c r="A230" s="205" t="s">
        <v>2850</v>
      </c>
      <c r="B230" s="205" t="s">
        <v>2851</v>
      </c>
      <c r="C230" s="200" t="s">
        <v>755</v>
      </c>
      <c r="D230" s="199" t="s">
        <v>152</v>
      </c>
      <c r="E230" s="199"/>
      <c r="F230" s="206">
        <v>84856</v>
      </c>
      <c r="G230" s="206">
        <v>8486</v>
      </c>
      <c r="H230" s="206">
        <v>849</v>
      </c>
      <c r="I230" s="202">
        <f t="shared" si="3"/>
        <v>77219</v>
      </c>
      <c r="J230" s="205" t="s">
        <v>329</v>
      </c>
      <c r="K230" s="205" t="s">
        <v>29</v>
      </c>
      <c r="L230" s="199" t="s">
        <v>1058</v>
      </c>
      <c r="M230" s="205" t="s">
        <v>2852</v>
      </c>
      <c r="N230" s="201" t="s">
        <v>1030</v>
      </c>
      <c r="O230" s="205" t="s">
        <v>652</v>
      </c>
      <c r="P230" s="205" t="s">
        <v>652</v>
      </c>
      <c r="Q230" s="208" t="s">
        <v>2191</v>
      </c>
      <c r="R230" s="208" t="s">
        <v>2192</v>
      </c>
      <c r="S230" s="208" t="s">
        <v>755</v>
      </c>
    </row>
    <row r="231" spans="1:20" s="205" customFormat="1" hidden="1" x14ac:dyDescent="0.2">
      <c r="A231" s="205" t="s">
        <v>2853</v>
      </c>
      <c r="B231" s="205" t="s">
        <v>2854</v>
      </c>
      <c r="C231" s="200" t="s">
        <v>755</v>
      </c>
      <c r="D231" s="199" t="s">
        <v>152</v>
      </c>
      <c r="E231" s="199"/>
      <c r="F231" s="206">
        <v>69813</v>
      </c>
      <c r="G231" s="206">
        <v>6981</v>
      </c>
      <c r="H231" s="206">
        <v>698</v>
      </c>
      <c r="I231" s="202">
        <f t="shared" si="3"/>
        <v>63530</v>
      </c>
      <c r="J231" s="205" t="s">
        <v>41</v>
      </c>
      <c r="K231" s="205" t="s">
        <v>29</v>
      </c>
      <c r="L231" s="199" t="s">
        <v>1058</v>
      </c>
      <c r="M231" s="205" t="s">
        <v>2855</v>
      </c>
      <c r="N231" s="199" t="s">
        <v>1030</v>
      </c>
      <c r="O231" s="205" t="s">
        <v>652</v>
      </c>
      <c r="P231" s="205" t="s">
        <v>652</v>
      </c>
      <c r="Q231" s="208" t="s">
        <v>2386</v>
      </c>
      <c r="R231" s="208" t="s">
        <v>2387</v>
      </c>
      <c r="S231" s="208" t="s">
        <v>755</v>
      </c>
    </row>
    <row r="232" spans="1:20" s="205" customFormat="1" hidden="1" x14ac:dyDescent="0.2">
      <c r="A232" s="209" t="s">
        <v>243</v>
      </c>
      <c r="B232" s="209" t="s">
        <v>2856</v>
      </c>
      <c r="C232" s="234" t="s">
        <v>755</v>
      </c>
      <c r="D232" s="201" t="s">
        <v>152</v>
      </c>
      <c r="E232" s="201"/>
      <c r="F232" s="211">
        <v>78966</v>
      </c>
      <c r="G232" s="211">
        <v>7897</v>
      </c>
      <c r="H232" s="211">
        <v>790</v>
      </c>
      <c r="I232" s="202">
        <f t="shared" si="3"/>
        <v>71859</v>
      </c>
      <c r="J232" s="209" t="s">
        <v>46</v>
      </c>
      <c r="K232" s="209" t="s">
        <v>29</v>
      </c>
      <c r="L232" s="201" t="s">
        <v>1042</v>
      </c>
      <c r="M232" s="209" t="s">
        <v>2857</v>
      </c>
      <c r="N232" s="201" t="s">
        <v>1030</v>
      </c>
      <c r="O232" s="209" t="s">
        <v>652</v>
      </c>
      <c r="P232" s="209" t="s">
        <v>652</v>
      </c>
      <c r="Q232" s="213" t="s">
        <v>2858</v>
      </c>
      <c r="R232" s="213" t="s">
        <v>2858</v>
      </c>
      <c r="S232" s="213" t="s">
        <v>755</v>
      </c>
      <c r="T232" s="209"/>
    </row>
    <row r="233" spans="1:20" s="205" customFormat="1" hidden="1" x14ac:dyDescent="0.2">
      <c r="A233" s="209" t="s">
        <v>243</v>
      </c>
      <c r="B233" s="209" t="s">
        <v>2856</v>
      </c>
      <c r="C233" s="234" t="s">
        <v>755</v>
      </c>
      <c r="D233" s="201" t="s">
        <v>166</v>
      </c>
      <c r="E233" s="201"/>
      <c r="F233" s="211">
        <v>-78966</v>
      </c>
      <c r="G233" s="211">
        <v>-7897</v>
      </c>
      <c r="H233" s="211">
        <v>-790</v>
      </c>
      <c r="I233" s="202">
        <f t="shared" si="3"/>
        <v>-71859</v>
      </c>
      <c r="J233" s="209" t="s">
        <v>46</v>
      </c>
      <c r="K233" s="209" t="s">
        <v>29</v>
      </c>
      <c r="L233" s="201" t="s">
        <v>1325</v>
      </c>
      <c r="M233" s="209" t="s">
        <v>2859</v>
      </c>
      <c r="N233" s="201" t="s">
        <v>1030</v>
      </c>
      <c r="O233" s="209" t="s">
        <v>652</v>
      </c>
      <c r="P233" s="209" t="s">
        <v>652</v>
      </c>
      <c r="Q233" s="213" t="s">
        <v>2858</v>
      </c>
      <c r="R233" s="213" t="s">
        <v>2858</v>
      </c>
      <c r="S233" s="213" t="s">
        <v>755</v>
      </c>
      <c r="T233" s="209"/>
    </row>
    <row r="234" spans="1:20" s="205" customFormat="1" hidden="1" x14ac:dyDescent="0.2">
      <c r="A234" s="205" t="s">
        <v>36</v>
      </c>
      <c r="B234" s="205" t="s">
        <v>2860</v>
      </c>
      <c r="C234" s="200" t="s">
        <v>755</v>
      </c>
      <c r="D234" s="201" t="s">
        <v>166</v>
      </c>
      <c r="E234" s="201"/>
      <c r="F234" s="206">
        <v>-45745</v>
      </c>
      <c r="G234" s="206">
        <v>-4575</v>
      </c>
      <c r="H234" s="206">
        <v>-229</v>
      </c>
      <c r="I234" s="202">
        <f t="shared" si="3"/>
        <v>-41399</v>
      </c>
      <c r="J234" s="205" t="s">
        <v>37</v>
      </c>
      <c r="K234" s="205" t="s">
        <v>23</v>
      </c>
      <c r="L234" s="201" t="s">
        <v>1151</v>
      </c>
      <c r="M234" s="205" t="s">
        <v>2861</v>
      </c>
      <c r="N234" s="201" t="s">
        <v>1030</v>
      </c>
      <c r="O234" s="205" t="s">
        <v>652</v>
      </c>
      <c r="P234" s="205" t="s">
        <v>652</v>
      </c>
      <c r="Q234" s="216" t="s">
        <v>2862</v>
      </c>
      <c r="R234" s="216" t="s">
        <v>1004</v>
      </c>
      <c r="S234" s="216" t="s">
        <v>755</v>
      </c>
    </row>
    <row r="235" spans="1:20" s="205" customFormat="1" hidden="1" x14ac:dyDescent="0.2">
      <c r="A235" s="205" t="s">
        <v>2863</v>
      </c>
      <c r="B235" s="205" t="s">
        <v>2864</v>
      </c>
      <c r="C235" s="200" t="s">
        <v>755</v>
      </c>
      <c r="D235" s="201" t="s">
        <v>152</v>
      </c>
      <c r="E235" s="201"/>
      <c r="F235" s="206">
        <v>52204</v>
      </c>
      <c r="G235" s="206">
        <v>5220</v>
      </c>
      <c r="H235" s="206">
        <v>261</v>
      </c>
      <c r="I235" s="202">
        <f t="shared" si="3"/>
        <v>47245</v>
      </c>
      <c r="J235" s="205" t="s">
        <v>644</v>
      </c>
      <c r="K235" s="205" t="s">
        <v>23</v>
      </c>
      <c r="L235" s="201" t="s">
        <v>1028</v>
      </c>
      <c r="M235" s="205" t="s">
        <v>2865</v>
      </c>
      <c r="N235" s="201" t="s">
        <v>1030</v>
      </c>
      <c r="O235" s="205" t="s">
        <v>652</v>
      </c>
      <c r="P235" s="205" t="s">
        <v>652</v>
      </c>
      <c r="Q235" s="208" t="s">
        <v>875</v>
      </c>
      <c r="R235" s="208" t="s">
        <v>976</v>
      </c>
      <c r="S235" s="208" t="s">
        <v>755</v>
      </c>
    </row>
    <row r="236" spans="1:20" s="205" customFormat="1" hidden="1" x14ac:dyDescent="0.2">
      <c r="A236" s="205" t="s">
        <v>255</v>
      </c>
      <c r="B236" s="205" t="s">
        <v>605</v>
      </c>
      <c r="C236" s="200" t="s">
        <v>755</v>
      </c>
      <c r="D236" s="201" t="s">
        <v>152</v>
      </c>
      <c r="E236" s="201"/>
      <c r="F236" s="206">
        <v>23996</v>
      </c>
      <c r="G236" s="206">
        <v>2400</v>
      </c>
      <c r="H236" s="206">
        <v>120</v>
      </c>
      <c r="I236" s="202">
        <f t="shared" si="3"/>
        <v>21716</v>
      </c>
      <c r="J236" s="205" t="s">
        <v>54</v>
      </c>
      <c r="K236" s="205" t="s">
        <v>23</v>
      </c>
      <c r="L236" s="201" t="s">
        <v>1151</v>
      </c>
      <c r="M236" s="205" t="s">
        <v>2866</v>
      </c>
      <c r="N236" s="201" t="s">
        <v>1030</v>
      </c>
      <c r="O236" s="205" t="s">
        <v>652</v>
      </c>
      <c r="P236" s="205" t="s">
        <v>652</v>
      </c>
      <c r="Q236" s="208" t="s">
        <v>653</v>
      </c>
      <c r="R236" s="208" t="s">
        <v>654</v>
      </c>
      <c r="S236" s="208" t="s">
        <v>755</v>
      </c>
    </row>
    <row r="237" spans="1:20" s="205" customFormat="1" hidden="1" x14ac:dyDescent="0.2">
      <c r="A237" s="205" t="s">
        <v>244</v>
      </c>
      <c r="B237" s="205" t="s">
        <v>2867</v>
      </c>
      <c r="C237" s="200" t="s">
        <v>755</v>
      </c>
      <c r="D237" s="201" t="s">
        <v>152</v>
      </c>
      <c r="E237" s="201"/>
      <c r="F237" s="206">
        <v>117590</v>
      </c>
      <c r="G237" s="206">
        <v>11759</v>
      </c>
      <c r="H237" s="206">
        <v>588</v>
      </c>
      <c r="I237" s="202">
        <f t="shared" si="3"/>
        <v>106419</v>
      </c>
      <c r="J237" s="205" t="s">
        <v>38</v>
      </c>
      <c r="K237" s="205" t="s">
        <v>23</v>
      </c>
      <c r="L237" s="201" t="s">
        <v>1028</v>
      </c>
      <c r="M237" s="205" t="s">
        <v>2868</v>
      </c>
      <c r="N237" s="201" t="s">
        <v>1030</v>
      </c>
      <c r="O237" s="205" t="s">
        <v>652</v>
      </c>
      <c r="P237" s="205" t="s">
        <v>652</v>
      </c>
      <c r="Q237" s="208" t="s">
        <v>651</v>
      </c>
      <c r="R237" s="208" t="s">
        <v>673</v>
      </c>
      <c r="S237" s="208" t="s">
        <v>755</v>
      </c>
    </row>
    <row r="238" spans="1:20" s="205" customFormat="1" hidden="1" x14ac:dyDescent="0.2">
      <c r="A238" s="205" t="s">
        <v>2869</v>
      </c>
      <c r="B238" s="205" t="s">
        <v>2870</v>
      </c>
      <c r="C238" s="200" t="s">
        <v>755</v>
      </c>
      <c r="D238" s="201" t="s">
        <v>152</v>
      </c>
      <c r="E238" s="201"/>
      <c r="F238" s="206">
        <v>1089466</v>
      </c>
      <c r="G238" s="206">
        <v>108947</v>
      </c>
      <c r="H238" s="206">
        <v>5447</v>
      </c>
      <c r="I238" s="202">
        <f t="shared" si="3"/>
        <v>985966</v>
      </c>
      <c r="J238" s="205" t="s">
        <v>52</v>
      </c>
      <c r="K238" s="205" t="s">
        <v>23</v>
      </c>
      <c r="L238" s="201" t="s">
        <v>1028</v>
      </c>
      <c r="M238" s="205" t="s">
        <v>2871</v>
      </c>
      <c r="N238" s="201" t="s">
        <v>652</v>
      </c>
      <c r="O238" s="205" t="s">
        <v>652</v>
      </c>
      <c r="P238" s="205" t="s">
        <v>652</v>
      </c>
      <c r="Q238" s="208" t="s">
        <v>2191</v>
      </c>
      <c r="R238" s="208" t="s">
        <v>2192</v>
      </c>
      <c r="S238" s="208" t="s">
        <v>755</v>
      </c>
    </row>
    <row r="239" spans="1:20" s="205" customFormat="1" hidden="1" x14ac:dyDescent="0.2">
      <c r="A239" s="205" t="s">
        <v>245</v>
      </c>
      <c r="B239" s="205" t="s">
        <v>2872</v>
      </c>
      <c r="C239" s="200" t="s">
        <v>755</v>
      </c>
      <c r="D239" s="201" t="s">
        <v>152</v>
      </c>
      <c r="E239" s="201"/>
      <c r="F239" s="206">
        <v>22716</v>
      </c>
      <c r="G239" s="206">
        <v>2272</v>
      </c>
      <c r="H239" s="206">
        <v>114</v>
      </c>
      <c r="I239" s="202">
        <f t="shared" si="3"/>
        <v>20558</v>
      </c>
      <c r="J239" s="205" t="s">
        <v>489</v>
      </c>
      <c r="K239" s="205" t="s">
        <v>23</v>
      </c>
      <c r="L239" s="201" t="s">
        <v>1042</v>
      </c>
      <c r="M239" s="205" t="s">
        <v>2873</v>
      </c>
      <c r="N239" s="201" t="s">
        <v>1030</v>
      </c>
      <c r="O239" s="205" t="s">
        <v>652</v>
      </c>
      <c r="P239" s="205" t="s">
        <v>652</v>
      </c>
      <c r="Q239" s="208" t="s">
        <v>663</v>
      </c>
      <c r="R239" s="208" t="s">
        <v>723</v>
      </c>
      <c r="S239" s="208" t="s">
        <v>755</v>
      </c>
    </row>
    <row r="240" spans="1:20" s="205" customFormat="1" hidden="1" x14ac:dyDescent="0.2">
      <c r="A240" s="205" t="s">
        <v>2874</v>
      </c>
      <c r="B240" s="205" t="s">
        <v>2875</v>
      </c>
      <c r="C240" s="200" t="s">
        <v>755</v>
      </c>
      <c r="D240" s="199" t="s">
        <v>152</v>
      </c>
      <c r="E240" s="199"/>
      <c r="F240" s="206">
        <v>84856</v>
      </c>
      <c r="G240" s="206">
        <v>8486</v>
      </c>
      <c r="H240" s="206">
        <v>424</v>
      </c>
      <c r="I240" s="202">
        <f t="shared" si="3"/>
        <v>76794</v>
      </c>
      <c r="J240" s="205" t="s">
        <v>92</v>
      </c>
      <c r="K240" s="205" t="s">
        <v>23</v>
      </c>
      <c r="L240" s="199" t="s">
        <v>1028</v>
      </c>
      <c r="M240" s="205" t="s">
        <v>2876</v>
      </c>
      <c r="N240" s="201" t="s">
        <v>1030</v>
      </c>
      <c r="O240" s="205" t="s">
        <v>652</v>
      </c>
      <c r="P240" s="205" t="s">
        <v>652</v>
      </c>
      <c r="Q240" s="208" t="s">
        <v>2062</v>
      </c>
      <c r="R240" s="208" t="s">
        <v>2877</v>
      </c>
      <c r="S240" s="216" t="s">
        <v>755</v>
      </c>
    </row>
    <row r="241" spans="1:24" s="205" customFormat="1" hidden="1" x14ac:dyDescent="0.2">
      <c r="A241" s="205" t="s">
        <v>2878</v>
      </c>
      <c r="B241" s="205" t="s">
        <v>2879</v>
      </c>
      <c r="C241" s="200" t="s">
        <v>755</v>
      </c>
      <c r="D241" s="199" t="s">
        <v>152</v>
      </c>
      <c r="E241" s="199"/>
      <c r="F241" s="206">
        <v>30055</v>
      </c>
      <c r="G241" s="206">
        <v>3006</v>
      </c>
      <c r="H241" s="206">
        <v>150</v>
      </c>
      <c r="I241" s="202">
        <f t="shared" si="3"/>
        <v>27199</v>
      </c>
      <c r="J241" s="205" t="s">
        <v>44</v>
      </c>
      <c r="K241" s="205" t="s">
        <v>23</v>
      </c>
      <c r="L241" s="199" t="s">
        <v>1028</v>
      </c>
      <c r="M241" s="205" t="s">
        <v>2880</v>
      </c>
      <c r="N241" s="201" t="s">
        <v>1030</v>
      </c>
      <c r="O241" s="205" t="s">
        <v>652</v>
      </c>
      <c r="P241" s="205" t="s">
        <v>652</v>
      </c>
      <c r="Q241" s="208" t="s">
        <v>882</v>
      </c>
      <c r="R241" s="208" t="s">
        <v>2881</v>
      </c>
      <c r="S241" s="208" t="s">
        <v>755</v>
      </c>
    </row>
    <row r="242" spans="1:24" s="205" customFormat="1" hidden="1" x14ac:dyDescent="0.2">
      <c r="A242" s="205" t="s">
        <v>2882</v>
      </c>
      <c r="B242" s="205" t="s">
        <v>2883</v>
      </c>
      <c r="C242" s="200" t="s">
        <v>755</v>
      </c>
      <c r="D242" s="199" t="s">
        <v>152</v>
      </c>
      <c r="E242" s="199"/>
      <c r="F242" s="206">
        <v>43989</v>
      </c>
      <c r="G242" s="206">
        <v>4399</v>
      </c>
      <c r="H242" s="206">
        <v>220</v>
      </c>
      <c r="I242" s="202">
        <f t="shared" si="3"/>
        <v>39810</v>
      </c>
      <c r="J242" s="205" t="s">
        <v>44</v>
      </c>
      <c r="K242" s="205" t="s">
        <v>23</v>
      </c>
      <c r="L242" s="199" t="s">
        <v>1028</v>
      </c>
      <c r="M242" s="205" t="s">
        <v>2884</v>
      </c>
      <c r="N242" s="201" t="s">
        <v>1030</v>
      </c>
      <c r="O242" s="205" t="s">
        <v>652</v>
      </c>
      <c r="P242" s="205" t="s">
        <v>652</v>
      </c>
      <c r="Q242" s="208" t="s">
        <v>2664</v>
      </c>
      <c r="R242" s="208" t="s">
        <v>2665</v>
      </c>
      <c r="S242" s="208" t="s">
        <v>755</v>
      </c>
    </row>
    <row r="243" spans="1:24" s="205" customFormat="1" hidden="1" x14ac:dyDescent="0.2">
      <c r="A243" s="205" t="s">
        <v>2885</v>
      </c>
      <c r="B243" s="205" t="s">
        <v>2886</v>
      </c>
      <c r="C243" s="200" t="s">
        <v>755</v>
      </c>
      <c r="D243" s="199" t="s">
        <v>152</v>
      </c>
      <c r="E243" s="199"/>
      <c r="F243" s="206">
        <v>43747</v>
      </c>
      <c r="G243" s="206">
        <v>4375</v>
      </c>
      <c r="H243" s="206">
        <v>219</v>
      </c>
      <c r="I243" s="202">
        <f t="shared" si="3"/>
        <v>39591</v>
      </c>
      <c r="J243" s="205" t="s">
        <v>44</v>
      </c>
      <c r="K243" s="205" t="s">
        <v>23</v>
      </c>
      <c r="L243" s="199" t="s">
        <v>1028</v>
      </c>
      <c r="M243" s="205" t="s">
        <v>2887</v>
      </c>
      <c r="N243" s="201" t="s">
        <v>1030</v>
      </c>
      <c r="O243" s="205" t="s">
        <v>652</v>
      </c>
      <c r="P243" s="205" t="s">
        <v>652</v>
      </c>
      <c r="Q243" s="214" t="s">
        <v>2664</v>
      </c>
      <c r="R243" s="214" t="s">
        <v>2665</v>
      </c>
      <c r="S243" s="214" t="s">
        <v>755</v>
      </c>
    </row>
    <row r="244" spans="1:24" s="205" customFormat="1" hidden="1" x14ac:dyDescent="0.2">
      <c r="A244" s="209" t="s">
        <v>39</v>
      </c>
      <c r="B244" s="209" t="s">
        <v>87</v>
      </c>
      <c r="C244" s="234" t="s">
        <v>755</v>
      </c>
      <c r="D244" s="201" t="s">
        <v>166</v>
      </c>
      <c r="E244" s="201"/>
      <c r="F244" s="211">
        <v>-511987</v>
      </c>
      <c r="G244" s="211">
        <v>-51199</v>
      </c>
      <c r="H244" s="211">
        <v>-2560</v>
      </c>
      <c r="I244" s="202">
        <f t="shared" si="3"/>
        <v>-463348</v>
      </c>
      <c r="J244" s="209" t="s">
        <v>33</v>
      </c>
      <c r="K244" s="209" t="s">
        <v>23</v>
      </c>
      <c r="L244" s="201" t="s">
        <v>1068</v>
      </c>
      <c r="M244" s="209" t="s">
        <v>2888</v>
      </c>
      <c r="N244" s="201" t="s">
        <v>1030</v>
      </c>
      <c r="O244" s="209" t="s">
        <v>2889</v>
      </c>
      <c r="P244" s="209" t="s">
        <v>1187</v>
      </c>
      <c r="Q244" s="213" t="s">
        <v>728</v>
      </c>
      <c r="R244" s="213" t="s">
        <v>729</v>
      </c>
      <c r="S244" s="213" t="s">
        <v>755</v>
      </c>
      <c r="T244" s="209"/>
    </row>
    <row r="245" spans="1:24" s="205" customFormat="1" hidden="1" x14ac:dyDescent="0.2">
      <c r="A245" s="209" t="s">
        <v>79</v>
      </c>
      <c r="B245" s="209" t="s">
        <v>535</v>
      </c>
      <c r="C245" s="234" t="s">
        <v>755</v>
      </c>
      <c r="D245" s="201" t="s">
        <v>166</v>
      </c>
      <c r="E245" s="201"/>
      <c r="F245" s="211">
        <v>6778</v>
      </c>
      <c r="G245" s="211">
        <v>678</v>
      </c>
      <c r="H245" s="211">
        <v>34</v>
      </c>
      <c r="I245" s="202">
        <f t="shared" si="3"/>
        <v>6134</v>
      </c>
      <c r="J245" s="209" t="s">
        <v>22</v>
      </c>
      <c r="K245" s="209" t="s">
        <v>23</v>
      </c>
      <c r="L245" s="201" t="s">
        <v>1325</v>
      </c>
      <c r="M245" s="209" t="s">
        <v>2890</v>
      </c>
      <c r="N245" s="201" t="s">
        <v>1030</v>
      </c>
      <c r="O245" s="209" t="s">
        <v>652</v>
      </c>
      <c r="P245" s="209" t="s">
        <v>652</v>
      </c>
      <c r="Q245" s="213" t="s">
        <v>674</v>
      </c>
      <c r="R245" s="213" t="s">
        <v>675</v>
      </c>
      <c r="S245" s="213" t="s">
        <v>755</v>
      </c>
      <c r="T245" s="209"/>
      <c r="U245" s="209"/>
      <c r="V245" s="209"/>
      <c r="W245" s="209"/>
      <c r="X245" s="209"/>
    </row>
    <row r="246" spans="1:24" s="205" customFormat="1" hidden="1" x14ac:dyDescent="0.2">
      <c r="A246" s="209" t="s">
        <v>79</v>
      </c>
      <c r="B246" s="209" t="s">
        <v>535</v>
      </c>
      <c r="C246" s="234" t="s">
        <v>755</v>
      </c>
      <c r="D246" s="201" t="s">
        <v>166</v>
      </c>
      <c r="E246" s="201"/>
      <c r="F246" s="211">
        <v>400191</v>
      </c>
      <c r="G246" s="211">
        <v>40019</v>
      </c>
      <c r="H246" s="211">
        <v>2001</v>
      </c>
      <c r="I246" s="202">
        <f t="shared" si="3"/>
        <v>362173</v>
      </c>
      <c r="J246" s="209" t="s">
        <v>22</v>
      </c>
      <c r="K246" s="209" t="s">
        <v>23</v>
      </c>
      <c r="L246" s="201" t="s">
        <v>1325</v>
      </c>
      <c r="M246" s="209" t="s">
        <v>2891</v>
      </c>
      <c r="N246" s="201" t="s">
        <v>1030</v>
      </c>
      <c r="O246" s="209" t="s">
        <v>652</v>
      </c>
      <c r="P246" s="209" t="s">
        <v>652</v>
      </c>
      <c r="Q246" s="213" t="s">
        <v>674</v>
      </c>
      <c r="R246" s="213" t="s">
        <v>675</v>
      </c>
      <c r="S246" s="213" t="s">
        <v>755</v>
      </c>
      <c r="T246" s="209"/>
      <c r="U246" s="209"/>
      <c r="V246" s="209"/>
      <c r="W246" s="209"/>
      <c r="X246" s="209"/>
    </row>
    <row r="247" spans="1:24" s="205" customFormat="1" hidden="1" x14ac:dyDescent="0.2">
      <c r="A247" s="209" t="s">
        <v>79</v>
      </c>
      <c r="B247" s="209" t="s">
        <v>535</v>
      </c>
      <c r="C247" s="234" t="s">
        <v>755</v>
      </c>
      <c r="D247" s="201" t="s">
        <v>166</v>
      </c>
      <c r="E247" s="201"/>
      <c r="F247" s="211">
        <v>-89336</v>
      </c>
      <c r="G247" s="211">
        <v>-8934</v>
      </c>
      <c r="H247" s="211">
        <v>-447</v>
      </c>
      <c r="I247" s="202">
        <f t="shared" si="3"/>
        <v>-80849</v>
      </c>
      <c r="J247" s="209" t="s">
        <v>22</v>
      </c>
      <c r="K247" s="209" t="s">
        <v>23</v>
      </c>
      <c r="L247" s="201" t="s">
        <v>1068</v>
      </c>
      <c r="M247" s="209" t="s">
        <v>2892</v>
      </c>
      <c r="N247" s="201" t="s">
        <v>1030</v>
      </c>
      <c r="O247" s="209" t="s">
        <v>652</v>
      </c>
      <c r="P247" s="209" t="s">
        <v>652</v>
      </c>
      <c r="Q247" s="213" t="s">
        <v>674</v>
      </c>
      <c r="R247" s="213" t="s">
        <v>675</v>
      </c>
      <c r="S247" s="213" t="s">
        <v>755</v>
      </c>
      <c r="T247" s="209"/>
      <c r="U247" s="209"/>
      <c r="V247" s="209"/>
      <c r="W247" s="209"/>
      <c r="X247" s="209"/>
    </row>
    <row r="248" spans="1:24" s="205" customFormat="1" hidden="1" x14ac:dyDescent="0.2">
      <c r="A248" s="209" t="s">
        <v>79</v>
      </c>
      <c r="B248" s="209" t="s">
        <v>535</v>
      </c>
      <c r="C248" s="234" t="s">
        <v>755</v>
      </c>
      <c r="D248" s="201" t="s">
        <v>166</v>
      </c>
      <c r="E248" s="201"/>
      <c r="F248" s="211">
        <v>-158224</v>
      </c>
      <c r="G248" s="211">
        <v>-15822</v>
      </c>
      <c r="H248" s="211">
        <v>-791</v>
      </c>
      <c r="I248" s="202">
        <f t="shared" si="3"/>
        <v>-143193</v>
      </c>
      <c r="J248" s="209" t="s">
        <v>22</v>
      </c>
      <c r="K248" s="209" t="s">
        <v>23</v>
      </c>
      <c r="L248" s="201" t="s">
        <v>1068</v>
      </c>
      <c r="M248" s="209" t="s">
        <v>2893</v>
      </c>
      <c r="N248" s="201" t="s">
        <v>1030</v>
      </c>
      <c r="O248" s="209" t="s">
        <v>652</v>
      </c>
      <c r="P248" s="209" t="s">
        <v>652</v>
      </c>
      <c r="Q248" s="213" t="s">
        <v>674</v>
      </c>
      <c r="R248" s="213" t="s">
        <v>675</v>
      </c>
      <c r="S248" s="213" t="s">
        <v>755</v>
      </c>
      <c r="T248" s="209"/>
      <c r="U248" s="209"/>
      <c r="V248" s="209"/>
      <c r="W248" s="209"/>
      <c r="X248" s="209"/>
    </row>
    <row r="249" spans="1:24" s="205" customFormat="1" hidden="1" x14ac:dyDescent="0.2">
      <c r="A249" s="209" t="s">
        <v>79</v>
      </c>
      <c r="B249" s="209" t="s">
        <v>535</v>
      </c>
      <c r="C249" s="234" t="s">
        <v>755</v>
      </c>
      <c r="D249" s="201" t="s">
        <v>166</v>
      </c>
      <c r="E249" s="201"/>
      <c r="F249" s="211">
        <v>-394506</v>
      </c>
      <c r="G249" s="211">
        <v>-39451</v>
      </c>
      <c r="H249" s="211">
        <v>-1973</v>
      </c>
      <c r="I249" s="202">
        <f t="shared" si="3"/>
        <v>-357028</v>
      </c>
      <c r="J249" s="209" t="s">
        <v>22</v>
      </c>
      <c r="K249" s="209" t="s">
        <v>23</v>
      </c>
      <c r="L249" s="201" t="s">
        <v>1068</v>
      </c>
      <c r="M249" s="209" t="s">
        <v>2894</v>
      </c>
      <c r="N249" s="201" t="s">
        <v>1030</v>
      </c>
      <c r="O249" s="209" t="s">
        <v>652</v>
      </c>
      <c r="P249" s="209" t="s">
        <v>652</v>
      </c>
      <c r="Q249" s="213" t="s">
        <v>674</v>
      </c>
      <c r="R249" s="213" t="s">
        <v>675</v>
      </c>
      <c r="S249" s="213" t="s">
        <v>755</v>
      </c>
      <c r="T249" s="209"/>
      <c r="U249" s="209"/>
      <c r="V249" s="209"/>
      <c r="W249" s="209"/>
      <c r="X249" s="209"/>
    </row>
    <row r="250" spans="1:24" s="205" customFormat="1" hidden="1" x14ac:dyDescent="0.2">
      <c r="A250" s="205" t="s">
        <v>148</v>
      </c>
      <c r="B250" s="205" t="s">
        <v>2804</v>
      </c>
      <c r="C250" s="200" t="s">
        <v>755</v>
      </c>
      <c r="D250" s="201" t="s">
        <v>166</v>
      </c>
      <c r="E250" s="201"/>
      <c r="F250" s="206">
        <v>-25762</v>
      </c>
      <c r="G250" s="206">
        <v>0</v>
      </c>
      <c r="H250" s="206">
        <v>0</v>
      </c>
      <c r="I250" s="202">
        <f t="shared" si="3"/>
        <v>-25762</v>
      </c>
      <c r="J250" s="205" t="s">
        <v>25</v>
      </c>
      <c r="K250" s="205" t="s">
        <v>214</v>
      </c>
      <c r="L250" s="201" t="s">
        <v>1068</v>
      </c>
      <c r="M250" s="205" t="s">
        <v>2895</v>
      </c>
      <c r="N250" s="201" t="s">
        <v>652</v>
      </c>
      <c r="O250" s="205" t="s">
        <v>652</v>
      </c>
      <c r="P250" s="205" t="s">
        <v>652</v>
      </c>
      <c r="Q250" s="208" t="s">
        <v>2191</v>
      </c>
      <c r="R250" s="208" t="s">
        <v>2192</v>
      </c>
      <c r="S250" s="208" t="s">
        <v>755</v>
      </c>
      <c r="U250" s="209"/>
      <c r="V250" s="209"/>
      <c r="W250" s="209"/>
      <c r="X250" s="209"/>
    </row>
    <row r="251" spans="1:24" s="205" customFormat="1" hidden="1" x14ac:dyDescent="0.2">
      <c r="A251" s="205" t="s">
        <v>558</v>
      </c>
      <c r="B251" s="205" t="s">
        <v>559</v>
      </c>
      <c r="C251" s="200" t="s">
        <v>687</v>
      </c>
      <c r="D251" s="199" t="s">
        <v>152</v>
      </c>
      <c r="E251" s="199"/>
      <c r="F251" s="206">
        <v>22016</v>
      </c>
      <c r="G251" s="206">
        <v>2202</v>
      </c>
      <c r="H251" s="206">
        <v>220</v>
      </c>
      <c r="I251" s="202">
        <f t="shared" si="3"/>
        <v>20034</v>
      </c>
      <c r="J251" s="205" t="s">
        <v>31</v>
      </c>
      <c r="K251" s="205" t="s">
        <v>29</v>
      </c>
      <c r="L251" s="199" t="s">
        <v>1042</v>
      </c>
      <c r="M251" s="205" t="s">
        <v>2896</v>
      </c>
      <c r="N251" s="201" t="s">
        <v>1030</v>
      </c>
      <c r="O251" s="205" t="s">
        <v>1046</v>
      </c>
      <c r="P251" s="205" t="s">
        <v>1047</v>
      </c>
      <c r="Q251" s="208" t="s">
        <v>653</v>
      </c>
      <c r="R251" s="208" t="s">
        <v>654</v>
      </c>
      <c r="S251" s="208" t="s">
        <v>687</v>
      </c>
    </row>
    <row r="252" spans="1:24" s="205" customFormat="1" hidden="1" x14ac:dyDescent="0.2">
      <c r="A252" s="205" t="s">
        <v>558</v>
      </c>
      <c r="B252" s="205" t="s">
        <v>559</v>
      </c>
      <c r="C252" s="200" t="s">
        <v>687</v>
      </c>
      <c r="D252" s="199" t="s">
        <v>152</v>
      </c>
      <c r="E252" s="199"/>
      <c r="F252" s="206">
        <v>34571</v>
      </c>
      <c r="G252" s="206">
        <v>3457</v>
      </c>
      <c r="H252" s="206">
        <v>346</v>
      </c>
      <c r="I252" s="202">
        <f t="shared" si="3"/>
        <v>31460</v>
      </c>
      <c r="J252" s="205" t="s">
        <v>31</v>
      </c>
      <c r="K252" s="205" t="s">
        <v>29</v>
      </c>
      <c r="L252" s="199" t="s">
        <v>1151</v>
      </c>
      <c r="M252" s="205" t="s">
        <v>2897</v>
      </c>
      <c r="N252" s="201" t="s">
        <v>1030</v>
      </c>
      <c r="O252" s="205" t="s">
        <v>1046</v>
      </c>
      <c r="P252" s="205" t="s">
        <v>1047</v>
      </c>
      <c r="Q252" s="208" t="s">
        <v>653</v>
      </c>
      <c r="R252" s="208" t="s">
        <v>654</v>
      </c>
      <c r="S252" s="208" t="s">
        <v>687</v>
      </c>
    </row>
    <row r="253" spans="1:24" s="205" customFormat="1" hidden="1" x14ac:dyDescent="0.2">
      <c r="A253" s="205" t="s">
        <v>2898</v>
      </c>
      <c r="B253" s="205" t="s">
        <v>2899</v>
      </c>
      <c r="C253" s="200" t="s">
        <v>687</v>
      </c>
      <c r="D253" s="199" t="s">
        <v>152</v>
      </c>
      <c r="E253" s="199"/>
      <c r="F253" s="206">
        <v>29327</v>
      </c>
      <c r="G253" s="206">
        <v>2933</v>
      </c>
      <c r="H253" s="206">
        <v>293</v>
      </c>
      <c r="I253" s="202">
        <f t="shared" si="3"/>
        <v>26687</v>
      </c>
      <c r="J253" s="205" t="s">
        <v>329</v>
      </c>
      <c r="K253" s="205" t="s">
        <v>29</v>
      </c>
      <c r="L253" s="199" t="s">
        <v>1058</v>
      </c>
      <c r="M253" s="205" t="s">
        <v>2900</v>
      </c>
      <c r="N253" s="201" t="s">
        <v>1030</v>
      </c>
      <c r="O253" s="205" t="s">
        <v>652</v>
      </c>
      <c r="P253" s="205" t="s">
        <v>652</v>
      </c>
      <c r="Q253" s="208" t="s">
        <v>2054</v>
      </c>
      <c r="R253" s="208" t="s">
        <v>2055</v>
      </c>
      <c r="S253" s="208" t="s">
        <v>687</v>
      </c>
    </row>
    <row r="254" spans="1:24" s="205" customFormat="1" hidden="1" x14ac:dyDescent="0.2">
      <c r="A254" s="205" t="s">
        <v>2901</v>
      </c>
      <c r="B254" s="205" t="s">
        <v>2902</v>
      </c>
      <c r="C254" s="200" t="s">
        <v>687</v>
      </c>
      <c r="D254" s="199" t="s">
        <v>152</v>
      </c>
      <c r="E254" s="199"/>
      <c r="F254" s="206">
        <v>70389</v>
      </c>
      <c r="G254" s="206">
        <v>7039</v>
      </c>
      <c r="H254" s="206">
        <v>704</v>
      </c>
      <c r="I254" s="202">
        <f t="shared" si="3"/>
        <v>64054</v>
      </c>
      <c r="J254" s="205" t="s">
        <v>46</v>
      </c>
      <c r="K254" s="205" t="s">
        <v>29</v>
      </c>
      <c r="L254" s="199" t="s">
        <v>1058</v>
      </c>
      <c r="M254" s="205" t="s">
        <v>2903</v>
      </c>
      <c r="N254" s="201" t="s">
        <v>1030</v>
      </c>
      <c r="O254" s="205" t="s">
        <v>652</v>
      </c>
      <c r="P254" s="205" t="s">
        <v>652</v>
      </c>
      <c r="Q254" s="208" t="s">
        <v>1266</v>
      </c>
      <c r="R254" s="208" t="s">
        <v>2407</v>
      </c>
      <c r="S254" s="208" t="s">
        <v>687</v>
      </c>
    </row>
    <row r="255" spans="1:24" s="205" customFormat="1" hidden="1" x14ac:dyDescent="0.2">
      <c r="A255" s="205" t="s">
        <v>2904</v>
      </c>
      <c r="B255" s="205" t="s">
        <v>2905</v>
      </c>
      <c r="C255" s="200" t="s">
        <v>687</v>
      </c>
      <c r="D255" s="199" t="s">
        <v>152</v>
      </c>
      <c r="E255" s="199"/>
      <c r="F255" s="206">
        <v>29327</v>
      </c>
      <c r="G255" s="206">
        <v>2933</v>
      </c>
      <c r="H255" s="206">
        <v>293</v>
      </c>
      <c r="I255" s="202">
        <f t="shared" si="3"/>
        <v>26687</v>
      </c>
      <c r="J255" s="205" t="s">
        <v>41</v>
      </c>
      <c r="K255" s="205" t="s">
        <v>29</v>
      </c>
      <c r="L255" s="199" t="s">
        <v>1028</v>
      </c>
      <c r="M255" s="205" t="s">
        <v>2906</v>
      </c>
      <c r="N255" s="201" t="s">
        <v>1030</v>
      </c>
      <c r="O255" s="205" t="s">
        <v>652</v>
      </c>
      <c r="P255" s="205" t="s">
        <v>652</v>
      </c>
      <c r="Q255" s="208" t="s">
        <v>2062</v>
      </c>
      <c r="R255" s="208" t="s">
        <v>2877</v>
      </c>
      <c r="S255" s="208" t="s">
        <v>687</v>
      </c>
    </row>
    <row r="256" spans="1:24" s="205" customFormat="1" hidden="1" x14ac:dyDescent="0.2">
      <c r="A256" s="205" t="s">
        <v>2907</v>
      </c>
      <c r="B256" s="205" t="s">
        <v>2908</v>
      </c>
      <c r="C256" s="200" t="s">
        <v>687</v>
      </c>
      <c r="D256" s="199" t="s">
        <v>152</v>
      </c>
      <c r="E256" s="199"/>
      <c r="F256" s="206">
        <v>101835</v>
      </c>
      <c r="G256" s="206">
        <v>10184</v>
      </c>
      <c r="H256" s="206">
        <v>1018</v>
      </c>
      <c r="I256" s="202">
        <f t="shared" si="3"/>
        <v>92669</v>
      </c>
      <c r="J256" s="205" t="s">
        <v>41</v>
      </c>
      <c r="K256" s="205" t="s">
        <v>29</v>
      </c>
      <c r="L256" s="199" t="s">
        <v>1028</v>
      </c>
      <c r="M256" s="205" t="s">
        <v>2909</v>
      </c>
      <c r="N256" s="201" t="s">
        <v>1030</v>
      </c>
      <c r="O256" s="205" t="s">
        <v>652</v>
      </c>
      <c r="P256" s="205" t="s">
        <v>652</v>
      </c>
      <c r="Q256" s="208" t="s">
        <v>722</v>
      </c>
      <c r="R256" s="208" t="s">
        <v>723</v>
      </c>
      <c r="S256" s="208" t="s">
        <v>687</v>
      </c>
    </row>
    <row r="257" spans="1:24" s="205" customFormat="1" hidden="1" x14ac:dyDescent="0.2">
      <c r="A257" s="205" t="s">
        <v>2910</v>
      </c>
      <c r="B257" s="205" t="s">
        <v>2911</v>
      </c>
      <c r="C257" s="200" t="s">
        <v>687</v>
      </c>
      <c r="D257" s="199" t="s">
        <v>152</v>
      </c>
      <c r="E257" s="199"/>
      <c r="F257" s="206">
        <v>125096</v>
      </c>
      <c r="G257" s="206">
        <v>12510</v>
      </c>
      <c r="H257" s="206">
        <v>1251</v>
      </c>
      <c r="I257" s="202">
        <f t="shared" si="3"/>
        <v>113837</v>
      </c>
      <c r="J257" s="205" t="s">
        <v>409</v>
      </c>
      <c r="K257" s="205" t="s">
        <v>29</v>
      </c>
      <c r="L257" s="199" t="s">
        <v>1058</v>
      </c>
      <c r="M257" s="205" t="s">
        <v>2912</v>
      </c>
      <c r="N257" s="201" t="s">
        <v>1072</v>
      </c>
      <c r="O257" s="205" t="s">
        <v>652</v>
      </c>
      <c r="P257" s="205" t="s">
        <v>652</v>
      </c>
      <c r="Q257" s="208" t="s">
        <v>824</v>
      </c>
      <c r="R257" s="208" t="s">
        <v>2913</v>
      </c>
      <c r="S257" s="208" t="s">
        <v>687</v>
      </c>
    </row>
    <row r="258" spans="1:24" s="205" customFormat="1" hidden="1" x14ac:dyDescent="0.2">
      <c r="A258" s="205" t="s">
        <v>2914</v>
      </c>
      <c r="B258" s="205" t="s">
        <v>2915</v>
      </c>
      <c r="C258" s="200" t="s">
        <v>687</v>
      </c>
      <c r="D258" s="199" t="s">
        <v>152</v>
      </c>
      <c r="E258" s="199"/>
      <c r="F258" s="206">
        <v>29327</v>
      </c>
      <c r="G258" s="206">
        <v>2933</v>
      </c>
      <c r="H258" s="206">
        <v>293</v>
      </c>
      <c r="I258" s="202">
        <f t="shared" si="3"/>
        <v>26687</v>
      </c>
      <c r="J258" s="205" t="s">
        <v>329</v>
      </c>
      <c r="K258" s="205" t="s">
        <v>29</v>
      </c>
      <c r="L258" s="199" t="s">
        <v>1058</v>
      </c>
      <c r="M258" s="205" t="s">
        <v>2916</v>
      </c>
      <c r="N258" s="201" t="s">
        <v>1030</v>
      </c>
      <c r="O258" s="205" t="s">
        <v>652</v>
      </c>
      <c r="P258" s="205" t="s">
        <v>652</v>
      </c>
      <c r="Q258" s="208" t="s">
        <v>2386</v>
      </c>
      <c r="R258" s="208" t="s">
        <v>2387</v>
      </c>
      <c r="S258" s="208" t="s">
        <v>687</v>
      </c>
    </row>
    <row r="259" spans="1:24" s="205" customFormat="1" hidden="1" x14ac:dyDescent="0.2">
      <c r="A259" s="205" t="s">
        <v>2917</v>
      </c>
      <c r="B259" s="205" t="s">
        <v>2918</v>
      </c>
      <c r="C259" s="200" t="s">
        <v>687</v>
      </c>
      <c r="D259" s="199" t="s">
        <v>152</v>
      </c>
      <c r="E259" s="199"/>
      <c r="F259" s="206">
        <v>67877</v>
      </c>
      <c r="G259" s="206">
        <v>6788</v>
      </c>
      <c r="H259" s="206">
        <v>679</v>
      </c>
      <c r="I259" s="202">
        <f t="shared" ref="I259:I322" si="4">F259+H259-G259</f>
        <v>61768</v>
      </c>
      <c r="J259" s="205" t="s">
        <v>41</v>
      </c>
      <c r="K259" s="205" t="s">
        <v>29</v>
      </c>
      <c r="L259" s="199" t="s">
        <v>1058</v>
      </c>
      <c r="M259" s="205" t="s">
        <v>2919</v>
      </c>
      <c r="N259" s="201" t="s">
        <v>1030</v>
      </c>
      <c r="O259" s="205" t="s">
        <v>652</v>
      </c>
      <c r="P259" s="205" t="s">
        <v>652</v>
      </c>
      <c r="Q259" s="208" t="s">
        <v>2062</v>
      </c>
      <c r="R259" s="208" t="s">
        <v>2877</v>
      </c>
      <c r="S259" s="208" t="s">
        <v>687</v>
      </c>
    </row>
    <row r="260" spans="1:24" s="205" customFormat="1" hidden="1" x14ac:dyDescent="0.2">
      <c r="A260" s="205" t="s">
        <v>475</v>
      </c>
      <c r="B260" s="205" t="s">
        <v>2920</v>
      </c>
      <c r="C260" s="200" t="s">
        <v>687</v>
      </c>
      <c r="D260" s="199" t="s">
        <v>152</v>
      </c>
      <c r="E260" s="199"/>
      <c r="F260" s="206">
        <v>1015995</v>
      </c>
      <c r="G260" s="206">
        <v>101599</v>
      </c>
      <c r="H260" s="206">
        <v>5080</v>
      </c>
      <c r="I260" s="202">
        <f t="shared" si="4"/>
        <v>919476</v>
      </c>
      <c r="J260" s="205" t="s">
        <v>65</v>
      </c>
      <c r="K260" s="205" t="s">
        <v>23</v>
      </c>
      <c r="L260" s="199" t="s">
        <v>1028</v>
      </c>
      <c r="M260" s="205" t="s">
        <v>2921</v>
      </c>
      <c r="N260" s="201" t="s">
        <v>1030</v>
      </c>
      <c r="O260" s="205" t="s">
        <v>652</v>
      </c>
      <c r="P260" s="205" t="s">
        <v>652</v>
      </c>
      <c r="Q260" s="208" t="s">
        <v>846</v>
      </c>
      <c r="R260" s="208" t="s">
        <v>2922</v>
      </c>
      <c r="S260" s="208" t="s">
        <v>687</v>
      </c>
    </row>
    <row r="261" spans="1:24" s="205" customFormat="1" hidden="1" x14ac:dyDescent="0.2">
      <c r="A261" s="205" t="s">
        <v>2923</v>
      </c>
      <c r="B261" s="205" t="s">
        <v>2924</v>
      </c>
      <c r="C261" s="200" t="s">
        <v>687</v>
      </c>
      <c r="D261" s="199" t="s">
        <v>152</v>
      </c>
      <c r="E261" s="199"/>
      <c r="F261" s="206">
        <v>37021</v>
      </c>
      <c r="G261" s="206">
        <v>3702</v>
      </c>
      <c r="H261" s="206">
        <v>185</v>
      </c>
      <c r="I261" s="202">
        <f t="shared" si="4"/>
        <v>33504</v>
      </c>
      <c r="J261" s="205" t="s">
        <v>74</v>
      </c>
      <c r="K261" s="205" t="s">
        <v>23</v>
      </c>
      <c r="L261" s="199" t="s">
        <v>1028</v>
      </c>
      <c r="M261" s="205" t="s">
        <v>2925</v>
      </c>
      <c r="N261" s="201" t="s">
        <v>1030</v>
      </c>
      <c r="O261" s="205" t="s">
        <v>652</v>
      </c>
      <c r="P261" s="205" t="s">
        <v>652</v>
      </c>
      <c r="Q261" s="208" t="s">
        <v>651</v>
      </c>
      <c r="R261" s="208" t="s">
        <v>673</v>
      </c>
      <c r="S261" s="208" t="s">
        <v>687</v>
      </c>
    </row>
    <row r="262" spans="1:24" s="205" customFormat="1" hidden="1" x14ac:dyDescent="0.2">
      <c r="A262" s="205" t="s">
        <v>130</v>
      </c>
      <c r="B262" s="205" t="s">
        <v>623</v>
      </c>
      <c r="C262" s="200" t="s">
        <v>687</v>
      </c>
      <c r="D262" s="199" t="s">
        <v>152</v>
      </c>
      <c r="E262" s="199"/>
      <c r="F262" s="206">
        <v>26488</v>
      </c>
      <c r="G262" s="206">
        <v>2649</v>
      </c>
      <c r="H262" s="206">
        <v>132</v>
      </c>
      <c r="I262" s="202">
        <f t="shared" si="4"/>
        <v>23971</v>
      </c>
      <c r="J262" s="205" t="s">
        <v>44</v>
      </c>
      <c r="K262" s="205" t="s">
        <v>23</v>
      </c>
      <c r="L262" s="199" t="s">
        <v>1042</v>
      </c>
      <c r="M262" s="205" t="s">
        <v>2926</v>
      </c>
      <c r="N262" s="201" t="s">
        <v>1030</v>
      </c>
      <c r="O262" s="205" t="s">
        <v>652</v>
      </c>
      <c r="P262" s="205" t="s">
        <v>652</v>
      </c>
      <c r="Q262" s="208" t="s">
        <v>653</v>
      </c>
      <c r="R262" s="208" t="s">
        <v>654</v>
      </c>
      <c r="S262" s="208" t="s">
        <v>687</v>
      </c>
    </row>
    <row r="263" spans="1:24" s="205" customFormat="1" hidden="1" x14ac:dyDescent="0.2">
      <c r="A263" s="205" t="s">
        <v>80</v>
      </c>
      <c r="B263" s="205" t="s">
        <v>556</v>
      </c>
      <c r="C263" s="200" t="s">
        <v>687</v>
      </c>
      <c r="D263" s="199" t="s">
        <v>152</v>
      </c>
      <c r="E263" s="199"/>
      <c r="F263" s="206">
        <v>141856</v>
      </c>
      <c r="G263" s="206">
        <v>14186</v>
      </c>
      <c r="H263" s="206">
        <v>709</v>
      </c>
      <c r="I263" s="202">
        <f t="shared" si="4"/>
        <v>128379</v>
      </c>
      <c r="J263" s="205" t="s">
        <v>81</v>
      </c>
      <c r="K263" s="205" t="s">
        <v>23</v>
      </c>
      <c r="L263" s="199" t="s">
        <v>1042</v>
      </c>
      <c r="M263" s="205" t="s">
        <v>2927</v>
      </c>
      <c r="N263" s="201" t="s">
        <v>1030</v>
      </c>
      <c r="O263" s="205" t="s">
        <v>652</v>
      </c>
      <c r="P263" s="205" t="s">
        <v>652</v>
      </c>
      <c r="Q263" s="214" t="s">
        <v>653</v>
      </c>
      <c r="R263" s="214" t="s">
        <v>654</v>
      </c>
      <c r="S263" s="214" t="s">
        <v>687</v>
      </c>
    </row>
    <row r="264" spans="1:24" s="205" customFormat="1" hidden="1" x14ac:dyDescent="0.2">
      <c r="A264" s="205" t="s">
        <v>560</v>
      </c>
      <c r="B264" s="205" t="s">
        <v>561</v>
      </c>
      <c r="C264" s="200" t="s">
        <v>687</v>
      </c>
      <c r="D264" s="199" t="s">
        <v>152</v>
      </c>
      <c r="E264" s="199"/>
      <c r="F264" s="206">
        <v>137411</v>
      </c>
      <c r="G264" s="206">
        <v>13741</v>
      </c>
      <c r="H264" s="206">
        <v>687</v>
      </c>
      <c r="I264" s="202">
        <f t="shared" si="4"/>
        <v>124357</v>
      </c>
      <c r="J264" s="205" t="s">
        <v>81</v>
      </c>
      <c r="K264" s="205" t="s">
        <v>23</v>
      </c>
      <c r="L264" s="199" t="s">
        <v>1042</v>
      </c>
      <c r="M264" s="205" t="s">
        <v>2928</v>
      </c>
      <c r="N264" s="201" t="s">
        <v>1030</v>
      </c>
      <c r="O264" s="205" t="s">
        <v>1488</v>
      </c>
      <c r="P264" s="205" t="s">
        <v>1191</v>
      </c>
      <c r="Q264" s="214" t="s">
        <v>653</v>
      </c>
      <c r="R264" s="214" t="s">
        <v>654</v>
      </c>
      <c r="S264" s="214" t="s">
        <v>687</v>
      </c>
    </row>
    <row r="265" spans="1:24" s="205" customFormat="1" hidden="1" x14ac:dyDescent="0.2">
      <c r="A265" s="205" t="s">
        <v>75</v>
      </c>
      <c r="B265" s="205" t="s">
        <v>592</v>
      </c>
      <c r="C265" s="200" t="s">
        <v>846</v>
      </c>
      <c r="D265" s="201" t="s">
        <v>152</v>
      </c>
      <c r="E265" s="201"/>
      <c r="F265" s="206">
        <v>20541</v>
      </c>
      <c r="G265" s="206">
        <v>0</v>
      </c>
      <c r="H265" s="206">
        <v>0</v>
      </c>
      <c r="I265" s="202">
        <f t="shared" si="4"/>
        <v>20541</v>
      </c>
      <c r="J265" s="205" t="s">
        <v>76</v>
      </c>
      <c r="K265" s="205" t="s">
        <v>29</v>
      </c>
      <c r="L265" s="201" t="s">
        <v>1042</v>
      </c>
      <c r="M265" s="205" t="s">
        <v>2929</v>
      </c>
      <c r="N265" s="201" t="s">
        <v>1030</v>
      </c>
      <c r="O265" s="205" t="s">
        <v>652</v>
      </c>
      <c r="P265" s="205" t="s">
        <v>652</v>
      </c>
      <c r="Q265" s="208" t="s">
        <v>653</v>
      </c>
      <c r="R265" s="208" t="s">
        <v>654</v>
      </c>
      <c r="S265" s="208" t="s">
        <v>846</v>
      </c>
      <c r="U265" s="209"/>
      <c r="V265" s="209"/>
      <c r="W265" s="209"/>
      <c r="X265" s="209"/>
    </row>
    <row r="266" spans="1:24" s="205" customFormat="1" hidden="1" x14ac:dyDescent="0.2">
      <c r="A266" s="205" t="s">
        <v>75</v>
      </c>
      <c r="B266" s="205" t="s">
        <v>590</v>
      </c>
      <c r="C266" s="200" t="s">
        <v>846</v>
      </c>
      <c r="D266" s="201" t="s">
        <v>152</v>
      </c>
      <c r="E266" s="201"/>
      <c r="F266" s="206">
        <v>66550</v>
      </c>
      <c r="G266" s="206">
        <v>0</v>
      </c>
      <c r="H266" s="206">
        <v>0</v>
      </c>
      <c r="I266" s="202">
        <f t="shared" si="4"/>
        <v>66550</v>
      </c>
      <c r="J266" s="205" t="s">
        <v>76</v>
      </c>
      <c r="K266" s="205" t="s">
        <v>29</v>
      </c>
      <c r="L266" s="201" t="s">
        <v>1042</v>
      </c>
      <c r="M266" s="205" t="s">
        <v>2930</v>
      </c>
      <c r="N266" s="201" t="s">
        <v>1030</v>
      </c>
      <c r="O266" s="205" t="s">
        <v>652</v>
      </c>
      <c r="P266" s="205" t="s">
        <v>652</v>
      </c>
      <c r="Q266" s="208" t="s">
        <v>653</v>
      </c>
      <c r="R266" s="208" t="s">
        <v>654</v>
      </c>
      <c r="S266" s="208" t="s">
        <v>846</v>
      </c>
    </row>
    <row r="267" spans="1:24" s="205" customFormat="1" hidden="1" x14ac:dyDescent="0.2">
      <c r="A267" s="205" t="s">
        <v>75</v>
      </c>
      <c r="B267" s="205" t="s">
        <v>593</v>
      </c>
      <c r="C267" s="200" t="s">
        <v>846</v>
      </c>
      <c r="D267" s="201" t="s">
        <v>152</v>
      </c>
      <c r="E267" s="201"/>
      <c r="F267" s="206">
        <v>127095</v>
      </c>
      <c r="G267" s="206">
        <v>0</v>
      </c>
      <c r="H267" s="206">
        <v>0</v>
      </c>
      <c r="I267" s="202">
        <f t="shared" si="4"/>
        <v>127095</v>
      </c>
      <c r="J267" s="205" t="s">
        <v>76</v>
      </c>
      <c r="K267" s="205" t="s">
        <v>29</v>
      </c>
      <c r="L267" s="201" t="s">
        <v>1042</v>
      </c>
      <c r="M267" s="205" t="s">
        <v>2931</v>
      </c>
      <c r="N267" s="201" t="s">
        <v>1030</v>
      </c>
      <c r="O267" s="205" t="s">
        <v>652</v>
      </c>
      <c r="P267" s="205" t="s">
        <v>652</v>
      </c>
      <c r="Q267" s="208" t="s">
        <v>653</v>
      </c>
      <c r="R267" s="208" t="s">
        <v>654</v>
      </c>
      <c r="S267" s="208" t="s">
        <v>846</v>
      </c>
      <c r="T267" s="209"/>
    </row>
    <row r="268" spans="1:24" s="205" customFormat="1" hidden="1" x14ac:dyDescent="0.2">
      <c r="A268" s="205" t="s">
        <v>178</v>
      </c>
      <c r="B268" s="205" t="s">
        <v>526</v>
      </c>
      <c r="C268" s="200" t="s">
        <v>846</v>
      </c>
      <c r="D268" s="199" t="s">
        <v>152</v>
      </c>
      <c r="E268" s="199"/>
      <c r="F268" s="206">
        <v>5537</v>
      </c>
      <c r="G268" s="206">
        <v>554</v>
      </c>
      <c r="H268" s="206">
        <v>55</v>
      </c>
      <c r="I268" s="202">
        <f t="shared" si="4"/>
        <v>5038</v>
      </c>
      <c r="J268" s="205" t="s">
        <v>179</v>
      </c>
      <c r="K268" s="205" t="s">
        <v>29</v>
      </c>
      <c r="L268" s="201" t="s">
        <v>1042</v>
      </c>
      <c r="M268" s="205" t="s">
        <v>2932</v>
      </c>
      <c r="N268" s="201" t="s">
        <v>1030</v>
      </c>
      <c r="O268" s="205" t="s">
        <v>652</v>
      </c>
      <c r="P268" s="205" t="s">
        <v>652</v>
      </c>
      <c r="Q268" s="208" t="s">
        <v>718</v>
      </c>
      <c r="R268" s="208" t="s">
        <v>719</v>
      </c>
      <c r="S268" s="208" t="s">
        <v>846</v>
      </c>
    </row>
    <row r="269" spans="1:24" s="205" customFormat="1" hidden="1" x14ac:dyDescent="0.2">
      <c r="A269" s="205" t="s">
        <v>27</v>
      </c>
      <c r="B269" s="205" t="s">
        <v>531</v>
      </c>
      <c r="C269" s="200" t="s">
        <v>846</v>
      </c>
      <c r="D269" s="201" t="s">
        <v>152</v>
      </c>
      <c r="E269" s="201"/>
      <c r="F269" s="206">
        <v>157029</v>
      </c>
      <c r="G269" s="206">
        <v>15703</v>
      </c>
      <c r="H269" s="206">
        <v>1570</v>
      </c>
      <c r="I269" s="202">
        <f t="shared" si="4"/>
        <v>142896</v>
      </c>
      <c r="J269" s="205" t="s">
        <v>28</v>
      </c>
      <c r="K269" s="205" t="s">
        <v>29</v>
      </c>
      <c r="L269" s="201" t="s">
        <v>1042</v>
      </c>
      <c r="M269" s="205" t="s">
        <v>2933</v>
      </c>
      <c r="N269" s="201" t="s">
        <v>1030</v>
      </c>
      <c r="O269" s="205" t="s">
        <v>652</v>
      </c>
      <c r="P269" s="205" t="s">
        <v>652</v>
      </c>
      <c r="Q269" s="208" t="s">
        <v>764</v>
      </c>
      <c r="R269" s="208" t="s">
        <v>765</v>
      </c>
      <c r="S269" s="208" t="s">
        <v>846</v>
      </c>
    </row>
    <row r="270" spans="1:24" s="205" customFormat="1" hidden="1" x14ac:dyDescent="0.2">
      <c r="A270" s="205" t="s">
        <v>64</v>
      </c>
      <c r="B270" s="205" t="s">
        <v>514</v>
      </c>
      <c r="C270" s="200" t="s">
        <v>846</v>
      </c>
      <c r="D270" s="201" t="s">
        <v>152</v>
      </c>
      <c r="E270" s="201"/>
      <c r="F270" s="206">
        <v>83457</v>
      </c>
      <c r="G270" s="206">
        <v>8346</v>
      </c>
      <c r="H270" s="206">
        <v>835</v>
      </c>
      <c r="I270" s="202">
        <f t="shared" si="4"/>
        <v>75946</v>
      </c>
      <c r="J270" s="205" t="s">
        <v>31</v>
      </c>
      <c r="K270" s="205" t="s">
        <v>29</v>
      </c>
      <c r="L270" s="201" t="s">
        <v>1042</v>
      </c>
      <c r="M270" s="205" t="s">
        <v>2934</v>
      </c>
      <c r="N270" s="201" t="s">
        <v>1030</v>
      </c>
      <c r="O270" s="205" t="s">
        <v>652</v>
      </c>
      <c r="P270" s="205" t="s">
        <v>652</v>
      </c>
      <c r="Q270" s="208" t="s">
        <v>653</v>
      </c>
      <c r="R270" s="208" t="s">
        <v>654</v>
      </c>
      <c r="S270" s="216" t="s">
        <v>846</v>
      </c>
    </row>
    <row r="271" spans="1:24" s="205" customFormat="1" hidden="1" x14ac:dyDescent="0.2">
      <c r="A271" s="205" t="s">
        <v>125</v>
      </c>
      <c r="B271" s="205" t="s">
        <v>870</v>
      </c>
      <c r="C271" s="200" t="s">
        <v>846</v>
      </c>
      <c r="D271" s="199" t="s">
        <v>152</v>
      </c>
      <c r="E271" s="199"/>
      <c r="F271" s="206">
        <v>24147</v>
      </c>
      <c r="G271" s="206">
        <v>2415</v>
      </c>
      <c r="H271" s="206">
        <v>241</v>
      </c>
      <c r="I271" s="202">
        <f t="shared" si="4"/>
        <v>21973</v>
      </c>
      <c r="J271" s="205" t="s">
        <v>31</v>
      </c>
      <c r="K271" s="205" t="s">
        <v>29</v>
      </c>
      <c r="L271" s="201" t="s">
        <v>1042</v>
      </c>
      <c r="M271" s="205" t="s">
        <v>2935</v>
      </c>
      <c r="N271" s="201" t="s">
        <v>1030</v>
      </c>
      <c r="O271" s="205" t="s">
        <v>652</v>
      </c>
      <c r="P271" s="205" t="s">
        <v>652</v>
      </c>
      <c r="Q271" s="208" t="s">
        <v>714</v>
      </c>
      <c r="R271" s="208" t="s">
        <v>672</v>
      </c>
      <c r="S271" s="208" t="s">
        <v>846</v>
      </c>
    </row>
    <row r="272" spans="1:24" s="205" customFormat="1" hidden="1" x14ac:dyDescent="0.2">
      <c r="A272" s="205" t="s">
        <v>997</v>
      </c>
      <c r="B272" s="205" t="s">
        <v>2936</v>
      </c>
      <c r="C272" s="200" t="s">
        <v>846</v>
      </c>
      <c r="D272" s="199" t="s">
        <v>152</v>
      </c>
      <c r="E272" s="199"/>
      <c r="F272" s="206">
        <v>109446</v>
      </c>
      <c r="G272" s="206">
        <v>10945</v>
      </c>
      <c r="H272" s="206">
        <v>1094</v>
      </c>
      <c r="I272" s="202">
        <f t="shared" si="4"/>
        <v>99595</v>
      </c>
      <c r="J272" s="205" t="s">
        <v>2937</v>
      </c>
      <c r="K272" s="205" t="s">
        <v>29</v>
      </c>
      <c r="L272" s="199" t="s">
        <v>1042</v>
      </c>
      <c r="M272" s="205" t="s">
        <v>2938</v>
      </c>
      <c r="N272" s="201" t="s">
        <v>2939</v>
      </c>
      <c r="O272" s="205" t="s">
        <v>1190</v>
      </c>
      <c r="P272" s="205" t="s">
        <v>1191</v>
      </c>
      <c r="Q272" s="208" t="s">
        <v>2291</v>
      </c>
      <c r="R272" s="208" t="s">
        <v>2292</v>
      </c>
      <c r="S272" s="208" t="s">
        <v>846</v>
      </c>
    </row>
    <row r="273" spans="1:20" s="205" customFormat="1" hidden="1" x14ac:dyDescent="0.2">
      <c r="A273" s="205" t="s">
        <v>558</v>
      </c>
      <c r="B273" s="205" t="s">
        <v>559</v>
      </c>
      <c r="C273" s="200" t="s">
        <v>846</v>
      </c>
      <c r="D273" s="199" t="s">
        <v>152</v>
      </c>
      <c r="E273" s="199"/>
      <c r="F273" s="206">
        <v>157428</v>
      </c>
      <c r="G273" s="206">
        <v>15743</v>
      </c>
      <c r="H273" s="206">
        <v>1574</v>
      </c>
      <c r="I273" s="202">
        <f t="shared" si="4"/>
        <v>143259</v>
      </c>
      <c r="J273" s="205" t="s">
        <v>31</v>
      </c>
      <c r="K273" s="205" t="s">
        <v>29</v>
      </c>
      <c r="L273" s="199" t="s">
        <v>1042</v>
      </c>
      <c r="M273" s="205" t="s">
        <v>2940</v>
      </c>
      <c r="N273" s="201" t="s">
        <v>1030</v>
      </c>
      <c r="O273" s="205" t="s">
        <v>1046</v>
      </c>
      <c r="P273" s="205" t="s">
        <v>1047</v>
      </c>
      <c r="Q273" s="208" t="s">
        <v>653</v>
      </c>
      <c r="R273" s="208" t="s">
        <v>654</v>
      </c>
      <c r="S273" s="208" t="s">
        <v>846</v>
      </c>
    </row>
    <row r="274" spans="1:20" s="205" customFormat="1" hidden="1" x14ac:dyDescent="0.2">
      <c r="A274" s="205" t="s">
        <v>558</v>
      </c>
      <c r="B274" s="205" t="s">
        <v>559</v>
      </c>
      <c r="C274" s="200" t="s">
        <v>846</v>
      </c>
      <c r="D274" s="199" t="s">
        <v>152</v>
      </c>
      <c r="E274" s="199"/>
      <c r="F274" s="206">
        <v>8079</v>
      </c>
      <c r="G274" s="206">
        <v>808</v>
      </c>
      <c r="H274" s="206">
        <v>81</v>
      </c>
      <c r="I274" s="202">
        <f t="shared" si="4"/>
        <v>7352</v>
      </c>
      <c r="J274" s="205" t="s">
        <v>31</v>
      </c>
      <c r="K274" s="205" t="s">
        <v>29</v>
      </c>
      <c r="L274" s="199" t="s">
        <v>1042</v>
      </c>
      <c r="M274" s="205" t="s">
        <v>2941</v>
      </c>
      <c r="N274" s="201" t="s">
        <v>1030</v>
      </c>
      <c r="O274" s="205" t="s">
        <v>1046</v>
      </c>
      <c r="P274" s="205" t="s">
        <v>1047</v>
      </c>
      <c r="Q274" s="208" t="s">
        <v>653</v>
      </c>
      <c r="R274" s="208" t="s">
        <v>654</v>
      </c>
      <c r="S274" s="208" t="s">
        <v>846</v>
      </c>
    </row>
    <row r="275" spans="1:20" s="205" customFormat="1" hidden="1" x14ac:dyDescent="0.2">
      <c r="A275" s="205" t="s">
        <v>142</v>
      </c>
      <c r="B275" s="205" t="s">
        <v>405</v>
      </c>
      <c r="C275" s="200" t="s">
        <v>846</v>
      </c>
      <c r="D275" s="199" t="s">
        <v>152</v>
      </c>
      <c r="E275" s="199"/>
      <c r="F275" s="206">
        <v>10291</v>
      </c>
      <c r="G275" s="206">
        <v>1029</v>
      </c>
      <c r="H275" s="206">
        <v>103</v>
      </c>
      <c r="I275" s="202">
        <f t="shared" si="4"/>
        <v>9365</v>
      </c>
      <c r="J275" s="205" t="s">
        <v>143</v>
      </c>
      <c r="K275" s="205" t="s">
        <v>29</v>
      </c>
      <c r="L275" s="199" t="s">
        <v>1042</v>
      </c>
      <c r="M275" s="205" t="s">
        <v>2942</v>
      </c>
      <c r="N275" s="201" t="s">
        <v>1030</v>
      </c>
      <c r="O275" s="205" t="s">
        <v>652</v>
      </c>
      <c r="P275" s="205" t="s">
        <v>652</v>
      </c>
      <c r="Q275" s="208" t="s">
        <v>692</v>
      </c>
      <c r="R275" s="208" t="s">
        <v>693</v>
      </c>
      <c r="S275" s="208" t="s">
        <v>846</v>
      </c>
    </row>
    <row r="276" spans="1:20" s="205" customFormat="1" hidden="1" x14ac:dyDescent="0.2">
      <c r="A276" s="205" t="s">
        <v>2943</v>
      </c>
      <c r="B276" s="205" t="s">
        <v>2944</v>
      </c>
      <c r="C276" s="200" t="s">
        <v>846</v>
      </c>
      <c r="D276" s="199" t="s">
        <v>152</v>
      </c>
      <c r="E276" s="199"/>
      <c r="F276" s="206">
        <v>31943</v>
      </c>
      <c r="G276" s="206">
        <v>3194</v>
      </c>
      <c r="H276" s="206">
        <v>319</v>
      </c>
      <c r="I276" s="202">
        <f t="shared" si="4"/>
        <v>29068</v>
      </c>
      <c r="J276" s="205" t="s">
        <v>46</v>
      </c>
      <c r="K276" s="205" t="s">
        <v>29</v>
      </c>
      <c r="L276" s="199" t="s">
        <v>1028</v>
      </c>
      <c r="M276" s="205" t="s">
        <v>2945</v>
      </c>
      <c r="N276" s="201" t="s">
        <v>1030</v>
      </c>
      <c r="O276" s="205" t="s">
        <v>652</v>
      </c>
      <c r="P276" s="205" t="s">
        <v>652</v>
      </c>
      <c r="Q276" s="208" t="s">
        <v>651</v>
      </c>
      <c r="R276" s="208" t="s">
        <v>673</v>
      </c>
      <c r="S276" s="208" t="s">
        <v>846</v>
      </c>
    </row>
    <row r="277" spans="1:20" s="205" customFormat="1" hidden="1" x14ac:dyDescent="0.2">
      <c r="A277" s="205" t="s">
        <v>2946</v>
      </c>
      <c r="B277" s="205" t="s">
        <v>2947</v>
      </c>
      <c r="C277" s="200" t="s">
        <v>846</v>
      </c>
      <c r="D277" s="199" t="s">
        <v>152</v>
      </c>
      <c r="E277" s="199"/>
      <c r="F277" s="206">
        <v>52204</v>
      </c>
      <c r="G277" s="206">
        <v>5220</v>
      </c>
      <c r="H277" s="206">
        <v>522</v>
      </c>
      <c r="I277" s="202">
        <f t="shared" si="4"/>
        <v>47506</v>
      </c>
      <c r="J277" s="205" t="s">
        <v>46</v>
      </c>
      <c r="K277" s="205" t="s">
        <v>29</v>
      </c>
      <c r="L277" s="199" t="s">
        <v>1028</v>
      </c>
      <c r="M277" s="205" t="s">
        <v>2948</v>
      </c>
      <c r="N277" s="201" t="s">
        <v>1030</v>
      </c>
      <c r="O277" s="205" t="s">
        <v>652</v>
      </c>
      <c r="P277" s="205" t="s">
        <v>652</v>
      </c>
      <c r="Q277" s="208" t="s">
        <v>671</v>
      </c>
      <c r="R277" s="208" t="s">
        <v>680</v>
      </c>
      <c r="S277" s="208" t="s">
        <v>846</v>
      </c>
    </row>
    <row r="278" spans="1:20" s="205" customFormat="1" hidden="1" x14ac:dyDescent="0.2">
      <c r="A278" s="205" t="s">
        <v>2949</v>
      </c>
      <c r="B278" s="205" t="s">
        <v>2950</v>
      </c>
      <c r="C278" s="200" t="s">
        <v>846</v>
      </c>
      <c r="D278" s="199" t="s">
        <v>152</v>
      </c>
      <c r="E278" s="199"/>
      <c r="F278" s="206">
        <v>52204</v>
      </c>
      <c r="G278" s="206">
        <v>5220</v>
      </c>
      <c r="H278" s="206">
        <v>522</v>
      </c>
      <c r="I278" s="202">
        <f t="shared" si="4"/>
        <v>47506</v>
      </c>
      <c r="J278" s="205" t="s">
        <v>46</v>
      </c>
      <c r="K278" s="205" t="s">
        <v>29</v>
      </c>
      <c r="L278" s="199" t="s">
        <v>1028</v>
      </c>
      <c r="M278" s="205" t="s">
        <v>2951</v>
      </c>
      <c r="N278" s="201" t="s">
        <v>1030</v>
      </c>
      <c r="O278" s="205" t="s">
        <v>652</v>
      </c>
      <c r="P278" s="205" t="s">
        <v>652</v>
      </c>
      <c r="Q278" s="208" t="s">
        <v>708</v>
      </c>
      <c r="R278" s="208" t="s">
        <v>709</v>
      </c>
      <c r="S278" s="208" t="s">
        <v>846</v>
      </c>
    </row>
    <row r="279" spans="1:20" s="205" customFormat="1" hidden="1" x14ac:dyDescent="0.2">
      <c r="A279" s="205" t="s">
        <v>455</v>
      </c>
      <c r="B279" s="205" t="s">
        <v>958</v>
      </c>
      <c r="C279" s="200" t="s">
        <v>846</v>
      </c>
      <c r="D279" s="199" t="s">
        <v>166</v>
      </c>
      <c r="E279" s="199"/>
      <c r="F279" s="206">
        <v>-331951</v>
      </c>
      <c r="G279" s="206">
        <v>-33195</v>
      </c>
      <c r="H279" s="206">
        <v>-3320</v>
      </c>
      <c r="I279" s="202">
        <f t="shared" si="4"/>
        <v>-302076</v>
      </c>
      <c r="J279" s="205" t="s">
        <v>28</v>
      </c>
      <c r="K279" s="205" t="s">
        <v>29</v>
      </c>
      <c r="L279" s="199" t="s">
        <v>1068</v>
      </c>
      <c r="M279" s="205" t="s">
        <v>2952</v>
      </c>
      <c r="N279" s="201" t="s">
        <v>1030</v>
      </c>
      <c r="O279" s="205" t="s">
        <v>1488</v>
      </c>
      <c r="P279" s="205" t="s">
        <v>1191</v>
      </c>
      <c r="Q279" s="214" t="s">
        <v>877</v>
      </c>
      <c r="R279" s="214" t="s">
        <v>957</v>
      </c>
      <c r="S279" s="214" t="s">
        <v>846</v>
      </c>
    </row>
    <row r="280" spans="1:20" s="205" customFormat="1" hidden="1" x14ac:dyDescent="0.2">
      <c r="A280" s="209" t="s">
        <v>262</v>
      </c>
      <c r="B280" s="209" t="s">
        <v>1313</v>
      </c>
      <c r="C280" s="234" t="s">
        <v>846</v>
      </c>
      <c r="D280" s="201" t="s">
        <v>166</v>
      </c>
      <c r="E280" s="201"/>
      <c r="F280" s="211">
        <v>-47766</v>
      </c>
      <c r="G280" s="211">
        <v>-4777</v>
      </c>
      <c r="H280" s="211">
        <v>-478</v>
      </c>
      <c r="I280" s="202">
        <f t="shared" si="4"/>
        <v>-43467</v>
      </c>
      <c r="J280" s="209" t="s">
        <v>40</v>
      </c>
      <c r="K280" s="209" t="s">
        <v>29</v>
      </c>
      <c r="L280" s="201" t="s">
        <v>1325</v>
      </c>
      <c r="M280" s="209" t="s">
        <v>2953</v>
      </c>
      <c r="N280" s="201" t="s">
        <v>1030</v>
      </c>
      <c r="O280" s="209" t="s">
        <v>652</v>
      </c>
      <c r="P280" s="209" t="s">
        <v>652</v>
      </c>
      <c r="Q280" s="213" t="s">
        <v>987</v>
      </c>
      <c r="R280" s="213" t="s">
        <v>988</v>
      </c>
      <c r="S280" s="213" t="s">
        <v>846</v>
      </c>
      <c r="T280" s="209"/>
    </row>
    <row r="281" spans="1:20" s="205" customFormat="1" hidden="1" x14ac:dyDescent="0.2">
      <c r="A281" s="209" t="s">
        <v>482</v>
      </c>
      <c r="B281" s="209" t="s">
        <v>897</v>
      </c>
      <c r="C281" s="234" t="s">
        <v>846</v>
      </c>
      <c r="D281" s="201" t="s">
        <v>152</v>
      </c>
      <c r="E281" s="201"/>
      <c r="F281" s="211">
        <v>115424</v>
      </c>
      <c r="G281" s="211">
        <v>11542</v>
      </c>
      <c r="H281" s="211">
        <v>1154</v>
      </c>
      <c r="I281" s="202">
        <f t="shared" si="4"/>
        <v>105036</v>
      </c>
      <c r="J281" s="209" t="s">
        <v>114</v>
      </c>
      <c r="K281" s="209" t="s">
        <v>29</v>
      </c>
      <c r="L281" s="201" t="s">
        <v>1042</v>
      </c>
      <c r="M281" s="209" t="s">
        <v>2954</v>
      </c>
      <c r="N281" s="201" t="s">
        <v>1030</v>
      </c>
      <c r="O281" s="209" t="s">
        <v>652</v>
      </c>
      <c r="P281" s="209" t="s">
        <v>652</v>
      </c>
      <c r="Q281" s="213" t="s">
        <v>898</v>
      </c>
      <c r="R281" s="213" t="s">
        <v>899</v>
      </c>
      <c r="S281" s="213" t="s">
        <v>846</v>
      </c>
      <c r="T281" s="209"/>
    </row>
    <row r="282" spans="1:20" s="205" customFormat="1" hidden="1" x14ac:dyDescent="0.2">
      <c r="A282" s="205" t="s">
        <v>116</v>
      </c>
      <c r="B282" s="205" t="s">
        <v>524</v>
      </c>
      <c r="C282" s="200" t="s">
        <v>846</v>
      </c>
      <c r="D282" s="199" t="s">
        <v>152</v>
      </c>
      <c r="E282" s="199"/>
      <c r="F282" s="206">
        <v>91494</v>
      </c>
      <c r="G282" s="206">
        <v>9149</v>
      </c>
      <c r="H282" s="206">
        <v>457</v>
      </c>
      <c r="I282" s="202">
        <f t="shared" si="4"/>
        <v>82802</v>
      </c>
      <c r="J282" s="205" t="s">
        <v>44</v>
      </c>
      <c r="K282" s="205" t="s">
        <v>23</v>
      </c>
      <c r="L282" s="201" t="s">
        <v>1151</v>
      </c>
      <c r="M282" s="205" t="s">
        <v>2955</v>
      </c>
      <c r="N282" s="201" t="s">
        <v>1030</v>
      </c>
      <c r="O282" s="205" t="s">
        <v>652</v>
      </c>
      <c r="P282" s="205" t="s">
        <v>652</v>
      </c>
      <c r="Q282" s="208" t="s">
        <v>666</v>
      </c>
      <c r="R282" s="208" t="s">
        <v>667</v>
      </c>
      <c r="S282" s="208" t="s">
        <v>846</v>
      </c>
    </row>
    <row r="283" spans="1:20" s="205" customFormat="1" hidden="1" x14ac:dyDescent="0.2">
      <c r="A283" s="209" t="s">
        <v>116</v>
      </c>
      <c r="B283" s="209" t="s">
        <v>524</v>
      </c>
      <c r="C283" s="210" t="s">
        <v>846</v>
      </c>
      <c r="D283" s="201" t="s">
        <v>152</v>
      </c>
      <c r="E283" s="201"/>
      <c r="F283" s="211">
        <v>56011</v>
      </c>
      <c r="G283" s="211">
        <v>5601</v>
      </c>
      <c r="H283" s="211">
        <v>280</v>
      </c>
      <c r="I283" s="202">
        <f t="shared" si="4"/>
        <v>50690</v>
      </c>
      <c r="J283" s="209" t="s">
        <v>44</v>
      </c>
      <c r="K283" s="209" t="s">
        <v>23</v>
      </c>
      <c r="L283" s="201" t="s">
        <v>1042</v>
      </c>
      <c r="M283" s="209" t="s">
        <v>2956</v>
      </c>
      <c r="N283" s="201" t="s">
        <v>1030</v>
      </c>
      <c r="O283" s="209" t="s">
        <v>652</v>
      </c>
      <c r="P283" s="209" t="s">
        <v>652</v>
      </c>
      <c r="Q283" s="213" t="s">
        <v>666</v>
      </c>
      <c r="R283" s="213" t="s">
        <v>667</v>
      </c>
      <c r="S283" s="213" t="s">
        <v>846</v>
      </c>
    </row>
    <row r="284" spans="1:20" s="205" customFormat="1" hidden="1" x14ac:dyDescent="0.2">
      <c r="A284" s="205" t="s">
        <v>115</v>
      </c>
      <c r="B284" s="205" t="s">
        <v>650</v>
      </c>
      <c r="C284" s="200" t="s">
        <v>846</v>
      </c>
      <c r="D284" s="201" t="s">
        <v>152</v>
      </c>
      <c r="E284" s="201"/>
      <c r="F284" s="206">
        <v>53354</v>
      </c>
      <c r="G284" s="206">
        <v>5335</v>
      </c>
      <c r="H284" s="206">
        <v>267</v>
      </c>
      <c r="I284" s="202">
        <f t="shared" si="4"/>
        <v>48286</v>
      </c>
      <c r="J284" s="205" t="s">
        <v>44</v>
      </c>
      <c r="K284" s="205" t="s">
        <v>23</v>
      </c>
      <c r="L284" s="201" t="s">
        <v>1042</v>
      </c>
      <c r="M284" s="205" t="s">
        <v>2957</v>
      </c>
      <c r="N284" s="201" t="s">
        <v>1030</v>
      </c>
      <c r="O284" s="205" t="s">
        <v>652</v>
      </c>
      <c r="P284" s="205" t="s">
        <v>652</v>
      </c>
      <c r="Q284" s="208" t="s">
        <v>653</v>
      </c>
      <c r="R284" s="208" t="s">
        <v>654</v>
      </c>
      <c r="S284" s="208" t="s">
        <v>846</v>
      </c>
    </row>
    <row r="285" spans="1:20" s="205" customFormat="1" hidden="1" x14ac:dyDescent="0.2">
      <c r="A285" s="205" t="s">
        <v>244</v>
      </c>
      <c r="B285" s="205" t="s">
        <v>2958</v>
      </c>
      <c r="C285" s="200" t="s">
        <v>846</v>
      </c>
      <c r="D285" s="201" t="s">
        <v>152</v>
      </c>
      <c r="E285" s="201"/>
      <c r="F285" s="206">
        <v>87104</v>
      </c>
      <c r="G285" s="206">
        <v>8710</v>
      </c>
      <c r="H285" s="206">
        <v>436</v>
      </c>
      <c r="I285" s="202">
        <f t="shared" si="4"/>
        <v>78830</v>
      </c>
      <c r="J285" s="205" t="s">
        <v>38</v>
      </c>
      <c r="K285" s="205" t="s">
        <v>23</v>
      </c>
      <c r="L285" s="201" t="s">
        <v>1042</v>
      </c>
      <c r="M285" s="205" t="s">
        <v>2959</v>
      </c>
      <c r="N285" s="201" t="s">
        <v>1030</v>
      </c>
      <c r="O285" s="205" t="s">
        <v>652</v>
      </c>
      <c r="P285" s="205" t="s">
        <v>652</v>
      </c>
      <c r="Q285" s="208" t="s">
        <v>664</v>
      </c>
      <c r="R285" s="208" t="s">
        <v>665</v>
      </c>
      <c r="S285" s="208" t="s">
        <v>846</v>
      </c>
    </row>
    <row r="286" spans="1:20" s="205" customFormat="1" hidden="1" x14ac:dyDescent="0.2">
      <c r="A286" s="205" t="s">
        <v>244</v>
      </c>
      <c r="B286" s="205" t="s">
        <v>2960</v>
      </c>
      <c r="C286" s="200" t="s">
        <v>846</v>
      </c>
      <c r="D286" s="201" t="s">
        <v>152</v>
      </c>
      <c r="E286" s="201"/>
      <c r="F286" s="206">
        <v>51793</v>
      </c>
      <c r="G286" s="206">
        <v>5179</v>
      </c>
      <c r="H286" s="206">
        <v>259</v>
      </c>
      <c r="I286" s="202">
        <f t="shared" si="4"/>
        <v>46873</v>
      </c>
      <c r="J286" s="205" t="s">
        <v>38</v>
      </c>
      <c r="K286" s="205" t="s">
        <v>23</v>
      </c>
      <c r="L286" s="201" t="s">
        <v>1042</v>
      </c>
      <c r="M286" s="205" t="s">
        <v>2961</v>
      </c>
      <c r="N286" s="201" t="s">
        <v>1030</v>
      </c>
      <c r="O286" s="205" t="s">
        <v>652</v>
      </c>
      <c r="P286" s="205" t="s">
        <v>652</v>
      </c>
      <c r="Q286" s="208" t="s">
        <v>664</v>
      </c>
      <c r="R286" s="208" t="s">
        <v>665</v>
      </c>
      <c r="S286" s="208" t="s">
        <v>846</v>
      </c>
    </row>
    <row r="287" spans="1:20" s="205" customFormat="1" hidden="1" x14ac:dyDescent="0.2">
      <c r="A287" s="205" t="s">
        <v>395</v>
      </c>
      <c r="B287" s="205" t="s">
        <v>394</v>
      </c>
      <c r="C287" s="200" t="s">
        <v>846</v>
      </c>
      <c r="D287" s="201" t="s">
        <v>152</v>
      </c>
      <c r="E287" s="201"/>
      <c r="F287" s="206">
        <v>6129</v>
      </c>
      <c r="G287" s="206">
        <v>613</v>
      </c>
      <c r="H287" s="206">
        <v>31</v>
      </c>
      <c r="I287" s="202">
        <f t="shared" si="4"/>
        <v>5547</v>
      </c>
      <c r="J287" s="205" t="s">
        <v>52</v>
      </c>
      <c r="K287" s="205" t="s">
        <v>23</v>
      </c>
      <c r="L287" s="201" t="s">
        <v>1042</v>
      </c>
      <c r="M287" s="205" t="s">
        <v>2962</v>
      </c>
      <c r="N287" s="201" t="s">
        <v>1030</v>
      </c>
      <c r="O287" s="205" t="s">
        <v>652</v>
      </c>
      <c r="P287" s="205" t="s">
        <v>652</v>
      </c>
      <c r="Q287" s="208" t="s">
        <v>701</v>
      </c>
      <c r="R287" s="208" t="s">
        <v>702</v>
      </c>
      <c r="S287" s="208" t="s">
        <v>846</v>
      </c>
    </row>
    <row r="288" spans="1:20" s="205" customFormat="1" hidden="1" x14ac:dyDescent="0.2">
      <c r="A288" s="205" t="s">
        <v>977</v>
      </c>
      <c r="B288" s="205" t="s">
        <v>978</v>
      </c>
      <c r="C288" s="200" t="s">
        <v>846</v>
      </c>
      <c r="D288" s="201" t="s">
        <v>152</v>
      </c>
      <c r="E288" s="201"/>
      <c r="F288" s="206">
        <v>74786</v>
      </c>
      <c r="G288" s="206">
        <v>7479</v>
      </c>
      <c r="H288" s="206">
        <v>374</v>
      </c>
      <c r="I288" s="202">
        <f t="shared" si="4"/>
        <v>67681</v>
      </c>
      <c r="J288" s="205" t="s">
        <v>749</v>
      </c>
      <c r="K288" s="205" t="s">
        <v>23</v>
      </c>
      <c r="L288" s="201" t="s">
        <v>1042</v>
      </c>
      <c r="M288" s="205" t="s">
        <v>2963</v>
      </c>
      <c r="N288" s="201" t="s">
        <v>1030</v>
      </c>
      <c r="O288" s="205" t="s">
        <v>1488</v>
      </c>
      <c r="P288" s="205" t="s">
        <v>1191</v>
      </c>
      <c r="Q288" s="208" t="s">
        <v>875</v>
      </c>
      <c r="R288" s="208" t="s">
        <v>976</v>
      </c>
      <c r="S288" s="208" t="s">
        <v>846</v>
      </c>
    </row>
    <row r="289" spans="1:24" s="205" customFormat="1" hidden="1" x14ac:dyDescent="0.2">
      <c r="A289" s="205" t="s">
        <v>245</v>
      </c>
      <c r="B289" s="205" t="s">
        <v>2964</v>
      </c>
      <c r="C289" s="200" t="s">
        <v>846</v>
      </c>
      <c r="D289" s="201" t="s">
        <v>152</v>
      </c>
      <c r="E289" s="201"/>
      <c r="F289" s="206">
        <v>44011</v>
      </c>
      <c r="G289" s="206">
        <v>4401</v>
      </c>
      <c r="H289" s="206">
        <v>220</v>
      </c>
      <c r="I289" s="202">
        <f t="shared" si="4"/>
        <v>39830</v>
      </c>
      <c r="J289" s="205" t="s">
        <v>489</v>
      </c>
      <c r="K289" s="205" t="s">
        <v>23</v>
      </c>
      <c r="L289" s="201" t="s">
        <v>1042</v>
      </c>
      <c r="M289" s="205" t="s">
        <v>2965</v>
      </c>
      <c r="N289" s="201" t="s">
        <v>1030</v>
      </c>
      <c r="O289" s="205" t="s">
        <v>652</v>
      </c>
      <c r="P289" s="205" t="s">
        <v>652</v>
      </c>
      <c r="Q289" s="208" t="s">
        <v>722</v>
      </c>
      <c r="R289" s="208" t="s">
        <v>723</v>
      </c>
      <c r="S289" s="208" t="s">
        <v>846</v>
      </c>
    </row>
    <row r="290" spans="1:24" s="205" customFormat="1" hidden="1" x14ac:dyDescent="0.2">
      <c r="A290" s="205" t="s">
        <v>222</v>
      </c>
      <c r="B290" s="205" t="s">
        <v>826</v>
      </c>
      <c r="C290" s="200" t="s">
        <v>846</v>
      </c>
      <c r="D290" s="199" t="s">
        <v>152</v>
      </c>
      <c r="E290" s="199"/>
      <c r="F290" s="206">
        <v>20265</v>
      </c>
      <c r="G290" s="206">
        <v>2027</v>
      </c>
      <c r="H290" s="206">
        <v>101</v>
      </c>
      <c r="I290" s="202">
        <f t="shared" si="4"/>
        <v>18339</v>
      </c>
      <c r="J290" s="205" t="s">
        <v>44</v>
      </c>
      <c r="K290" s="205" t="s">
        <v>23</v>
      </c>
      <c r="L290" s="199" t="s">
        <v>1042</v>
      </c>
      <c r="M290" s="205" t="s">
        <v>2966</v>
      </c>
      <c r="N290" s="201" t="s">
        <v>1030</v>
      </c>
      <c r="O290" s="205" t="s">
        <v>652</v>
      </c>
      <c r="P290" s="205" t="s">
        <v>652</v>
      </c>
      <c r="Q290" s="208" t="s">
        <v>683</v>
      </c>
      <c r="R290" s="208" t="s">
        <v>827</v>
      </c>
      <c r="S290" s="208" t="s">
        <v>846</v>
      </c>
    </row>
    <row r="291" spans="1:24" s="205" customFormat="1" hidden="1" x14ac:dyDescent="0.2">
      <c r="A291" s="205" t="s">
        <v>194</v>
      </c>
      <c r="B291" s="205" t="s">
        <v>548</v>
      </c>
      <c r="C291" s="200" t="s">
        <v>846</v>
      </c>
      <c r="D291" s="199" t="s">
        <v>152</v>
      </c>
      <c r="E291" s="199"/>
      <c r="F291" s="206">
        <v>32167</v>
      </c>
      <c r="G291" s="206">
        <v>3217</v>
      </c>
      <c r="H291" s="206">
        <v>161</v>
      </c>
      <c r="I291" s="202">
        <f t="shared" si="4"/>
        <v>29111</v>
      </c>
      <c r="J291" s="205" t="s">
        <v>52</v>
      </c>
      <c r="K291" s="205" t="s">
        <v>23</v>
      </c>
      <c r="L291" s="199" t="s">
        <v>1042</v>
      </c>
      <c r="M291" s="205" t="s">
        <v>2967</v>
      </c>
      <c r="N291" s="201" t="s">
        <v>1030</v>
      </c>
      <c r="O291" s="205" t="s">
        <v>652</v>
      </c>
      <c r="P291" s="205" t="s">
        <v>652</v>
      </c>
      <c r="Q291" s="214" t="s">
        <v>837</v>
      </c>
      <c r="R291" s="214" t="s">
        <v>838</v>
      </c>
      <c r="S291" s="214" t="s">
        <v>846</v>
      </c>
    </row>
    <row r="292" spans="1:24" s="205" customFormat="1" hidden="1" x14ac:dyDescent="0.2">
      <c r="A292" s="209" t="s">
        <v>207</v>
      </c>
      <c r="B292" s="209" t="s">
        <v>916</v>
      </c>
      <c r="C292" s="234" t="s">
        <v>846</v>
      </c>
      <c r="D292" s="201" t="s">
        <v>152</v>
      </c>
      <c r="E292" s="201"/>
      <c r="F292" s="211">
        <v>183030</v>
      </c>
      <c r="G292" s="211">
        <v>18303</v>
      </c>
      <c r="H292" s="211">
        <v>915</v>
      </c>
      <c r="I292" s="202">
        <f t="shared" si="4"/>
        <v>165642</v>
      </c>
      <c r="J292" s="209" t="s">
        <v>44</v>
      </c>
      <c r="K292" s="209" t="s">
        <v>23</v>
      </c>
      <c r="L292" s="201" t="s">
        <v>1042</v>
      </c>
      <c r="M292" s="209" t="s">
        <v>2968</v>
      </c>
      <c r="N292" s="201" t="s">
        <v>1030</v>
      </c>
      <c r="O292" s="209" t="s">
        <v>652</v>
      </c>
      <c r="P292" s="209" t="s">
        <v>652</v>
      </c>
      <c r="Q292" s="213" t="s">
        <v>663</v>
      </c>
      <c r="R292" s="213" t="s">
        <v>745</v>
      </c>
      <c r="S292" s="213" t="s">
        <v>846</v>
      </c>
      <c r="T292" s="209"/>
    </row>
    <row r="293" spans="1:24" s="205" customFormat="1" hidden="1" x14ac:dyDescent="0.2">
      <c r="A293" s="209" t="s">
        <v>63</v>
      </c>
      <c r="B293" s="209" t="s">
        <v>555</v>
      </c>
      <c r="C293" s="234" t="s">
        <v>846</v>
      </c>
      <c r="D293" s="201" t="s">
        <v>166</v>
      </c>
      <c r="E293" s="201"/>
      <c r="F293" s="211">
        <v>-97123</v>
      </c>
      <c r="G293" s="211">
        <v>-9712</v>
      </c>
      <c r="H293" s="211">
        <v>-486</v>
      </c>
      <c r="I293" s="202">
        <f t="shared" si="4"/>
        <v>-87897</v>
      </c>
      <c r="J293" s="209" t="s">
        <v>22</v>
      </c>
      <c r="K293" s="209" t="s">
        <v>23</v>
      </c>
      <c r="L293" s="201" t="s">
        <v>1068</v>
      </c>
      <c r="M293" s="209" t="s">
        <v>2969</v>
      </c>
      <c r="N293" s="201" t="s">
        <v>1030</v>
      </c>
      <c r="O293" s="209" t="s">
        <v>652</v>
      </c>
      <c r="P293" s="209" t="s">
        <v>652</v>
      </c>
      <c r="Q293" s="213" t="s">
        <v>858</v>
      </c>
      <c r="R293" s="213" t="s">
        <v>859</v>
      </c>
      <c r="S293" s="213" t="s">
        <v>846</v>
      </c>
      <c r="T293" s="209"/>
      <c r="U293" s="209"/>
      <c r="V293" s="209"/>
      <c r="W293" s="209"/>
      <c r="X293" s="209"/>
    </row>
    <row r="294" spans="1:24" s="205" customFormat="1" hidden="1" x14ac:dyDescent="0.2">
      <c r="A294" s="205" t="s">
        <v>204</v>
      </c>
      <c r="B294" s="205" t="s">
        <v>343</v>
      </c>
      <c r="C294" s="200" t="s">
        <v>846</v>
      </c>
      <c r="D294" s="201" t="s">
        <v>152</v>
      </c>
      <c r="E294" s="201"/>
      <c r="F294" s="206">
        <v>18157</v>
      </c>
      <c r="G294" s="206">
        <v>0</v>
      </c>
      <c r="H294" s="206">
        <v>0</v>
      </c>
      <c r="I294" s="202">
        <f t="shared" si="4"/>
        <v>18157</v>
      </c>
      <c r="J294" s="205" t="s">
        <v>25</v>
      </c>
      <c r="K294" s="205" t="s">
        <v>214</v>
      </c>
      <c r="L294" s="201" t="s">
        <v>1042</v>
      </c>
      <c r="M294" s="205" t="s">
        <v>2970</v>
      </c>
      <c r="N294" s="201" t="s">
        <v>1030</v>
      </c>
      <c r="O294" s="205" t="s">
        <v>652</v>
      </c>
      <c r="P294" s="205" t="s">
        <v>652</v>
      </c>
      <c r="Q294" s="208" t="s">
        <v>696</v>
      </c>
      <c r="R294" s="208" t="s">
        <v>697</v>
      </c>
      <c r="S294" s="208" t="s">
        <v>846</v>
      </c>
      <c r="U294" s="209"/>
      <c r="V294" s="209"/>
      <c r="W294" s="209"/>
      <c r="X294" s="209"/>
    </row>
    <row r="295" spans="1:24" s="205" customFormat="1" hidden="1" x14ac:dyDescent="0.2">
      <c r="A295" s="205" t="s">
        <v>416</v>
      </c>
      <c r="B295" s="205" t="s">
        <v>609</v>
      </c>
      <c r="C295" s="200" t="s">
        <v>846</v>
      </c>
      <c r="D295" s="201" t="s">
        <v>152</v>
      </c>
      <c r="E295" s="201"/>
      <c r="F295" s="206">
        <v>21764</v>
      </c>
      <c r="G295" s="206">
        <v>0</v>
      </c>
      <c r="H295" s="206">
        <v>0</v>
      </c>
      <c r="I295" s="202">
        <f t="shared" si="4"/>
        <v>21764</v>
      </c>
      <c r="J295" s="205" t="s">
        <v>25</v>
      </c>
      <c r="K295" s="205" t="s">
        <v>214</v>
      </c>
      <c r="L295" s="201" t="s">
        <v>1151</v>
      </c>
      <c r="M295" s="205" t="s">
        <v>2971</v>
      </c>
      <c r="N295" s="201" t="s">
        <v>1030</v>
      </c>
      <c r="O295" s="205" t="s">
        <v>652</v>
      </c>
      <c r="P295" s="205" t="s">
        <v>652</v>
      </c>
      <c r="Q295" s="208" t="s">
        <v>653</v>
      </c>
      <c r="R295" s="208" t="s">
        <v>654</v>
      </c>
      <c r="S295" s="208" t="s">
        <v>846</v>
      </c>
      <c r="U295" s="209"/>
      <c r="V295" s="209"/>
      <c r="W295" s="209"/>
      <c r="X295" s="209"/>
    </row>
    <row r="296" spans="1:24" s="205" customFormat="1" hidden="1" x14ac:dyDescent="0.2">
      <c r="A296" s="205" t="s">
        <v>416</v>
      </c>
      <c r="B296" s="205" t="s">
        <v>609</v>
      </c>
      <c r="C296" s="200" t="s">
        <v>846</v>
      </c>
      <c r="D296" s="199" t="s">
        <v>166</v>
      </c>
      <c r="E296" s="199"/>
      <c r="F296" s="206">
        <v>-6184</v>
      </c>
      <c r="G296" s="206">
        <v>0</v>
      </c>
      <c r="H296" s="206">
        <v>0</v>
      </c>
      <c r="I296" s="202">
        <f t="shared" si="4"/>
        <v>-6184</v>
      </c>
      <c r="J296" s="205" t="s">
        <v>25</v>
      </c>
      <c r="K296" s="205" t="s">
        <v>214</v>
      </c>
      <c r="L296" s="201" t="s">
        <v>1151</v>
      </c>
      <c r="M296" s="205" t="s">
        <v>2972</v>
      </c>
      <c r="N296" s="201" t="s">
        <v>1030</v>
      </c>
      <c r="O296" s="205" t="s">
        <v>652</v>
      </c>
      <c r="P296" s="205" t="s">
        <v>652</v>
      </c>
      <c r="Q296" s="216" t="s">
        <v>653</v>
      </c>
      <c r="R296" s="216" t="s">
        <v>654</v>
      </c>
      <c r="S296" s="216" t="s">
        <v>846</v>
      </c>
      <c r="U296" s="209"/>
      <c r="V296" s="209"/>
      <c r="W296" s="209"/>
      <c r="X296" s="209"/>
    </row>
    <row r="297" spans="1:24" s="205" customFormat="1" hidden="1" x14ac:dyDescent="0.2">
      <c r="A297" s="205" t="s">
        <v>416</v>
      </c>
      <c r="B297" s="205" t="s">
        <v>609</v>
      </c>
      <c r="C297" s="200" t="s">
        <v>846</v>
      </c>
      <c r="D297" s="199" t="s">
        <v>166</v>
      </c>
      <c r="E297" s="199"/>
      <c r="F297" s="206">
        <v>-16071</v>
      </c>
      <c r="G297" s="206">
        <v>0</v>
      </c>
      <c r="H297" s="206">
        <v>0</v>
      </c>
      <c r="I297" s="202">
        <f t="shared" si="4"/>
        <v>-16071</v>
      </c>
      <c r="J297" s="205" t="s">
        <v>25</v>
      </c>
      <c r="K297" s="205" t="s">
        <v>214</v>
      </c>
      <c r="L297" s="201" t="s">
        <v>1151</v>
      </c>
      <c r="M297" s="205" t="s">
        <v>2973</v>
      </c>
      <c r="N297" s="201" t="s">
        <v>1030</v>
      </c>
      <c r="O297" s="205" t="s">
        <v>652</v>
      </c>
      <c r="P297" s="205" t="s">
        <v>652</v>
      </c>
      <c r="Q297" s="216" t="s">
        <v>653</v>
      </c>
      <c r="R297" s="216" t="s">
        <v>654</v>
      </c>
      <c r="S297" s="216" t="s">
        <v>846</v>
      </c>
      <c r="U297" s="209"/>
      <c r="V297" s="209"/>
      <c r="W297" s="209"/>
      <c r="X297" s="209"/>
    </row>
    <row r="298" spans="1:24" s="205" customFormat="1" hidden="1" x14ac:dyDescent="0.2">
      <c r="A298" s="205" t="s">
        <v>371</v>
      </c>
      <c r="B298" s="205" t="s">
        <v>610</v>
      </c>
      <c r="C298" s="200" t="s">
        <v>846</v>
      </c>
      <c r="D298" s="199" t="s">
        <v>166</v>
      </c>
      <c r="E298" s="199"/>
      <c r="F298" s="206">
        <v>-13337</v>
      </c>
      <c r="G298" s="206">
        <v>0</v>
      </c>
      <c r="H298" s="206">
        <v>0</v>
      </c>
      <c r="I298" s="202">
        <f t="shared" si="4"/>
        <v>-13337</v>
      </c>
      <c r="J298" s="205" t="s">
        <v>25</v>
      </c>
      <c r="K298" s="205" t="s">
        <v>214</v>
      </c>
      <c r="L298" s="201" t="s">
        <v>1151</v>
      </c>
      <c r="M298" s="205" t="s">
        <v>2974</v>
      </c>
      <c r="N298" s="201" t="s">
        <v>1030</v>
      </c>
      <c r="O298" s="205" t="s">
        <v>652</v>
      </c>
      <c r="P298" s="205" t="s">
        <v>652</v>
      </c>
      <c r="Q298" s="208" t="s">
        <v>653</v>
      </c>
      <c r="R298" s="208" t="s">
        <v>654</v>
      </c>
      <c r="S298" s="208" t="s">
        <v>846</v>
      </c>
      <c r="U298" s="209"/>
      <c r="V298" s="209"/>
      <c r="W298" s="209"/>
      <c r="X298" s="209"/>
    </row>
    <row r="299" spans="1:24" s="205" customFormat="1" hidden="1" x14ac:dyDescent="0.2">
      <c r="A299" s="205" t="s">
        <v>154</v>
      </c>
      <c r="B299" s="205" t="s">
        <v>542</v>
      </c>
      <c r="C299" s="200" t="s">
        <v>846</v>
      </c>
      <c r="D299" s="199" t="s">
        <v>152</v>
      </c>
      <c r="E299" s="199"/>
      <c r="F299" s="206">
        <v>108818</v>
      </c>
      <c r="G299" s="206">
        <v>0</v>
      </c>
      <c r="H299" s="206">
        <v>0</v>
      </c>
      <c r="I299" s="202">
        <f t="shared" si="4"/>
        <v>108818</v>
      </c>
      <c r="J299" s="205" t="s">
        <v>25</v>
      </c>
      <c r="K299" s="205" t="s">
        <v>214</v>
      </c>
      <c r="L299" s="199" t="s">
        <v>1042</v>
      </c>
      <c r="M299" s="205" t="s">
        <v>2975</v>
      </c>
      <c r="N299" s="201" t="s">
        <v>1030</v>
      </c>
      <c r="O299" s="205" t="s">
        <v>652</v>
      </c>
      <c r="P299" s="205" t="s">
        <v>652</v>
      </c>
      <c r="Q299" s="208" t="s">
        <v>688</v>
      </c>
      <c r="R299" s="208" t="s">
        <v>689</v>
      </c>
      <c r="S299" s="208" t="s">
        <v>846</v>
      </c>
      <c r="U299" s="209"/>
      <c r="V299" s="209"/>
      <c r="W299" s="209"/>
      <c r="X299" s="209"/>
    </row>
    <row r="300" spans="1:24" s="205" customFormat="1" hidden="1" x14ac:dyDescent="0.2">
      <c r="A300" s="205" t="s">
        <v>260</v>
      </c>
      <c r="B300" s="205" t="s">
        <v>2428</v>
      </c>
      <c r="C300" s="200" t="s">
        <v>846</v>
      </c>
      <c r="D300" s="199" t="s">
        <v>152</v>
      </c>
      <c r="E300" s="199"/>
      <c r="F300" s="206">
        <v>24683</v>
      </c>
      <c r="G300" s="206">
        <v>0</v>
      </c>
      <c r="H300" s="206">
        <v>0</v>
      </c>
      <c r="I300" s="202">
        <f t="shared" si="4"/>
        <v>24683</v>
      </c>
      <c r="J300" s="205" t="s">
        <v>25</v>
      </c>
      <c r="K300" s="205" t="s">
        <v>214</v>
      </c>
      <c r="L300" s="199" t="s">
        <v>1042</v>
      </c>
      <c r="M300" s="205" t="s">
        <v>2976</v>
      </c>
      <c r="N300" s="201" t="s">
        <v>1030</v>
      </c>
      <c r="O300" s="205" t="s">
        <v>652</v>
      </c>
      <c r="P300" s="205" t="s">
        <v>652</v>
      </c>
      <c r="Q300" s="208" t="s">
        <v>2430</v>
      </c>
      <c r="R300" s="208" t="s">
        <v>2431</v>
      </c>
      <c r="S300" s="208" t="s">
        <v>846</v>
      </c>
      <c r="U300" s="209"/>
      <c r="V300" s="209"/>
      <c r="W300" s="209"/>
      <c r="X300" s="209"/>
    </row>
    <row r="301" spans="1:24" s="205" customFormat="1" hidden="1" x14ac:dyDescent="0.2">
      <c r="A301" s="209" t="s">
        <v>68</v>
      </c>
      <c r="B301" s="209" t="s">
        <v>600</v>
      </c>
      <c r="C301" s="234" t="s">
        <v>846</v>
      </c>
      <c r="D301" s="201" t="s">
        <v>152</v>
      </c>
      <c r="E301" s="201"/>
      <c r="F301" s="211">
        <v>128076</v>
      </c>
      <c r="G301" s="206">
        <v>0</v>
      </c>
      <c r="H301" s="206">
        <v>0</v>
      </c>
      <c r="I301" s="202">
        <f t="shared" si="4"/>
        <v>128076</v>
      </c>
      <c r="J301" s="209" t="s">
        <v>25</v>
      </c>
      <c r="K301" s="209" t="s">
        <v>214</v>
      </c>
      <c r="L301" s="201" t="s">
        <v>1042</v>
      </c>
      <c r="M301" s="209" t="s">
        <v>2977</v>
      </c>
      <c r="N301" s="201" t="s">
        <v>1030</v>
      </c>
      <c r="O301" s="209" t="s">
        <v>652</v>
      </c>
      <c r="P301" s="209" t="s">
        <v>652</v>
      </c>
      <c r="Q301" s="213" t="s">
        <v>653</v>
      </c>
      <c r="R301" s="213" t="s">
        <v>654</v>
      </c>
      <c r="S301" s="213" t="s">
        <v>846</v>
      </c>
      <c r="T301" s="209"/>
      <c r="U301" s="209"/>
      <c r="V301" s="209"/>
      <c r="W301" s="209"/>
      <c r="X301" s="209"/>
    </row>
    <row r="302" spans="1:24" s="205" customFormat="1" hidden="1" x14ac:dyDescent="0.2">
      <c r="A302" s="205" t="s">
        <v>184</v>
      </c>
      <c r="B302" s="205" t="s">
        <v>2562</v>
      </c>
      <c r="C302" s="200" t="s">
        <v>2978</v>
      </c>
      <c r="D302" s="201" t="s">
        <v>152</v>
      </c>
      <c r="E302" s="201"/>
      <c r="F302" s="206">
        <v>52204</v>
      </c>
      <c r="G302" s="206">
        <v>5220</v>
      </c>
      <c r="H302" s="206">
        <v>522</v>
      </c>
      <c r="I302" s="202">
        <f t="shared" si="4"/>
        <v>47506</v>
      </c>
      <c r="J302" s="205" t="s">
        <v>46</v>
      </c>
      <c r="K302" s="205" t="s">
        <v>29</v>
      </c>
      <c r="L302" s="201" t="s">
        <v>1028</v>
      </c>
      <c r="M302" s="205" t="s">
        <v>2979</v>
      </c>
      <c r="N302" s="201" t="s">
        <v>1030</v>
      </c>
      <c r="O302" s="205" t="s">
        <v>652</v>
      </c>
      <c r="P302" s="205" t="s">
        <v>652</v>
      </c>
      <c r="Q302" s="208" t="s">
        <v>711</v>
      </c>
      <c r="R302" s="208" t="s">
        <v>712</v>
      </c>
      <c r="S302" s="208" t="s">
        <v>2978</v>
      </c>
    </row>
    <row r="303" spans="1:24" s="205" customFormat="1" hidden="1" x14ac:dyDescent="0.2">
      <c r="A303" s="205" t="s">
        <v>184</v>
      </c>
      <c r="B303" s="205" t="s">
        <v>2554</v>
      </c>
      <c r="C303" s="200" t="s">
        <v>2978</v>
      </c>
      <c r="D303" s="201" t="s">
        <v>152</v>
      </c>
      <c r="E303" s="201"/>
      <c r="F303" s="206">
        <v>68476</v>
      </c>
      <c r="G303" s="206">
        <v>6848</v>
      </c>
      <c r="H303" s="206">
        <v>685</v>
      </c>
      <c r="I303" s="202">
        <f t="shared" si="4"/>
        <v>62313</v>
      </c>
      <c r="J303" s="205" t="s">
        <v>46</v>
      </c>
      <c r="K303" s="205" t="s">
        <v>29</v>
      </c>
      <c r="L303" s="201" t="s">
        <v>1028</v>
      </c>
      <c r="M303" s="205" t="s">
        <v>2980</v>
      </c>
      <c r="N303" s="201" t="s">
        <v>1030</v>
      </c>
      <c r="O303" s="205" t="s">
        <v>652</v>
      </c>
      <c r="P303" s="205" t="s">
        <v>652</v>
      </c>
      <c r="Q303" s="208" t="s">
        <v>651</v>
      </c>
      <c r="R303" s="208" t="s">
        <v>673</v>
      </c>
      <c r="S303" s="208" t="s">
        <v>2978</v>
      </c>
    </row>
    <row r="304" spans="1:24" s="205" customFormat="1" hidden="1" x14ac:dyDescent="0.2">
      <c r="A304" s="205" t="s">
        <v>184</v>
      </c>
      <c r="B304" s="205" t="s">
        <v>2981</v>
      </c>
      <c r="C304" s="200" t="s">
        <v>2978</v>
      </c>
      <c r="D304" s="201" t="s">
        <v>152</v>
      </c>
      <c r="E304" s="201"/>
      <c r="F304" s="206">
        <v>82171</v>
      </c>
      <c r="G304" s="206">
        <v>8217</v>
      </c>
      <c r="H304" s="206">
        <v>822</v>
      </c>
      <c r="I304" s="202">
        <f t="shared" si="4"/>
        <v>74776</v>
      </c>
      <c r="J304" s="205" t="s">
        <v>46</v>
      </c>
      <c r="K304" s="205" t="s">
        <v>29</v>
      </c>
      <c r="L304" s="201" t="s">
        <v>1028</v>
      </c>
      <c r="M304" s="205" t="s">
        <v>2982</v>
      </c>
      <c r="N304" s="201" t="s">
        <v>1030</v>
      </c>
      <c r="O304" s="205" t="s">
        <v>652</v>
      </c>
      <c r="P304" s="205" t="s">
        <v>652</v>
      </c>
      <c r="Q304" s="208" t="s">
        <v>651</v>
      </c>
      <c r="R304" s="208" t="s">
        <v>673</v>
      </c>
      <c r="S304" s="208" t="s">
        <v>2978</v>
      </c>
    </row>
    <row r="305" spans="1:19" s="205" customFormat="1" hidden="1" x14ac:dyDescent="0.2">
      <c r="A305" s="205" t="s">
        <v>184</v>
      </c>
      <c r="B305" s="205" t="s">
        <v>2983</v>
      </c>
      <c r="C305" s="200" t="s">
        <v>2978</v>
      </c>
      <c r="D305" s="201" t="s">
        <v>152</v>
      </c>
      <c r="E305" s="201"/>
      <c r="F305" s="206">
        <v>41308</v>
      </c>
      <c r="G305" s="206">
        <v>4131</v>
      </c>
      <c r="H305" s="206">
        <v>413</v>
      </c>
      <c r="I305" s="202">
        <f t="shared" si="4"/>
        <v>37590</v>
      </c>
      <c r="J305" s="205" t="s">
        <v>46</v>
      </c>
      <c r="K305" s="205" t="s">
        <v>29</v>
      </c>
      <c r="L305" s="201" t="s">
        <v>1028</v>
      </c>
      <c r="M305" s="205" t="s">
        <v>2984</v>
      </c>
      <c r="N305" s="201" t="s">
        <v>1030</v>
      </c>
      <c r="O305" s="205" t="s">
        <v>652</v>
      </c>
      <c r="P305" s="205" t="s">
        <v>652</v>
      </c>
      <c r="Q305" s="208" t="s">
        <v>651</v>
      </c>
      <c r="R305" s="208" t="s">
        <v>673</v>
      </c>
      <c r="S305" s="208" t="s">
        <v>2978</v>
      </c>
    </row>
    <row r="306" spans="1:19" s="205" customFormat="1" hidden="1" x14ac:dyDescent="0.2">
      <c r="A306" s="205" t="s">
        <v>184</v>
      </c>
      <c r="B306" s="205" t="s">
        <v>2985</v>
      </c>
      <c r="C306" s="200" t="s">
        <v>2978</v>
      </c>
      <c r="D306" s="201" t="s">
        <v>152</v>
      </c>
      <c r="E306" s="201"/>
      <c r="F306" s="206">
        <v>78748</v>
      </c>
      <c r="G306" s="206">
        <v>7875</v>
      </c>
      <c r="H306" s="206">
        <v>787</v>
      </c>
      <c r="I306" s="202">
        <f t="shared" si="4"/>
        <v>71660</v>
      </c>
      <c r="J306" s="205" t="s">
        <v>46</v>
      </c>
      <c r="K306" s="205" t="s">
        <v>29</v>
      </c>
      <c r="L306" s="201" t="s">
        <v>1028</v>
      </c>
      <c r="M306" s="205" t="s">
        <v>2986</v>
      </c>
      <c r="N306" s="201" t="s">
        <v>1030</v>
      </c>
      <c r="O306" s="205" t="s">
        <v>652</v>
      </c>
      <c r="P306" s="205" t="s">
        <v>652</v>
      </c>
      <c r="Q306" s="208" t="s">
        <v>651</v>
      </c>
      <c r="R306" s="208" t="s">
        <v>673</v>
      </c>
      <c r="S306" s="208" t="s">
        <v>2978</v>
      </c>
    </row>
    <row r="307" spans="1:19" s="205" customFormat="1" hidden="1" x14ac:dyDescent="0.2">
      <c r="A307" s="205" t="s">
        <v>184</v>
      </c>
      <c r="B307" s="205" t="s">
        <v>912</v>
      </c>
      <c r="C307" s="200" t="s">
        <v>2978</v>
      </c>
      <c r="D307" s="201" t="s">
        <v>152</v>
      </c>
      <c r="E307" s="201"/>
      <c r="F307" s="206">
        <v>68476</v>
      </c>
      <c r="G307" s="206">
        <v>6848</v>
      </c>
      <c r="H307" s="206">
        <v>685</v>
      </c>
      <c r="I307" s="202">
        <f t="shared" si="4"/>
        <v>62313</v>
      </c>
      <c r="J307" s="205" t="s">
        <v>46</v>
      </c>
      <c r="K307" s="205" t="s">
        <v>29</v>
      </c>
      <c r="L307" s="201" t="s">
        <v>1028</v>
      </c>
      <c r="M307" s="205" t="s">
        <v>2987</v>
      </c>
      <c r="N307" s="201" t="s">
        <v>1030</v>
      </c>
      <c r="O307" s="205" t="s">
        <v>652</v>
      </c>
      <c r="P307" s="205" t="s">
        <v>652</v>
      </c>
      <c r="Q307" s="208" t="s">
        <v>651</v>
      </c>
      <c r="R307" s="208" t="s">
        <v>673</v>
      </c>
      <c r="S307" s="208" t="s">
        <v>2978</v>
      </c>
    </row>
    <row r="308" spans="1:19" s="205" customFormat="1" hidden="1" x14ac:dyDescent="0.2">
      <c r="A308" s="205" t="s">
        <v>184</v>
      </c>
      <c r="B308" s="205" t="s">
        <v>2988</v>
      </c>
      <c r="C308" s="200" t="s">
        <v>2978</v>
      </c>
      <c r="D308" s="201" t="s">
        <v>152</v>
      </c>
      <c r="E308" s="201"/>
      <c r="F308" s="206">
        <v>31212</v>
      </c>
      <c r="G308" s="206">
        <v>3121</v>
      </c>
      <c r="H308" s="206">
        <v>312</v>
      </c>
      <c r="I308" s="202">
        <f t="shared" si="4"/>
        <v>28403</v>
      </c>
      <c r="J308" s="205" t="s">
        <v>46</v>
      </c>
      <c r="K308" s="205" t="s">
        <v>29</v>
      </c>
      <c r="L308" s="201" t="s">
        <v>1028</v>
      </c>
      <c r="M308" s="205" t="s">
        <v>2989</v>
      </c>
      <c r="N308" s="201" t="s">
        <v>1030</v>
      </c>
      <c r="O308" s="205" t="s">
        <v>652</v>
      </c>
      <c r="P308" s="205" t="s">
        <v>652</v>
      </c>
      <c r="Q308" s="208" t="s">
        <v>651</v>
      </c>
      <c r="R308" s="208" t="s">
        <v>673</v>
      </c>
      <c r="S308" s="208" t="s">
        <v>2978</v>
      </c>
    </row>
    <row r="309" spans="1:19" s="205" customFormat="1" hidden="1" x14ac:dyDescent="0.2">
      <c r="A309" s="205" t="s">
        <v>184</v>
      </c>
      <c r="B309" s="205" t="s">
        <v>2990</v>
      </c>
      <c r="C309" s="200" t="s">
        <v>2978</v>
      </c>
      <c r="D309" s="201" t="s">
        <v>152</v>
      </c>
      <c r="E309" s="201"/>
      <c r="F309" s="206">
        <v>124462</v>
      </c>
      <c r="G309" s="206">
        <v>12446</v>
      </c>
      <c r="H309" s="206">
        <v>1245</v>
      </c>
      <c r="I309" s="202">
        <f t="shared" si="4"/>
        <v>113261</v>
      </c>
      <c r="J309" s="205" t="s">
        <v>46</v>
      </c>
      <c r="K309" s="205" t="s">
        <v>29</v>
      </c>
      <c r="L309" s="201" t="s">
        <v>1028</v>
      </c>
      <c r="M309" s="205" t="s">
        <v>2991</v>
      </c>
      <c r="N309" s="201" t="s">
        <v>1030</v>
      </c>
      <c r="O309" s="205" t="s">
        <v>652</v>
      </c>
      <c r="P309" s="205" t="s">
        <v>652</v>
      </c>
      <c r="Q309" s="208" t="s">
        <v>651</v>
      </c>
      <c r="R309" s="208" t="s">
        <v>673</v>
      </c>
      <c r="S309" s="208" t="s">
        <v>2978</v>
      </c>
    </row>
    <row r="310" spans="1:19" s="205" customFormat="1" hidden="1" x14ac:dyDescent="0.2">
      <c r="A310" s="205" t="s">
        <v>184</v>
      </c>
      <c r="B310" s="205" t="s">
        <v>2540</v>
      </c>
      <c r="C310" s="200" t="s">
        <v>2978</v>
      </c>
      <c r="D310" s="201" t="s">
        <v>152</v>
      </c>
      <c r="E310" s="201"/>
      <c r="F310" s="206">
        <v>94208</v>
      </c>
      <c r="G310" s="206">
        <v>9421</v>
      </c>
      <c r="H310" s="206">
        <v>942</v>
      </c>
      <c r="I310" s="202">
        <f t="shared" si="4"/>
        <v>85729</v>
      </c>
      <c r="J310" s="205" t="s">
        <v>46</v>
      </c>
      <c r="K310" s="205" t="s">
        <v>29</v>
      </c>
      <c r="L310" s="201" t="s">
        <v>1028</v>
      </c>
      <c r="M310" s="205" t="s">
        <v>2992</v>
      </c>
      <c r="N310" s="201" t="s">
        <v>1030</v>
      </c>
      <c r="O310" s="205" t="s">
        <v>652</v>
      </c>
      <c r="P310" s="205" t="s">
        <v>652</v>
      </c>
      <c r="Q310" s="208" t="s">
        <v>651</v>
      </c>
      <c r="R310" s="208" t="s">
        <v>673</v>
      </c>
      <c r="S310" s="208" t="s">
        <v>2978</v>
      </c>
    </row>
    <row r="311" spans="1:19" s="205" customFormat="1" hidden="1" x14ac:dyDescent="0.2">
      <c r="A311" s="205" t="s">
        <v>184</v>
      </c>
      <c r="B311" s="205" t="s">
        <v>2542</v>
      </c>
      <c r="C311" s="200" t="s">
        <v>2978</v>
      </c>
      <c r="D311" s="201" t="s">
        <v>152</v>
      </c>
      <c r="E311" s="201"/>
      <c r="F311" s="206">
        <v>67877</v>
      </c>
      <c r="G311" s="206">
        <v>6788</v>
      </c>
      <c r="H311" s="206">
        <v>679</v>
      </c>
      <c r="I311" s="202">
        <f t="shared" si="4"/>
        <v>61768</v>
      </c>
      <c r="J311" s="205" t="s">
        <v>46</v>
      </c>
      <c r="K311" s="205" t="s">
        <v>29</v>
      </c>
      <c r="L311" s="201" t="s">
        <v>1028</v>
      </c>
      <c r="M311" s="205" t="s">
        <v>2993</v>
      </c>
      <c r="N311" s="201" t="s">
        <v>1030</v>
      </c>
      <c r="O311" s="205" t="s">
        <v>652</v>
      </c>
      <c r="P311" s="205" t="s">
        <v>652</v>
      </c>
      <c r="Q311" s="208" t="s">
        <v>679</v>
      </c>
      <c r="R311" s="208" t="s">
        <v>796</v>
      </c>
      <c r="S311" s="208" t="s">
        <v>2978</v>
      </c>
    </row>
    <row r="312" spans="1:19" s="205" customFormat="1" hidden="1" x14ac:dyDescent="0.2">
      <c r="A312" s="205" t="s">
        <v>184</v>
      </c>
      <c r="B312" s="205" t="s">
        <v>2548</v>
      </c>
      <c r="C312" s="200" t="s">
        <v>2978</v>
      </c>
      <c r="D312" s="201" t="s">
        <v>152</v>
      </c>
      <c r="E312" s="201"/>
      <c r="F312" s="206">
        <v>68476</v>
      </c>
      <c r="G312" s="206">
        <v>6848</v>
      </c>
      <c r="H312" s="206">
        <v>685</v>
      </c>
      <c r="I312" s="202">
        <f t="shared" si="4"/>
        <v>62313</v>
      </c>
      <c r="J312" s="205" t="s">
        <v>46</v>
      </c>
      <c r="K312" s="205" t="s">
        <v>29</v>
      </c>
      <c r="L312" s="201" t="s">
        <v>1028</v>
      </c>
      <c r="M312" s="205" t="s">
        <v>2994</v>
      </c>
      <c r="N312" s="201" t="s">
        <v>1030</v>
      </c>
      <c r="O312" s="205" t="s">
        <v>652</v>
      </c>
      <c r="P312" s="205" t="s">
        <v>652</v>
      </c>
      <c r="Q312" s="208" t="s">
        <v>679</v>
      </c>
      <c r="R312" s="208" t="s">
        <v>796</v>
      </c>
      <c r="S312" s="208" t="s">
        <v>2978</v>
      </c>
    </row>
    <row r="313" spans="1:19" s="205" customFormat="1" hidden="1" x14ac:dyDescent="0.2">
      <c r="A313" s="205" t="s">
        <v>184</v>
      </c>
      <c r="B313" s="205" t="s">
        <v>2550</v>
      </c>
      <c r="C313" s="200" t="s">
        <v>2978</v>
      </c>
      <c r="D313" s="201" t="s">
        <v>152</v>
      </c>
      <c r="E313" s="201"/>
      <c r="F313" s="206">
        <v>82171</v>
      </c>
      <c r="G313" s="206">
        <v>8217</v>
      </c>
      <c r="H313" s="206">
        <v>822</v>
      </c>
      <c r="I313" s="202">
        <f t="shared" si="4"/>
        <v>74776</v>
      </c>
      <c r="J313" s="205" t="s">
        <v>46</v>
      </c>
      <c r="K313" s="205" t="s">
        <v>29</v>
      </c>
      <c r="L313" s="201" t="s">
        <v>1028</v>
      </c>
      <c r="M313" s="205" t="s">
        <v>2995</v>
      </c>
      <c r="N313" s="201" t="s">
        <v>1030</v>
      </c>
      <c r="O313" s="205" t="s">
        <v>652</v>
      </c>
      <c r="P313" s="205" t="s">
        <v>652</v>
      </c>
      <c r="Q313" s="208" t="s">
        <v>679</v>
      </c>
      <c r="R313" s="208" t="s">
        <v>796</v>
      </c>
      <c r="S313" s="208" t="s">
        <v>2978</v>
      </c>
    </row>
    <row r="314" spans="1:19" s="205" customFormat="1" hidden="1" x14ac:dyDescent="0.2">
      <c r="A314" s="205" t="s">
        <v>184</v>
      </c>
      <c r="B314" s="205" t="s">
        <v>2552</v>
      </c>
      <c r="C314" s="200" t="s">
        <v>2978</v>
      </c>
      <c r="D314" s="201" t="s">
        <v>152</v>
      </c>
      <c r="E314" s="201"/>
      <c r="F314" s="206">
        <v>31212</v>
      </c>
      <c r="G314" s="206">
        <v>3121</v>
      </c>
      <c r="H314" s="206">
        <v>312</v>
      </c>
      <c r="I314" s="202">
        <f t="shared" si="4"/>
        <v>28403</v>
      </c>
      <c r="J314" s="205" t="s">
        <v>46</v>
      </c>
      <c r="K314" s="205" t="s">
        <v>29</v>
      </c>
      <c r="L314" s="201" t="s">
        <v>1028</v>
      </c>
      <c r="M314" s="205" t="s">
        <v>2996</v>
      </c>
      <c r="N314" s="201" t="s">
        <v>1030</v>
      </c>
      <c r="O314" s="205" t="s">
        <v>652</v>
      </c>
      <c r="P314" s="205" t="s">
        <v>652</v>
      </c>
      <c r="Q314" s="208" t="s">
        <v>679</v>
      </c>
      <c r="R314" s="208" t="s">
        <v>796</v>
      </c>
      <c r="S314" s="208" t="s">
        <v>2978</v>
      </c>
    </row>
    <row r="315" spans="1:19" s="205" customFormat="1" hidden="1" x14ac:dyDescent="0.2">
      <c r="A315" s="205" t="s">
        <v>184</v>
      </c>
      <c r="B315" s="205" t="s">
        <v>2997</v>
      </c>
      <c r="C315" s="200" t="s">
        <v>2978</v>
      </c>
      <c r="D315" s="201" t="s">
        <v>152</v>
      </c>
      <c r="E315" s="201"/>
      <c r="F315" s="206">
        <v>67910</v>
      </c>
      <c r="G315" s="206">
        <v>6791</v>
      </c>
      <c r="H315" s="206">
        <v>679</v>
      </c>
      <c r="I315" s="202">
        <f t="shared" si="4"/>
        <v>61798</v>
      </c>
      <c r="J315" s="205" t="s">
        <v>46</v>
      </c>
      <c r="K315" s="205" t="s">
        <v>29</v>
      </c>
      <c r="L315" s="201" t="s">
        <v>1058</v>
      </c>
      <c r="M315" s="205" t="s">
        <v>2998</v>
      </c>
      <c r="N315" s="201" t="s">
        <v>1030</v>
      </c>
      <c r="O315" s="205" t="s">
        <v>652</v>
      </c>
      <c r="P315" s="205" t="s">
        <v>652</v>
      </c>
      <c r="Q315" s="208" t="s">
        <v>2999</v>
      </c>
      <c r="R315" s="208" t="s">
        <v>659</v>
      </c>
      <c r="S315" s="208" t="s">
        <v>2978</v>
      </c>
    </row>
    <row r="316" spans="1:19" s="205" customFormat="1" hidden="1" x14ac:dyDescent="0.2">
      <c r="A316" s="205" t="s">
        <v>119</v>
      </c>
      <c r="B316" s="205" t="s">
        <v>3000</v>
      </c>
      <c r="C316" s="200" t="s">
        <v>2978</v>
      </c>
      <c r="D316" s="201" t="s">
        <v>152</v>
      </c>
      <c r="E316" s="201"/>
      <c r="F316" s="206">
        <v>124503</v>
      </c>
      <c r="G316" s="206">
        <v>12450</v>
      </c>
      <c r="H316" s="206">
        <v>1245</v>
      </c>
      <c r="I316" s="202">
        <f t="shared" si="4"/>
        <v>113298</v>
      </c>
      <c r="J316" s="205" t="s">
        <v>31</v>
      </c>
      <c r="K316" s="205" t="s">
        <v>29</v>
      </c>
      <c r="L316" s="201" t="s">
        <v>1058</v>
      </c>
      <c r="M316" s="205" t="s">
        <v>3001</v>
      </c>
      <c r="N316" s="201" t="s">
        <v>1030</v>
      </c>
      <c r="O316" s="205" t="s">
        <v>652</v>
      </c>
      <c r="P316" s="205" t="s">
        <v>652</v>
      </c>
      <c r="Q316" s="208" t="s">
        <v>2191</v>
      </c>
      <c r="R316" s="208" t="s">
        <v>2192</v>
      </c>
      <c r="S316" s="208" t="s">
        <v>2978</v>
      </c>
    </row>
    <row r="317" spans="1:19" s="205" customFormat="1" hidden="1" x14ac:dyDescent="0.2">
      <c r="A317" s="205" t="s">
        <v>3002</v>
      </c>
      <c r="B317" s="205" t="s">
        <v>3003</v>
      </c>
      <c r="C317" s="200" t="s">
        <v>2978</v>
      </c>
      <c r="D317" s="199" t="s">
        <v>152</v>
      </c>
      <c r="E317" s="199"/>
      <c r="F317" s="206">
        <v>90769</v>
      </c>
      <c r="G317" s="206">
        <v>9077</v>
      </c>
      <c r="H317" s="206">
        <v>908</v>
      </c>
      <c r="I317" s="202">
        <f t="shared" si="4"/>
        <v>82600</v>
      </c>
      <c r="J317" s="205" t="s">
        <v>871</v>
      </c>
      <c r="K317" s="205" t="s">
        <v>29</v>
      </c>
      <c r="L317" s="199" t="s">
        <v>1058</v>
      </c>
      <c r="M317" s="205" t="s">
        <v>3004</v>
      </c>
      <c r="N317" s="201" t="s">
        <v>1030</v>
      </c>
      <c r="O317" s="205" t="s">
        <v>652</v>
      </c>
      <c r="P317" s="205" t="s">
        <v>652</v>
      </c>
      <c r="Q317" s="208" t="s">
        <v>2191</v>
      </c>
      <c r="R317" s="208" t="s">
        <v>2192</v>
      </c>
      <c r="S317" s="208" t="s">
        <v>2978</v>
      </c>
    </row>
    <row r="318" spans="1:19" s="205" customFormat="1" hidden="1" x14ac:dyDescent="0.2">
      <c r="A318" s="205" t="s">
        <v>3005</v>
      </c>
      <c r="B318" s="205" t="s">
        <v>3006</v>
      </c>
      <c r="C318" s="200" t="s">
        <v>2978</v>
      </c>
      <c r="D318" s="199" t="s">
        <v>152</v>
      </c>
      <c r="E318" s="199"/>
      <c r="F318" s="206">
        <v>124463</v>
      </c>
      <c r="G318" s="206">
        <v>12446</v>
      </c>
      <c r="H318" s="206">
        <v>1245</v>
      </c>
      <c r="I318" s="202">
        <f t="shared" si="4"/>
        <v>113262</v>
      </c>
      <c r="J318" s="205" t="s">
        <v>95</v>
      </c>
      <c r="K318" s="205" t="s">
        <v>29</v>
      </c>
      <c r="L318" s="199" t="s">
        <v>1028</v>
      </c>
      <c r="M318" s="205" t="s">
        <v>3007</v>
      </c>
      <c r="N318" s="201" t="s">
        <v>1030</v>
      </c>
      <c r="O318" s="205" t="s">
        <v>652</v>
      </c>
      <c r="P318" s="205" t="s">
        <v>652</v>
      </c>
      <c r="Q318" s="208" t="s">
        <v>2978</v>
      </c>
      <c r="R318" s="208" t="s">
        <v>3008</v>
      </c>
      <c r="S318" s="208" t="s">
        <v>2978</v>
      </c>
    </row>
    <row r="319" spans="1:19" s="205" customFormat="1" hidden="1" x14ac:dyDescent="0.2">
      <c r="A319" s="205" t="s">
        <v>2850</v>
      </c>
      <c r="B319" s="205" t="s">
        <v>3009</v>
      </c>
      <c r="C319" s="200" t="s">
        <v>2978</v>
      </c>
      <c r="D319" s="199" t="s">
        <v>152</v>
      </c>
      <c r="E319" s="199"/>
      <c r="F319" s="206">
        <v>92501</v>
      </c>
      <c r="G319" s="206">
        <v>9250</v>
      </c>
      <c r="H319" s="206">
        <v>925</v>
      </c>
      <c r="I319" s="202">
        <f t="shared" si="4"/>
        <v>84176</v>
      </c>
      <c r="J319" s="205" t="s">
        <v>329</v>
      </c>
      <c r="K319" s="205" t="s">
        <v>29</v>
      </c>
      <c r="L319" s="199" t="s">
        <v>1058</v>
      </c>
      <c r="M319" s="205" t="s">
        <v>3010</v>
      </c>
      <c r="N319" s="201" t="s">
        <v>1030</v>
      </c>
      <c r="O319" s="205" t="s">
        <v>652</v>
      </c>
      <c r="P319" s="205" t="s">
        <v>652</v>
      </c>
      <c r="Q319" s="208" t="s">
        <v>2191</v>
      </c>
      <c r="R319" s="208" t="s">
        <v>2192</v>
      </c>
      <c r="S319" s="208" t="s">
        <v>2978</v>
      </c>
    </row>
    <row r="320" spans="1:19" s="205" customFormat="1" hidden="1" x14ac:dyDescent="0.2">
      <c r="A320" s="205" t="s">
        <v>3011</v>
      </c>
      <c r="B320" s="205" t="s">
        <v>3012</v>
      </c>
      <c r="C320" s="200" t="s">
        <v>2978</v>
      </c>
      <c r="D320" s="199" t="s">
        <v>152</v>
      </c>
      <c r="E320" s="199"/>
      <c r="F320" s="206">
        <v>77655</v>
      </c>
      <c r="G320" s="206">
        <v>7766</v>
      </c>
      <c r="H320" s="206">
        <v>777</v>
      </c>
      <c r="I320" s="202">
        <f t="shared" si="4"/>
        <v>70666</v>
      </c>
      <c r="J320" s="205" t="s">
        <v>3013</v>
      </c>
      <c r="K320" s="205" t="s">
        <v>29</v>
      </c>
      <c r="L320" s="199" t="s">
        <v>1058</v>
      </c>
      <c r="M320" s="205" t="s">
        <v>3014</v>
      </c>
      <c r="N320" s="201" t="s">
        <v>1072</v>
      </c>
      <c r="O320" s="205" t="s">
        <v>652</v>
      </c>
      <c r="P320" s="205" t="s">
        <v>652</v>
      </c>
      <c r="Q320" s="208" t="s">
        <v>832</v>
      </c>
      <c r="R320" s="208" t="s">
        <v>1495</v>
      </c>
      <c r="S320" s="208" t="s">
        <v>2978</v>
      </c>
    </row>
    <row r="321" spans="1:20" s="205" customFormat="1" hidden="1" x14ac:dyDescent="0.2">
      <c r="A321" s="205" t="s">
        <v>3015</v>
      </c>
      <c r="B321" s="205" t="s">
        <v>3016</v>
      </c>
      <c r="C321" s="200" t="s">
        <v>2978</v>
      </c>
      <c r="D321" s="199" t="s">
        <v>152</v>
      </c>
      <c r="E321" s="199"/>
      <c r="F321" s="206">
        <v>29327</v>
      </c>
      <c r="G321" s="206">
        <v>2933</v>
      </c>
      <c r="H321" s="206">
        <v>293</v>
      </c>
      <c r="I321" s="202">
        <f t="shared" si="4"/>
        <v>26687</v>
      </c>
      <c r="J321" s="205" t="s">
        <v>329</v>
      </c>
      <c r="K321" s="205" t="s">
        <v>29</v>
      </c>
      <c r="L321" s="199" t="s">
        <v>1058</v>
      </c>
      <c r="M321" s="205" t="s">
        <v>3017</v>
      </c>
      <c r="N321" s="201" t="s">
        <v>1030</v>
      </c>
      <c r="O321" s="205" t="s">
        <v>652</v>
      </c>
      <c r="P321" s="205" t="s">
        <v>652</v>
      </c>
      <c r="Q321" s="208" t="s">
        <v>776</v>
      </c>
      <c r="R321" s="208" t="s">
        <v>2788</v>
      </c>
      <c r="S321" s="208" t="s">
        <v>2978</v>
      </c>
    </row>
    <row r="322" spans="1:20" s="205" customFormat="1" hidden="1" x14ac:dyDescent="0.2">
      <c r="A322" s="205" t="s">
        <v>3018</v>
      </c>
      <c r="B322" s="205" t="s">
        <v>3019</v>
      </c>
      <c r="C322" s="200" t="s">
        <v>2978</v>
      </c>
      <c r="D322" s="199" t="s">
        <v>152</v>
      </c>
      <c r="E322" s="199"/>
      <c r="F322" s="206">
        <v>29327</v>
      </c>
      <c r="G322" s="206">
        <v>2933</v>
      </c>
      <c r="H322" s="206">
        <v>293</v>
      </c>
      <c r="I322" s="202">
        <f t="shared" si="4"/>
        <v>26687</v>
      </c>
      <c r="J322" s="205" t="s">
        <v>329</v>
      </c>
      <c r="K322" s="205" t="s">
        <v>29</v>
      </c>
      <c r="L322" s="199" t="s">
        <v>1058</v>
      </c>
      <c r="M322" s="205" t="s">
        <v>3020</v>
      </c>
      <c r="N322" s="201" t="s">
        <v>1030</v>
      </c>
      <c r="O322" s="205" t="s">
        <v>652</v>
      </c>
      <c r="P322" s="205" t="s">
        <v>652</v>
      </c>
      <c r="Q322" s="208" t="s">
        <v>776</v>
      </c>
      <c r="R322" s="208" t="s">
        <v>2788</v>
      </c>
      <c r="S322" s="208" t="s">
        <v>2978</v>
      </c>
    </row>
    <row r="323" spans="1:20" s="205" customFormat="1" hidden="1" x14ac:dyDescent="0.2">
      <c r="A323" s="205" t="s">
        <v>180</v>
      </c>
      <c r="B323" s="205" t="s">
        <v>3021</v>
      </c>
      <c r="C323" s="200" t="s">
        <v>2978</v>
      </c>
      <c r="D323" s="199" t="s">
        <v>152</v>
      </c>
      <c r="E323" s="199"/>
      <c r="F323" s="206">
        <v>27005</v>
      </c>
      <c r="G323" s="206">
        <v>2701</v>
      </c>
      <c r="H323" s="206">
        <v>270</v>
      </c>
      <c r="I323" s="202">
        <f t="shared" ref="I323:I386" si="5">F323+H323-G323</f>
        <v>24574</v>
      </c>
      <c r="J323" s="205" t="s">
        <v>46</v>
      </c>
      <c r="K323" s="205" t="s">
        <v>29</v>
      </c>
      <c r="L323" s="199" t="s">
        <v>1028</v>
      </c>
      <c r="M323" s="205" t="s">
        <v>3022</v>
      </c>
      <c r="N323" s="201" t="s">
        <v>1030</v>
      </c>
      <c r="O323" s="205" t="s">
        <v>652</v>
      </c>
      <c r="P323" s="205" t="s">
        <v>652</v>
      </c>
      <c r="Q323" s="208" t="s">
        <v>651</v>
      </c>
      <c r="R323" s="208" t="s">
        <v>673</v>
      </c>
      <c r="S323" s="208" t="s">
        <v>2978</v>
      </c>
    </row>
    <row r="324" spans="1:20" s="205" customFormat="1" hidden="1" x14ac:dyDescent="0.2">
      <c r="A324" s="205" t="s">
        <v>180</v>
      </c>
      <c r="B324" s="205" t="s">
        <v>3023</v>
      </c>
      <c r="C324" s="200" t="s">
        <v>2978</v>
      </c>
      <c r="D324" s="199" t="s">
        <v>152</v>
      </c>
      <c r="E324" s="199"/>
      <c r="F324" s="206">
        <v>27005</v>
      </c>
      <c r="G324" s="206">
        <v>2701</v>
      </c>
      <c r="H324" s="206">
        <v>270</v>
      </c>
      <c r="I324" s="202">
        <f t="shared" si="5"/>
        <v>24574</v>
      </c>
      <c r="J324" s="205" t="s">
        <v>46</v>
      </c>
      <c r="K324" s="205" t="s">
        <v>29</v>
      </c>
      <c r="L324" s="199" t="s">
        <v>1042</v>
      </c>
      <c r="M324" s="205" t="s">
        <v>3024</v>
      </c>
      <c r="N324" s="201" t="s">
        <v>1030</v>
      </c>
      <c r="O324" s="205" t="s">
        <v>652</v>
      </c>
      <c r="P324" s="205" t="s">
        <v>652</v>
      </c>
      <c r="Q324" s="208" t="s">
        <v>651</v>
      </c>
      <c r="R324" s="208" t="s">
        <v>673</v>
      </c>
      <c r="S324" s="208" t="s">
        <v>2978</v>
      </c>
    </row>
    <row r="325" spans="1:20" s="205" customFormat="1" hidden="1" x14ac:dyDescent="0.2">
      <c r="A325" s="205" t="s">
        <v>506</v>
      </c>
      <c r="B325" s="205" t="s">
        <v>3025</v>
      </c>
      <c r="C325" s="200" t="s">
        <v>2978</v>
      </c>
      <c r="D325" s="199" t="s">
        <v>152</v>
      </c>
      <c r="E325" s="199"/>
      <c r="F325" s="206">
        <v>347616</v>
      </c>
      <c r="G325" s="206">
        <v>34762</v>
      </c>
      <c r="H325" s="206">
        <v>3476</v>
      </c>
      <c r="I325" s="202">
        <f t="shared" si="5"/>
        <v>316330</v>
      </c>
      <c r="J325" s="205" t="s">
        <v>3026</v>
      </c>
      <c r="K325" s="205" t="s">
        <v>29</v>
      </c>
      <c r="L325" s="199" t="s">
        <v>1028</v>
      </c>
      <c r="M325" s="205" t="s">
        <v>3027</v>
      </c>
      <c r="N325" s="201" t="s">
        <v>1030</v>
      </c>
      <c r="O325" s="205" t="s">
        <v>1614</v>
      </c>
      <c r="P325" s="205" t="s">
        <v>1191</v>
      </c>
      <c r="Q325" s="214" t="s">
        <v>846</v>
      </c>
      <c r="R325" s="214" t="s">
        <v>2922</v>
      </c>
      <c r="S325" s="214" t="s">
        <v>2978</v>
      </c>
    </row>
    <row r="326" spans="1:20" s="205" customFormat="1" hidden="1" x14ac:dyDescent="0.2">
      <c r="A326" s="205" t="s">
        <v>455</v>
      </c>
      <c r="B326" s="205" t="s">
        <v>958</v>
      </c>
      <c r="C326" s="200" t="s">
        <v>2978</v>
      </c>
      <c r="D326" s="199" t="s">
        <v>166</v>
      </c>
      <c r="E326" s="199"/>
      <c r="F326" s="206">
        <v>-432723</v>
      </c>
      <c r="G326" s="206">
        <v>-43272</v>
      </c>
      <c r="H326" s="206">
        <v>-4327</v>
      </c>
      <c r="I326" s="202">
        <f t="shared" si="5"/>
        <v>-393778</v>
      </c>
      <c r="J326" s="205" t="s">
        <v>28</v>
      </c>
      <c r="K326" s="205" t="s">
        <v>29</v>
      </c>
      <c r="L326" s="199" t="s">
        <v>1068</v>
      </c>
      <c r="M326" s="205" t="s">
        <v>3028</v>
      </c>
      <c r="N326" s="201" t="s">
        <v>1030</v>
      </c>
      <c r="O326" s="205" t="s">
        <v>1488</v>
      </c>
      <c r="P326" s="205" t="s">
        <v>1191</v>
      </c>
      <c r="Q326" s="214" t="s">
        <v>877</v>
      </c>
      <c r="R326" s="214" t="s">
        <v>957</v>
      </c>
      <c r="S326" s="214" t="s">
        <v>2978</v>
      </c>
    </row>
    <row r="327" spans="1:20" s="205" customFormat="1" hidden="1" x14ac:dyDescent="0.2">
      <c r="A327" s="209" t="s">
        <v>1163</v>
      </c>
      <c r="B327" s="209" t="s">
        <v>3029</v>
      </c>
      <c r="C327" s="234" t="s">
        <v>2978</v>
      </c>
      <c r="D327" s="201" t="s">
        <v>152</v>
      </c>
      <c r="E327" s="201"/>
      <c r="F327" s="211">
        <v>360532</v>
      </c>
      <c r="G327" s="211">
        <v>36053</v>
      </c>
      <c r="H327" s="211">
        <v>3605</v>
      </c>
      <c r="I327" s="202">
        <f t="shared" si="5"/>
        <v>328084</v>
      </c>
      <c r="J327" s="209" t="s">
        <v>46</v>
      </c>
      <c r="K327" s="209" t="s">
        <v>29</v>
      </c>
      <c r="L327" s="201" t="s">
        <v>1028</v>
      </c>
      <c r="M327" s="209" t="s">
        <v>3030</v>
      </c>
      <c r="N327" s="201" t="s">
        <v>1030</v>
      </c>
      <c r="O327" s="209" t="s">
        <v>1166</v>
      </c>
      <c r="P327" s="209" t="s">
        <v>1061</v>
      </c>
      <c r="Q327" s="213" t="s">
        <v>786</v>
      </c>
      <c r="R327" s="213" t="s">
        <v>962</v>
      </c>
      <c r="S327" s="213" t="s">
        <v>2978</v>
      </c>
      <c r="T327" s="209"/>
    </row>
    <row r="328" spans="1:20" s="205" customFormat="1" hidden="1" x14ac:dyDescent="0.2">
      <c r="A328" s="205" t="s">
        <v>3031</v>
      </c>
      <c r="B328" s="205" t="s">
        <v>3032</v>
      </c>
      <c r="C328" s="200" t="s">
        <v>2978</v>
      </c>
      <c r="D328" s="201" t="s">
        <v>152</v>
      </c>
      <c r="E328" s="201"/>
      <c r="F328" s="206">
        <v>81452</v>
      </c>
      <c r="G328" s="206">
        <v>8145</v>
      </c>
      <c r="H328" s="206">
        <v>407</v>
      </c>
      <c r="I328" s="202">
        <f t="shared" si="5"/>
        <v>73714</v>
      </c>
      <c r="J328" s="205" t="s">
        <v>787</v>
      </c>
      <c r="K328" s="205" t="s">
        <v>23</v>
      </c>
      <c r="L328" s="201" t="s">
        <v>1058</v>
      </c>
      <c r="M328" s="205" t="s">
        <v>3033</v>
      </c>
      <c r="N328" s="201" t="s">
        <v>1030</v>
      </c>
      <c r="O328" s="205" t="s">
        <v>652</v>
      </c>
      <c r="P328" s="205" t="s">
        <v>652</v>
      </c>
      <c r="Q328" s="208" t="s">
        <v>3034</v>
      </c>
      <c r="R328" s="208" t="s">
        <v>3035</v>
      </c>
      <c r="S328" s="208" t="s">
        <v>2978</v>
      </c>
    </row>
    <row r="329" spans="1:20" s="205" customFormat="1" hidden="1" x14ac:dyDescent="0.2">
      <c r="A329" s="205" t="s">
        <v>232</v>
      </c>
      <c r="B329" s="205" t="s">
        <v>983</v>
      </c>
      <c r="C329" s="200" t="s">
        <v>2978</v>
      </c>
      <c r="D329" s="201" t="s">
        <v>152</v>
      </c>
      <c r="E329" s="201"/>
      <c r="F329" s="206">
        <v>81737</v>
      </c>
      <c r="G329" s="206">
        <v>8174</v>
      </c>
      <c r="H329" s="206">
        <v>409</v>
      </c>
      <c r="I329" s="202">
        <f t="shared" si="5"/>
        <v>73972</v>
      </c>
      <c r="J329" s="205" t="s">
        <v>22</v>
      </c>
      <c r="K329" s="205" t="s">
        <v>23</v>
      </c>
      <c r="L329" s="201" t="s">
        <v>1141</v>
      </c>
      <c r="M329" s="205" t="s">
        <v>3036</v>
      </c>
      <c r="N329" s="201" t="s">
        <v>1030</v>
      </c>
      <c r="O329" s="205" t="s">
        <v>1190</v>
      </c>
      <c r="P329" s="205" t="s">
        <v>1191</v>
      </c>
      <c r="Q329" s="208" t="s">
        <v>864</v>
      </c>
      <c r="R329" s="208" t="s">
        <v>982</v>
      </c>
      <c r="S329" s="208" t="s">
        <v>2978</v>
      </c>
    </row>
    <row r="330" spans="1:20" s="205" customFormat="1" hidden="1" x14ac:dyDescent="0.2">
      <c r="A330" s="205" t="s">
        <v>83</v>
      </c>
      <c r="B330" s="205" t="s">
        <v>921</v>
      </c>
      <c r="C330" s="200" t="s">
        <v>2978</v>
      </c>
      <c r="D330" s="201" t="s">
        <v>152</v>
      </c>
      <c r="E330" s="201"/>
      <c r="F330" s="206">
        <v>15866</v>
      </c>
      <c r="G330" s="206">
        <v>1587</v>
      </c>
      <c r="H330" s="206">
        <v>79</v>
      </c>
      <c r="I330" s="202">
        <f t="shared" si="5"/>
        <v>14358</v>
      </c>
      <c r="J330" s="205" t="s">
        <v>44</v>
      </c>
      <c r="K330" s="205" t="s">
        <v>23</v>
      </c>
      <c r="L330" s="201" t="s">
        <v>1151</v>
      </c>
      <c r="M330" s="205" t="s">
        <v>3037</v>
      </c>
      <c r="N330" s="201" t="s">
        <v>1030</v>
      </c>
      <c r="O330" s="205" t="s">
        <v>652</v>
      </c>
      <c r="P330" s="205" t="s">
        <v>652</v>
      </c>
      <c r="Q330" s="208" t="s">
        <v>722</v>
      </c>
      <c r="R330" s="208" t="s">
        <v>723</v>
      </c>
      <c r="S330" s="208" t="s">
        <v>2978</v>
      </c>
    </row>
    <row r="331" spans="1:20" s="205" customFormat="1" hidden="1" x14ac:dyDescent="0.2">
      <c r="A331" s="205" t="s">
        <v>221</v>
      </c>
      <c r="B331" s="205" t="s">
        <v>1062</v>
      </c>
      <c r="C331" s="200" t="s">
        <v>2978</v>
      </c>
      <c r="D331" s="201" t="s">
        <v>152</v>
      </c>
      <c r="E331" s="201"/>
      <c r="F331" s="206">
        <v>118104</v>
      </c>
      <c r="G331" s="206">
        <v>11810</v>
      </c>
      <c r="H331" s="206">
        <v>591</v>
      </c>
      <c r="I331" s="202">
        <f t="shared" si="5"/>
        <v>106885</v>
      </c>
      <c r="J331" s="205" t="s">
        <v>224</v>
      </c>
      <c r="K331" s="205" t="s">
        <v>23</v>
      </c>
      <c r="L331" s="201" t="s">
        <v>1042</v>
      </c>
      <c r="M331" s="205" t="s">
        <v>3038</v>
      </c>
      <c r="N331" s="201" t="s">
        <v>1030</v>
      </c>
      <c r="O331" s="205" t="s">
        <v>652</v>
      </c>
      <c r="P331" s="205" t="s">
        <v>652</v>
      </c>
      <c r="Q331" s="208" t="s">
        <v>987</v>
      </c>
      <c r="R331" s="208" t="s">
        <v>988</v>
      </c>
      <c r="S331" s="208" t="s">
        <v>2978</v>
      </c>
    </row>
    <row r="332" spans="1:20" s="205" customFormat="1" hidden="1" x14ac:dyDescent="0.2">
      <c r="A332" s="205" t="s">
        <v>263</v>
      </c>
      <c r="B332" s="205" t="s">
        <v>2113</v>
      </c>
      <c r="C332" s="200" t="s">
        <v>2978</v>
      </c>
      <c r="D332" s="201" t="s">
        <v>152</v>
      </c>
      <c r="E332" s="201"/>
      <c r="F332" s="206">
        <v>7775</v>
      </c>
      <c r="G332" s="206">
        <v>778</v>
      </c>
      <c r="H332" s="206">
        <v>39</v>
      </c>
      <c r="I332" s="202">
        <f t="shared" si="5"/>
        <v>7036</v>
      </c>
      <c r="J332" s="205" t="s">
        <v>360</v>
      </c>
      <c r="K332" s="205" t="s">
        <v>23</v>
      </c>
      <c r="L332" s="201" t="s">
        <v>1151</v>
      </c>
      <c r="M332" s="205" t="s">
        <v>3039</v>
      </c>
      <c r="N332" s="201" t="s">
        <v>1030</v>
      </c>
      <c r="O332" s="205" t="s">
        <v>652</v>
      </c>
      <c r="P332" s="205" t="s">
        <v>652</v>
      </c>
      <c r="Q332" s="208" t="s">
        <v>992</v>
      </c>
      <c r="R332" s="208" t="s">
        <v>993</v>
      </c>
      <c r="S332" s="208" t="s">
        <v>2978</v>
      </c>
    </row>
    <row r="333" spans="1:20" s="205" customFormat="1" hidden="1" x14ac:dyDescent="0.2">
      <c r="A333" s="205" t="s">
        <v>380</v>
      </c>
      <c r="B333" s="205" t="s">
        <v>379</v>
      </c>
      <c r="C333" s="200" t="s">
        <v>2978</v>
      </c>
      <c r="D333" s="199" t="s">
        <v>152</v>
      </c>
      <c r="E333" s="199"/>
      <c r="F333" s="206">
        <v>45761</v>
      </c>
      <c r="G333" s="206">
        <v>4576</v>
      </c>
      <c r="H333" s="206">
        <v>229</v>
      </c>
      <c r="I333" s="202">
        <f t="shared" si="5"/>
        <v>41414</v>
      </c>
      <c r="J333" s="205" t="s">
        <v>38</v>
      </c>
      <c r="K333" s="205" t="s">
        <v>23</v>
      </c>
      <c r="L333" s="201" t="s">
        <v>1042</v>
      </c>
      <c r="M333" s="205" t="s">
        <v>3040</v>
      </c>
      <c r="N333" s="201" t="s">
        <v>1030</v>
      </c>
      <c r="O333" s="205" t="s">
        <v>1190</v>
      </c>
      <c r="P333" s="205" t="s">
        <v>1191</v>
      </c>
      <c r="Q333" s="208" t="s">
        <v>498</v>
      </c>
      <c r="R333" s="208" t="s">
        <v>828</v>
      </c>
      <c r="S333" s="208" t="s">
        <v>2978</v>
      </c>
    </row>
    <row r="334" spans="1:20" s="205" customFormat="1" hidden="1" x14ac:dyDescent="0.2">
      <c r="A334" s="205" t="s">
        <v>240</v>
      </c>
      <c r="B334" s="205" t="s">
        <v>3041</v>
      </c>
      <c r="C334" s="200" t="s">
        <v>2978</v>
      </c>
      <c r="D334" s="201" t="s">
        <v>152</v>
      </c>
      <c r="E334" s="201"/>
      <c r="F334" s="206">
        <v>85607</v>
      </c>
      <c r="G334" s="206">
        <v>8561</v>
      </c>
      <c r="H334" s="206">
        <v>428</v>
      </c>
      <c r="I334" s="202">
        <f t="shared" si="5"/>
        <v>77474</v>
      </c>
      <c r="J334" s="205" t="s">
        <v>489</v>
      </c>
      <c r="K334" s="205" t="s">
        <v>23</v>
      </c>
      <c r="L334" s="201" t="s">
        <v>1042</v>
      </c>
      <c r="M334" s="205" t="s">
        <v>3042</v>
      </c>
      <c r="N334" s="201" t="s">
        <v>1030</v>
      </c>
      <c r="O334" s="205" t="s">
        <v>652</v>
      </c>
      <c r="P334" s="205" t="s">
        <v>652</v>
      </c>
      <c r="Q334" s="208" t="s">
        <v>987</v>
      </c>
      <c r="R334" s="208" t="s">
        <v>988</v>
      </c>
      <c r="S334" s="208" t="s">
        <v>2978</v>
      </c>
    </row>
    <row r="335" spans="1:20" s="205" customFormat="1" hidden="1" x14ac:dyDescent="0.2">
      <c r="A335" s="205" t="s">
        <v>245</v>
      </c>
      <c r="B335" s="205" t="s">
        <v>3043</v>
      </c>
      <c r="C335" s="200" t="s">
        <v>2978</v>
      </c>
      <c r="D335" s="201" t="s">
        <v>152</v>
      </c>
      <c r="E335" s="201"/>
      <c r="F335" s="206">
        <v>22716</v>
      </c>
      <c r="G335" s="206">
        <v>2272</v>
      </c>
      <c r="H335" s="206">
        <v>114</v>
      </c>
      <c r="I335" s="202">
        <f t="shared" si="5"/>
        <v>20558</v>
      </c>
      <c r="J335" s="205" t="s">
        <v>489</v>
      </c>
      <c r="K335" s="205" t="s">
        <v>23</v>
      </c>
      <c r="L335" s="201" t="s">
        <v>1042</v>
      </c>
      <c r="M335" s="205" t="s">
        <v>3044</v>
      </c>
      <c r="N335" s="201" t="s">
        <v>1030</v>
      </c>
      <c r="O335" s="205" t="s">
        <v>652</v>
      </c>
      <c r="P335" s="205" t="s">
        <v>652</v>
      </c>
      <c r="Q335" s="208" t="s">
        <v>987</v>
      </c>
      <c r="R335" s="208" t="s">
        <v>988</v>
      </c>
      <c r="S335" s="208" t="s">
        <v>2978</v>
      </c>
    </row>
    <row r="336" spans="1:20" s="205" customFormat="1" hidden="1" x14ac:dyDescent="0.2">
      <c r="A336" s="205" t="s">
        <v>245</v>
      </c>
      <c r="B336" s="205" t="s">
        <v>3045</v>
      </c>
      <c r="C336" s="200" t="s">
        <v>2978</v>
      </c>
      <c r="D336" s="201" t="s">
        <v>152</v>
      </c>
      <c r="E336" s="201"/>
      <c r="F336" s="206">
        <v>22716</v>
      </c>
      <c r="G336" s="206">
        <v>2272</v>
      </c>
      <c r="H336" s="206">
        <v>114</v>
      </c>
      <c r="I336" s="202">
        <f t="shared" si="5"/>
        <v>20558</v>
      </c>
      <c r="J336" s="205" t="s">
        <v>489</v>
      </c>
      <c r="K336" s="205" t="s">
        <v>23</v>
      </c>
      <c r="L336" s="201" t="s">
        <v>1042</v>
      </c>
      <c r="M336" s="205" t="s">
        <v>3046</v>
      </c>
      <c r="N336" s="201" t="s">
        <v>1030</v>
      </c>
      <c r="O336" s="205" t="s">
        <v>652</v>
      </c>
      <c r="P336" s="205" t="s">
        <v>652</v>
      </c>
      <c r="Q336" s="208" t="s">
        <v>987</v>
      </c>
      <c r="R336" s="208" t="s">
        <v>988</v>
      </c>
      <c r="S336" s="208" t="s">
        <v>2978</v>
      </c>
    </row>
    <row r="337" spans="1:24" s="205" customFormat="1" hidden="1" x14ac:dyDescent="0.2">
      <c r="A337" s="205" t="s">
        <v>245</v>
      </c>
      <c r="B337" s="205" t="s">
        <v>3047</v>
      </c>
      <c r="C337" s="200" t="s">
        <v>2978</v>
      </c>
      <c r="D337" s="201" t="s">
        <v>152</v>
      </c>
      <c r="E337" s="201"/>
      <c r="F337" s="206">
        <v>22716</v>
      </c>
      <c r="G337" s="206">
        <v>2272</v>
      </c>
      <c r="H337" s="206">
        <v>114</v>
      </c>
      <c r="I337" s="202">
        <f t="shared" si="5"/>
        <v>20558</v>
      </c>
      <c r="J337" s="205" t="s">
        <v>489</v>
      </c>
      <c r="K337" s="205" t="s">
        <v>23</v>
      </c>
      <c r="L337" s="201" t="s">
        <v>1042</v>
      </c>
      <c r="M337" s="205" t="s">
        <v>3048</v>
      </c>
      <c r="N337" s="201" t="s">
        <v>1030</v>
      </c>
      <c r="O337" s="205" t="s">
        <v>652</v>
      </c>
      <c r="P337" s="205" t="s">
        <v>652</v>
      </c>
      <c r="Q337" s="208" t="s">
        <v>987</v>
      </c>
      <c r="R337" s="208" t="s">
        <v>988</v>
      </c>
      <c r="S337" s="208" t="s">
        <v>2978</v>
      </c>
    </row>
    <row r="338" spans="1:24" s="205" customFormat="1" hidden="1" x14ac:dyDescent="0.2">
      <c r="A338" s="205" t="s">
        <v>245</v>
      </c>
      <c r="B338" s="205" t="s">
        <v>3049</v>
      </c>
      <c r="C338" s="200" t="s">
        <v>2978</v>
      </c>
      <c r="D338" s="201" t="s">
        <v>152</v>
      </c>
      <c r="E338" s="201"/>
      <c r="F338" s="206">
        <v>44011</v>
      </c>
      <c r="G338" s="206">
        <v>4401</v>
      </c>
      <c r="H338" s="206">
        <v>220</v>
      </c>
      <c r="I338" s="202">
        <f t="shared" si="5"/>
        <v>39830</v>
      </c>
      <c r="J338" s="205" t="s">
        <v>489</v>
      </c>
      <c r="K338" s="205" t="s">
        <v>23</v>
      </c>
      <c r="L338" s="201" t="s">
        <v>1042</v>
      </c>
      <c r="M338" s="205" t="s">
        <v>3050</v>
      </c>
      <c r="N338" s="201" t="s">
        <v>1030</v>
      </c>
      <c r="O338" s="205" t="s">
        <v>652</v>
      </c>
      <c r="P338" s="205" t="s">
        <v>652</v>
      </c>
      <c r="Q338" s="208" t="s">
        <v>987</v>
      </c>
      <c r="R338" s="208" t="s">
        <v>988</v>
      </c>
      <c r="S338" s="208" t="s">
        <v>2978</v>
      </c>
    </row>
    <row r="339" spans="1:24" s="205" customFormat="1" hidden="1" x14ac:dyDescent="0.2">
      <c r="A339" s="205" t="s">
        <v>283</v>
      </c>
      <c r="B339" s="205" t="s">
        <v>3051</v>
      </c>
      <c r="C339" s="200" t="s">
        <v>2978</v>
      </c>
      <c r="D339" s="201" t="s">
        <v>152</v>
      </c>
      <c r="E339" s="201"/>
      <c r="F339" s="206">
        <v>94377</v>
      </c>
      <c r="G339" s="206">
        <v>9438</v>
      </c>
      <c r="H339" s="206">
        <v>472</v>
      </c>
      <c r="I339" s="202">
        <f t="shared" si="5"/>
        <v>85411</v>
      </c>
      <c r="J339" s="205" t="s">
        <v>489</v>
      </c>
      <c r="K339" s="205" t="s">
        <v>23</v>
      </c>
      <c r="L339" s="201" t="s">
        <v>1058</v>
      </c>
      <c r="M339" s="205" t="s">
        <v>3052</v>
      </c>
      <c r="N339" s="201" t="s">
        <v>1030</v>
      </c>
      <c r="O339" s="205" t="s">
        <v>652</v>
      </c>
      <c r="P339" s="205" t="s">
        <v>652</v>
      </c>
      <c r="Q339" s="216" t="s">
        <v>908</v>
      </c>
      <c r="R339" s="216" t="s">
        <v>909</v>
      </c>
      <c r="S339" s="216" t="s">
        <v>2978</v>
      </c>
    </row>
    <row r="340" spans="1:24" s="205" customFormat="1" hidden="1" x14ac:dyDescent="0.2">
      <c r="A340" s="205" t="s">
        <v>283</v>
      </c>
      <c r="B340" s="205" t="s">
        <v>3053</v>
      </c>
      <c r="C340" s="200" t="s">
        <v>2978</v>
      </c>
      <c r="D340" s="201" t="s">
        <v>152</v>
      </c>
      <c r="E340" s="201"/>
      <c r="F340" s="206">
        <v>127646</v>
      </c>
      <c r="G340" s="206">
        <v>12765</v>
      </c>
      <c r="H340" s="206">
        <v>638</v>
      </c>
      <c r="I340" s="202">
        <f t="shared" si="5"/>
        <v>115519</v>
      </c>
      <c r="J340" s="205" t="s">
        <v>489</v>
      </c>
      <c r="K340" s="205" t="s">
        <v>23</v>
      </c>
      <c r="L340" s="201" t="s">
        <v>1058</v>
      </c>
      <c r="M340" s="205" t="s">
        <v>3054</v>
      </c>
      <c r="N340" s="201" t="s">
        <v>1030</v>
      </c>
      <c r="O340" s="205" t="s">
        <v>652</v>
      </c>
      <c r="P340" s="205" t="s">
        <v>652</v>
      </c>
      <c r="Q340" s="208" t="s">
        <v>987</v>
      </c>
      <c r="R340" s="208" t="s">
        <v>988</v>
      </c>
      <c r="S340" s="208" t="s">
        <v>2978</v>
      </c>
    </row>
    <row r="341" spans="1:24" s="205" customFormat="1" hidden="1" x14ac:dyDescent="0.2">
      <c r="A341" s="205" t="s">
        <v>3055</v>
      </c>
      <c r="B341" s="205" t="s">
        <v>3056</v>
      </c>
      <c r="C341" s="200" t="s">
        <v>2978</v>
      </c>
      <c r="D341" s="201" t="s">
        <v>152</v>
      </c>
      <c r="E341" s="201"/>
      <c r="F341" s="206">
        <v>84793</v>
      </c>
      <c r="G341" s="206">
        <v>8479</v>
      </c>
      <c r="H341" s="206">
        <v>424</v>
      </c>
      <c r="I341" s="202">
        <f t="shared" si="5"/>
        <v>76738</v>
      </c>
      <c r="J341" s="205" t="s">
        <v>489</v>
      </c>
      <c r="K341" s="205" t="s">
        <v>23</v>
      </c>
      <c r="L341" s="201" t="s">
        <v>1058</v>
      </c>
      <c r="M341" s="205" t="s">
        <v>3057</v>
      </c>
      <c r="N341" s="201" t="s">
        <v>1030</v>
      </c>
      <c r="O341" s="205" t="s">
        <v>652</v>
      </c>
      <c r="P341" s="205" t="s">
        <v>652</v>
      </c>
      <c r="Q341" s="208" t="s">
        <v>987</v>
      </c>
      <c r="R341" s="208" t="s">
        <v>988</v>
      </c>
      <c r="S341" s="208" t="s">
        <v>2978</v>
      </c>
    </row>
    <row r="342" spans="1:24" s="205" customFormat="1" hidden="1" x14ac:dyDescent="0.2">
      <c r="A342" s="205" t="s">
        <v>3055</v>
      </c>
      <c r="B342" s="205" t="s">
        <v>3058</v>
      </c>
      <c r="C342" s="200" t="s">
        <v>2978</v>
      </c>
      <c r="D342" s="199" t="s">
        <v>152</v>
      </c>
      <c r="E342" s="199"/>
      <c r="F342" s="206">
        <v>85607</v>
      </c>
      <c r="G342" s="206">
        <v>8561</v>
      </c>
      <c r="H342" s="206">
        <v>428</v>
      </c>
      <c r="I342" s="202">
        <f t="shared" si="5"/>
        <v>77474</v>
      </c>
      <c r="J342" s="205" t="s">
        <v>489</v>
      </c>
      <c r="K342" s="205" t="s">
        <v>23</v>
      </c>
      <c r="L342" s="201" t="s">
        <v>1058</v>
      </c>
      <c r="M342" s="205" t="s">
        <v>3059</v>
      </c>
      <c r="N342" s="201" t="s">
        <v>1030</v>
      </c>
      <c r="O342" s="205" t="s">
        <v>652</v>
      </c>
      <c r="P342" s="205" t="s">
        <v>652</v>
      </c>
      <c r="Q342" s="208" t="s">
        <v>987</v>
      </c>
      <c r="R342" s="208" t="s">
        <v>988</v>
      </c>
      <c r="S342" s="208" t="s">
        <v>2978</v>
      </c>
    </row>
    <row r="343" spans="1:24" s="205" customFormat="1" hidden="1" x14ac:dyDescent="0.2">
      <c r="A343" s="205" t="s">
        <v>3055</v>
      </c>
      <c r="B343" s="205" t="s">
        <v>3060</v>
      </c>
      <c r="C343" s="200" t="s">
        <v>2978</v>
      </c>
      <c r="D343" s="199" t="s">
        <v>152</v>
      </c>
      <c r="E343" s="199"/>
      <c r="F343" s="206">
        <v>120957</v>
      </c>
      <c r="G343" s="206">
        <v>12096</v>
      </c>
      <c r="H343" s="206">
        <v>605</v>
      </c>
      <c r="I343" s="202">
        <f t="shared" si="5"/>
        <v>109466</v>
      </c>
      <c r="J343" s="205" t="s">
        <v>489</v>
      </c>
      <c r="K343" s="205" t="s">
        <v>23</v>
      </c>
      <c r="L343" s="201" t="s">
        <v>1058</v>
      </c>
      <c r="M343" s="205" t="s">
        <v>3061</v>
      </c>
      <c r="N343" s="201" t="s">
        <v>1030</v>
      </c>
      <c r="O343" s="205" t="s">
        <v>652</v>
      </c>
      <c r="P343" s="205" t="s">
        <v>652</v>
      </c>
      <c r="Q343" s="208" t="s">
        <v>987</v>
      </c>
      <c r="R343" s="208" t="s">
        <v>988</v>
      </c>
      <c r="S343" s="208" t="s">
        <v>2978</v>
      </c>
    </row>
    <row r="344" spans="1:24" s="205" customFormat="1" hidden="1" x14ac:dyDescent="0.2">
      <c r="A344" s="205" t="s">
        <v>3055</v>
      </c>
      <c r="B344" s="205" t="s">
        <v>3062</v>
      </c>
      <c r="C344" s="200" t="s">
        <v>2978</v>
      </c>
      <c r="D344" s="199" t="s">
        <v>152</v>
      </c>
      <c r="E344" s="199"/>
      <c r="F344" s="206">
        <v>85607</v>
      </c>
      <c r="G344" s="206">
        <v>8561</v>
      </c>
      <c r="H344" s="206">
        <v>428</v>
      </c>
      <c r="I344" s="202">
        <f t="shared" si="5"/>
        <v>77474</v>
      </c>
      <c r="J344" s="205" t="s">
        <v>489</v>
      </c>
      <c r="K344" s="205" t="s">
        <v>23</v>
      </c>
      <c r="L344" s="201" t="s">
        <v>1058</v>
      </c>
      <c r="M344" s="205" t="s">
        <v>3063</v>
      </c>
      <c r="N344" s="201" t="s">
        <v>1030</v>
      </c>
      <c r="O344" s="205" t="s">
        <v>652</v>
      </c>
      <c r="P344" s="205" t="s">
        <v>652</v>
      </c>
      <c r="Q344" s="208" t="s">
        <v>987</v>
      </c>
      <c r="R344" s="208" t="s">
        <v>988</v>
      </c>
      <c r="S344" s="208" t="s">
        <v>2978</v>
      </c>
    </row>
    <row r="345" spans="1:24" s="205" customFormat="1" hidden="1" x14ac:dyDescent="0.2">
      <c r="A345" s="205" t="s">
        <v>3055</v>
      </c>
      <c r="B345" s="205" t="s">
        <v>3064</v>
      </c>
      <c r="C345" s="200" t="s">
        <v>2978</v>
      </c>
      <c r="D345" s="201" t="s">
        <v>152</v>
      </c>
      <c r="E345" s="201"/>
      <c r="F345" s="206">
        <v>120957</v>
      </c>
      <c r="G345" s="206">
        <v>12096</v>
      </c>
      <c r="H345" s="206">
        <v>605</v>
      </c>
      <c r="I345" s="202">
        <f t="shared" si="5"/>
        <v>109466</v>
      </c>
      <c r="J345" s="205" t="s">
        <v>489</v>
      </c>
      <c r="K345" s="205" t="s">
        <v>23</v>
      </c>
      <c r="L345" s="201" t="s">
        <v>1058</v>
      </c>
      <c r="M345" s="205" t="s">
        <v>3065</v>
      </c>
      <c r="N345" s="201" t="s">
        <v>1030</v>
      </c>
      <c r="O345" s="205" t="s">
        <v>652</v>
      </c>
      <c r="P345" s="205" t="s">
        <v>652</v>
      </c>
      <c r="Q345" s="208" t="s">
        <v>987</v>
      </c>
      <c r="R345" s="208" t="s">
        <v>988</v>
      </c>
      <c r="S345" s="208" t="s">
        <v>2978</v>
      </c>
    </row>
    <row r="346" spans="1:24" s="205" customFormat="1" hidden="1" x14ac:dyDescent="0.2">
      <c r="A346" s="205" t="s">
        <v>1201</v>
      </c>
      <c r="B346" s="205" t="s">
        <v>1202</v>
      </c>
      <c r="C346" s="200" t="s">
        <v>2978</v>
      </c>
      <c r="D346" s="199" t="s">
        <v>152</v>
      </c>
      <c r="E346" s="199"/>
      <c r="F346" s="206">
        <v>158268</v>
      </c>
      <c r="G346" s="206">
        <v>15827</v>
      </c>
      <c r="H346" s="206">
        <v>791</v>
      </c>
      <c r="I346" s="202">
        <f t="shared" si="5"/>
        <v>143232</v>
      </c>
      <c r="J346" s="205" t="s">
        <v>81</v>
      </c>
      <c r="K346" s="205" t="s">
        <v>23</v>
      </c>
      <c r="L346" s="199" t="s">
        <v>1151</v>
      </c>
      <c r="M346" s="205" t="s">
        <v>3066</v>
      </c>
      <c r="N346" s="201" t="s">
        <v>1030</v>
      </c>
      <c r="O346" s="205" t="s">
        <v>1204</v>
      </c>
      <c r="P346" s="205" t="s">
        <v>1115</v>
      </c>
      <c r="Q346" s="208" t="s">
        <v>987</v>
      </c>
      <c r="R346" s="208" t="s">
        <v>988</v>
      </c>
      <c r="S346" s="208" t="s">
        <v>2978</v>
      </c>
    </row>
    <row r="347" spans="1:24" s="205" customFormat="1" hidden="1" x14ac:dyDescent="0.2">
      <c r="A347" s="205" t="s">
        <v>130</v>
      </c>
      <c r="B347" s="205" t="s">
        <v>623</v>
      </c>
      <c r="C347" s="200" t="s">
        <v>2978</v>
      </c>
      <c r="D347" s="199" t="s">
        <v>152</v>
      </c>
      <c r="E347" s="199"/>
      <c r="F347" s="206">
        <v>103306</v>
      </c>
      <c r="G347" s="206">
        <v>10331</v>
      </c>
      <c r="H347" s="206">
        <v>517</v>
      </c>
      <c r="I347" s="202">
        <f t="shared" si="5"/>
        <v>93492</v>
      </c>
      <c r="J347" s="205" t="s">
        <v>44</v>
      </c>
      <c r="K347" s="205" t="s">
        <v>23</v>
      </c>
      <c r="L347" s="199" t="s">
        <v>1042</v>
      </c>
      <c r="M347" s="205" t="s">
        <v>3067</v>
      </c>
      <c r="N347" s="201" t="s">
        <v>1030</v>
      </c>
      <c r="O347" s="205" t="s">
        <v>652</v>
      </c>
      <c r="P347" s="205" t="s">
        <v>652</v>
      </c>
      <c r="Q347" s="208" t="s">
        <v>653</v>
      </c>
      <c r="R347" s="208" t="s">
        <v>654</v>
      </c>
      <c r="S347" s="208" t="s">
        <v>2978</v>
      </c>
    </row>
    <row r="348" spans="1:24" s="205" customFormat="1" hidden="1" x14ac:dyDescent="0.2">
      <c r="A348" s="205" t="s">
        <v>421</v>
      </c>
      <c r="B348" s="205" t="s">
        <v>625</v>
      </c>
      <c r="C348" s="200" t="s">
        <v>2978</v>
      </c>
      <c r="D348" s="199" t="s">
        <v>152</v>
      </c>
      <c r="E348" s="199"/>
      <c r="F348" s="206">
        <v>42082</v>
      </c>
      <c r="G348" s="206">
        <v>4208</v>
      </c>
      <c r="H348" s="206">
        <v>210</v>
      </c>
      <c r="I348" s="202">
        <f t="shared" si="5"/>
        <v>38084</v>
      </c>
      <c r="J348" s="205" t="s">
        <v>44</v>
      </c>
      <c r="K348" s="205" t="s">
        <v>23</v>
      </c>
      <c r="L348" s="199" t="s">
        <v>1042</v>
      </c>
      <c r="M348" s="205" t="s">
        <v>3068</v>
      </c>
      <c r="N348" s="201" t="s">
        <v>1030</v>
      </c>
      <c r="O348" s="205" t="s">
        <v>652</v>
      </c>
      <c r="P348" s="205" t="s">
        <v>652</v>
      </c>
      <c r="Q348" s="214" t="s">
        <v>653</v>
      </c>
      <c r="R348" s="214" t="s">
        <v>654</v>
      </c>
      <c r="S348" s="214" t="s">
        <v>2978</v>
      </c>
    </row>
    <row r="349" spans="1:24" s="205" customFormat="1" hidden="1" x14ac:dyDescent="0.2">
      <c r="A349" s="209" t="s">
        <v>105</v>
      </c>
      <c r="B349" s="209" t="s">
        <v>618</v>
      </c>
      <c r="C349" s="234" t="s">
        <v>2978</v>
      </c>
      <c r="D349" s="201" t="s">
        <v>152</v>
      </c>
      <c r="E349" s="201"/>
      <c r="F349" s="211">
        <v>35089</v>
      </c>
      <c r="G349" s="211">
        <v>3509</v>
      </c>
      <c r="H349" s="211">
        <v>175</v>
      </c>
      <c r="I349" s="202">
        <f t="shared" si="5"/>
        <v>31755</v>
      </c>
      <c r="J349" s="209" t="s">
        <v>44</v>
      </c>
      <c r="K349" s="209" t="s">
        <v>23</v>
      </c>
      <c r="L349" s="201" t="s">
        <v>1042</v>
      </c>
      <c r="M349" s="209" t="s">
        <v>3069</v>
      </c>
      <c r="N349" s="201" t="s">
        <v>1030</v>
      </c>
      <c r="O349" s="209" t="s">
        <v>652</v>
      </c>
      <c r="P349" s="209" t="s">
        <v>652</v>
      </c>
      <c r="Q349" s="213" t="s">
        <v>653</v>
      </c>
      <c r="R349" s="213" t="s">
        <v>654</v>
      </c>
      <c r="S349" s="213" t="s">
        <v>2978</v>
      </c>
      <c r="T349" s="209"/>
    </row>
    <row r="350" spans="1:24" s="205" customFormat="1" hidden="1" x14ac:dyDescent="0.2">
      <c r="A350" s="209" t="s">
        <v>105</v>
      </c>
      <c r="B350" s="209" t="s">
        <v>619</v>
      </c>
      <c r="C350" s="234" t="s">
        <v>2978</v>
      </c>
      <c r="D350" s="201" t="s">
        <v>152</v>
      </c>
      <c r="E350" s="201"/>
      <c r="F350" s="211">
        <v>23560</v>
      </c>
      <c r="G350" s="211">
        <v>2356</v>
      </c>
      <c r="H350" s="211">
        <v>118</v>
      </c>
      <c r="I350" s="202">
        <f t="shared" si="5"/>
        <v>21322</v>
      </c>
      <c r="J350" s="209" t="s">
        <v>44</v>
      </c>
      <c r="K350" s="209" t="s">
        <v>23</v>
      </c>
      <c r="L350" s="201" t="s">
        <v>1042</v>
      </c>
      <c r="M350" s="209" t="s">
        <v>3070</v>
      </c>
      <c r="N350" s="201" t="s">
        <v>1030</v>
      </c>
      <c r="O350" s="209" t="s">
        <v>652</v>
      </c>
      <c r="P350" s="209" t="s">
        <v>652</v>
      </c>
      <c r="Q350" s="213" t="s">
        <v>653</v>
      </c>
      <c r="R350" s="213" t="s">
        <v>654</v>
      </c>
      <c r="S350" s="213" t="s">
        <v>2978</v>
      </c>
      <c r="T350" s="209"/>
    </row>
    <row r="351" spans="1:24" s="205" customFormat="1" hidden="1" x14ac:dyDescent="0.2">
      <c r="A351" s="209" t="s">
        <v>85</v>
      </c>
      <c r="B351" s="209" t="s">
        <v>338</v>
      </c>
      <c r="C351" s="234" t="s">
        <v>2978</v>
      </c>
      <c r="D351" s="201" t="s">
        <v>152</v>
      </c>
      <c r="E351" s="201"/>
      <c r="F351" s="211">
        <v>21278</v>
      </c>
      <c r="G351" s="211">
        <v>2128</v>
      </c>
      <c r="H351" s="211">
        <v>106</v>
      </c>
      <c r="I351" s="202">
        <f t="shared" si="5"/>
        <v>19256</v>
      </c>
      <c r="J351" s="209" t="s">
        <v>86</v>
      </c>
      <c r="K351" s="209" t="s">
        <v>23</v>
      </c>
      <c r="L351" s="201" t="s">
        <v>1042</v>
      </c>
      <c r="M351" s="209" t="s">
        <v>3071</v>
      </c>
      <c r="N351" s="201" t="s">
        <v>1030</v>
      </c>
      <c r="O351" s="209" t="s">
        <v>652</v>
      </c>
      <c r="P351" s="209" t="s">
        <v>652</v>
      </c>
      <c r="Q351" s="213" t="s">
        <v>696</v>
      </c>
      <c r="R351" s="213" t="s">
        <v>697</v>
      </c>
      <c r="S351" s="213" t="s">
        <v>2978</v>
      </c>
      <c r="T351" s="209"/>
      <c r="U351" s="209"/>
      <c r="V351" s="209"/>
      <c r="W351" s="209"/>
      <c r="X351" s="209"/>
    </row>
    <row r="352" spans="1:24" s="205" customFormat="1" hidden="1" x14ac:dyDescent="0.2">
      <c r="A352" s="205" t="s">
        <v>24</v>
      </c>
      <c r="B352" s="205" t="s">
        <v>622</v>
      </c>
      <c r="C352" s="200" t="s">
        <v>2978</v>
      </c>
      <c r="D352" s="201" t="s">
        <v>152</v>
      </c>
      <c r="E352" s="201"/>
      <c r="F352" s="206">
        <v>24625</v>
      </c>
      <c r="G352" s="206">
        <v>0</v>
      </c>
      <c r="H352" s="206">
        <v>0</v>
      </c>
      <c r="I352" s="202">
        <f t="shared" si="5"/>
        <v>24625</v>
      </c>
      <c r="J352" s="205" t="s">
        <v>25</v>
      </c>
      <c r="K352" s="205" t="s">
        <v>214</v>
      </c>
      <c r="L352" s="201" t="s">
        <v>1042</v>
      </c>
      <c r="M352" s="205" t="s">
        <v>3072</v>
      </c>
      <c r="N352" s="201" t="s">
        <v>1030</v>
      </c>
      <c r="O352" s="205" t="s">
        <v>652</v>
      </c>
      <c r="P352" s="205" t="s">
        <v>652</v>
      </c>
      <c r="Q352" s="208" t="s">
        <v>653</v>
      </c>
      <c r="R352" s="208" t="s">
        <v>654</v>
      </c>
      <c r="S352" s="208" t="s">
        <v>2978</v>
      </c>
      <c r="U352" s="209"/>
      <c r="V352" s="209"/>
      <c r="W352" s="209"/>
      <c r="X352" s="209"/>
    </row>
    <row r="353" spans="1:24" s="205" customFormat="1" hidden="1" x14ac:dyDescent="0.2">
      <c r="A353" s="205" t="s">
        <v>371</v>
      </c>
      <c r="B353" s="205" t="s">
        <v>610</v>
      </c>
      <c r="C353" s="200" t="s">
        <v>2978</v>
      </c>
      <c r="D353" s="199" t="s">
        <v>152</v>
      </c>
      <c r="E353" s="199"/>
      <c r="F353" s="206">
        <v>1042</v>
      </c>
      <c r="G353" s="206">
        <v>0</v>
      </c>
      <c r="H353" s="206">
        <v>0</v>
      </c>
      <c r="I353" s="202">
        <f t="shared" si="5"/>
        <v>1042</v>
      </c>
      <c r="J353" s="205" t="s">
        <v>25</v>
      </c>
      <c r="K353" s="205" t="s">
        <v>214</v>
      </c>
      <c r="L353" s="201" t="s">
        <v>1151</v>
      </c>
      <c r="M353" s="205" t="s">
        <v>3073</v>
      </c>
      <c r="N353" s="201" t="s">
        <v>1030</v>
      </c>
      <c r="O353" s="205" t="s">
        <v>652</v>
      </c>
      <c r="P353" s="205" t="s">
        <v>652</v>
      </c>
      <c r="Q353" s="216" t="s">
        <v>653</v>
      </c>
      <c r="R353" s="216" t="s">
        <v>654</v>
      </c>
      <c r="S353" s="216" t="s">
        <v>2978</v>
      </c>
      <c r="U353" s="209"/>
      <c r="V353" s="209"/>
      <c r="W353" s="209"/>
      <c r="X353" s="209"/>
    </row>
    <row r="354" spans="1:24" s="205" customFormat="1" hidden="1" x14ac:dyDescent="0.2">
      <c r="A354" s="205" t="s">
        <v>34</v>
      </c>
      <c r="B354" s="205" t="s">
        <v>583</v>
      </c>
      <c r="C354" s="200" t="s">
        <v>2978</v>
      </c>
      <c r="D354" s="201" t="s">
        <v>152</v>
      </c>
      <c r="E354" s="201"/>
      <c r="F354" s="206">
        <v>16059</v>
      </c>
      <c r="G354" s="206">
        <v>0</v>
      </c>
      <c r="H354" s="206">
        <v>0</v>
      </c>
      <c r="I354" s="202">
        <f t="shared" si="5"/>
        <v>16059</v>
      </c>
      <c r="J354" s="205" t="s">
        <v>25</v>
      </c>
      <c r="K354" s="205" t="s">
        <v>214</v>
      </c>
      <c r="L354" s="201" t="s">
        <v>1042</v>
      </c>
      <c r="M354" s="205" t="s">
        <v>3074</v>
      </c>
      <c r="N354" s="201" t="s">
        <v>1030</v>
      </c>
      <c r="O354" s="205" t="s">
        <v>652</v>
      </c>
      <c r="P354" s="205" t="s">
        <v>652</v>
      </c>
      <c r="Q354" s="208" t="s">
        <v>653</v>
      </c>
      <c r="R354" s="208" t="s">
        <v>654</v>
      </c>
      <c r="S354" s="208" t="s">
        <v>2978</v>
      </c>
      <c r="U354" s="209"/>
      <c r="V354" s="209"/>
      <c r="W354" s="209"/>
      <c r="X354" s="209"/>
    </row>
    <row r="355" spans="1:24" s="205" customFormat="1" hidden="1" x14ac:dyDescent="0.2">
      <c r="A355" s="205" t="s">
        <v>366</v>
      </c>
      <c r="B355" s="205" t="s">
        <v>365</v>
      </c>
      <c r="C355" s="200" t="s">
        <v>2978</v>
      </c>
      <c r="D355" s="199" t="s">
        <v>152</v>
      </c>
      <c r="E355" s="199"/>
      <c r="F355" s="206">
        <v>16610</v>
      </c>
      <c r="G355" s="206">
        <v>0</v>
      </c>
      <c r="H355" s="206">
        <v>0</v>
      </c>
      <c r="I355" s="202">
        <f t="shared" si="5"/>
        <v>16610</v>
      </c>
      <c r="J355" s="205" t="s">
        <v>25</v>
      </c>
      <c r="K355" s="205" t="s">
        <v>214</v>
      </c>
      <c r="L355" s="199" t="s">
        <v>1042</v>
      </c>
      <c r="M355" s="205" t="s">
        <v>3075</v>
      </c>
      <c r="N355" s="201" t="s">
        <v>1030</v>
      </c>
      <c r="O355" s="205" t="s">
        <v>1190</v>
      </c>
      <c r="P355" s="205" t="s">
        <v>1191</v>
      </c>
      <c r="Q355" s="208" t="s">
        <v>494</v>
      </c>
      <c r="R355" s="208" t="s">
        <v>780</v>
      </c>
      <c r="S355" s="208" t="s">
        <v>2978</v>
      </c>
      <c r="U355" s="209"/>
      <c r="V355" s="209"/>
      <c r="W355" s="209"/>
      <c r="X355" s="209"/>
    </row>
    <row r="356" spans="1:24" s="205" customFormat="1" hidden="1" x14ac:dyDescent="0.2">
      <c r="A356" s="209" t="s">
        <v>364</v>
      </c>
      <c r="B356" s="209" t="s">
        <v>363</v>
      </c>
      <c r="C356" s="234" t="s">
        <v>2978</v>
      </c>
      <c r="D356" s="201" t="s">
        <v>152</v>
      </c>
      <c r="E356" s="201"/>
      <c r="F356" s="211">
        <v>5429</v>
      </c>
      <c r="G356" s="206">
        <v>0</v>
      </c>
      <c r="H356" s="206">
        <v>0</v>
      </c>
      <c r="I356" s="202">
        <f t="shared" si="5"/>
        <v>5429</v>
      </c>
      <c r="J356" s="209" t="s">
        <v>25</v>
      </c>
      <c r="K356" s="209" t="s">
        <v>214</v>
      </c>
      <c r="L356" s="201" t="s">
        <v>1042</v>
      </c>
      <c r="M356" s="209" t="s">
        <v>3076</v>
      </c>
      <c r="N356" s="201" t="s">
        <v>1030</v>
      </c>
      <c r="O356" s="209" t="s">
        <v>652</v>
      </c>
      <c r="P356" s="209" t="s">
        <v>652</v>
      </c>
      <c r="Q356" s="213" t="s">
        <v>487</v>
      </c>
      <c r="R356" s="213" t="s">
        <v>854</v>
      </c>
      <c r="S356" s="213" t="s">
        <v>2978</v>
      </c>
      <c r="T356" s="209"/>
      <c r="U356" s="209"/>
      <c r="V356" s="209"/>
      <c r="W356" s="209"/>
      <c r="X356" s="209"/>
    </row>
    <row r="357" spans="1:24" s="205" customFormat="1" hidden="1" x14ac:dyDescent="0.2">
      <c r="A357" s="205" t="s">
        <v>3077</v>
      </c>
      <c r="B357" s="205" t="s">
        <v>3078</v>
      </c>
      <c r="C357" s="200" t="s">
        <v>830</v>
      </c>
      <c r="D357" s="201" t="s">
        <v>152</v>
      </c>
      <c r="E357" s="201"/>
      <c r="F357" s="206">
        <v>105577</v>
      </c>
      <c r="G357" s="206">
        <v>10558</v>
      </c>
      <c r="H357" s="206">
        <v>1056</v>
      </c>
      <c r="I357" s="202">
        <f t="shared" si="5"/>
        <v>96075</v>
      </c>
      <c r="J357" s="205" t="s">
        <v>3079</v>
      </c>
      <c r="K357" s="205" t="s">
        <v>29</v>
      </c>
      <c r="L357" s="201" t="s">
        <v>1028</v>
      </c>
      <c r="M357" s="205" t="s">
        <v>3080</v>
      </c>
      <c r="N357" s="201" t="s">
        <v>1030</v>
      </c>
      <c r="O357" s="205" t="s">
        <v>652</v>
      </c>
      <c r="P357" s="205" t="s">
        <v>652</v>
      </c>
      <c r="Q357" s="208" t="s">
        <v>2796</v>
      </c>
      <c r="R357" s="208" t="s">
        <v>2797</v>
      </c>
      <c r="S357" s="208" t="s">
        <v>830</v>
      </c>
    </row>
    <row r="358" spans="1:24" s="205" customFormat="1" hidden="1" x14ac:dyDescent="0.2">
      <c r="A358" s="205" t="s">
        <v>64</v>
      </c>
      <c r="B358" s="205" t="s">
        <v>514</v>
      </c>
      <c r="C358" s="200" t="s">
        <v>830</v>
      </c>
      <c r="D358" s="201" t="s">
        <v>152</v>
      </c>
      <c r="E358" s="201"/>
      <c r="F358" s="206">
        <v>66874</v>
      </c>
      <c r="G358" s="206">
        <v>6687</v>
      </c>
      <c r="H358" s="206">
        <v>669</v>
      </c>
      <c r="I358" s="202">
        <f t="shared" si="5"/>
        <v>60856</v>
      </c>
      <c r="J358" s="205" t="s">
        <v>31</v>
      </c>
      <c r="K358" s="205" t="s">
        <v>29</v>
      </c>
      <c r="L358" s="201" t="s">
        <v>1151</v>
      </c>
      <c r="M358" s="205" t="s">
        <v>3081</v>
      </c>
      <c r="N358" s="201" t="s">
        <v>1030</v>
      </c>
      <c r="O358" s="205" t="s">
        <v>652</v>
      </c>
      <c r="P358" s="205" t="s">
        <v>652</v>
      </c>
      <c r="Q358" s="208" t="s">
        <v>653</v>
      </c>
      <c r="R358" s="208" t="s">
        <v>654</v>
      </c>
      <c r="S358" s="208" t="s">
        <v>830</v>
      </c>
    </row>
    <row r="359" spans="1:24" s="205" customFormat="1" hidden="1" x14ac:dyDescent="0.2">
      <c r="A359" s="205" t="s">
        <v>119</v>
      </c>
      <c r="B359" s="205" t="s">
        <v>3082</v>
      </c>
      <c r="C359" s="200" t="s">
        <v>830</v>
      </c>
      <c r="D359" s="201" t="s">
        <v>152</v>
      </c>
      <c r="E359" s="201"/>
      <c r="F359" s="206">
        <v>84896</v>
      </c>
      <c r="G359" s="206">
        <v>8490</v>
      </c>
      <c r="H359" s="206">
        <v>849</v>
      </c>
      <c r="I359" s="202">
        <f t="shared" si="5"/>
        <v>77255</v>
      </c>
      <c r="J359" s="205" t="s">
        <v>31</v>
      </c>
      <c r="K359" s="205" t="s">
        <v>29</v>
      </c>
      <c r="L359" s="201" t="s">
        <v>1058</v>
      </c>
      <c r="M359" s="205" t="s">
        <v>3083</v>
      </c>
      <c r="N359" s="201" t="s">
        <v>1030</v>
      </c>
      <c r="O359" s="205" t="s">
        <v>652</v>
      </c>
      <c r="P359" s="205" t="s">
        <v>652</v>
      </c>
      <c r="Q359" s="208" t="s">
        <v>651</v>
      </c>
      <c r="R359" s="208" t="s">
        <v>673</v>
      </c>
      <c r="S359" s="208" t="s">
        <v>830</v>
      </c>
    </row>
    <row r="360" spans="1:24" s="205" customFormat="1" hidden="1" x14ac:dyDescent="0.2">
      <c r="A360" s="205" t="s">
        <v>119</v>
      </c>
      <c r="B360" s="205" t="s">
        <v>3084</v>
      </c>
      <c r="C360" s="200" t="s">
        <v>830</v>
      </c>
      <c r="D360" s="201" t="s">
        <v>152</v>
      </c>
      <c r="E360" s="201"/>
      <c r="F360" s="206">
        <v>27574</v>
      </c>
      <c r="G360" s="206">
        <v>2757</v>
      </c>
      <c r="H360" s="206">
        <v>276</v>
      </c>
      <c r="I360" s="202">
        <f t="shared" si="5"/>
        <v>25093</v>
      </c>
      <c r="J360" s="205" t="s">
        <v>31</v>
      </c>
      <c r="K360" s="205" t="s">
        <v>29</v>
      </c>
      <c r="L360" s="201" t="s">
        <v>1058</v>
      </c>
      <c r="M360" s="205" t="s">
        <v>3085</v>
      </c>
      <c r="N360" s="201" t="s">
        <v>1030</v>
      </c>
      <c r="O360" s="205" t="s">
        <v>652</v>
      </c>
      <c r="P360" s="205" t="s">
        <v>652</v>
      </c>
      <c r="Q360" s="208" t="s">
        <v>651</v>
      </c>
      <c r="R360" s="208" t="s">
        <v>673</v>
      </c>
      <c r="S360" s="208" t="s">
        <v>830</v>
      </c>
    </row>
    <row r="361" spans="1:24" s="205" customFormat="1" hidden="1" x14ac:dyDescent="0.2">
      <c r="A361" s="205" t="s">
        <v>125</v>
      </c>
      <c r="B361" s="205" t="s">
        <v>3086</v>
      </c>
      <c r="C361" s="200" t="s">
        <v>830</v>
      </c>
      <c r="D361" s="201" t="s">
        <v>152</v>
      </c>
      <c r="E361" s="201"/>
      <c r="F361" s="206">
        <v>40628</v>
      </c>
      <c r="G361" s="206">
        <v>4063</v>
      </c>
      <c r="H361" s="206">
        <v>406</v>
      </c>
      <c r="I361" s="202">
        <f t="shared" si="5"/>
        <v>36971</v>
      </c>
      <c r="J361" s="205" t="s">
        <v>31</v>
      </c>
      <c r="K361" s="205" t="s">
        <v>29</v>
      </c>
      <c r="L361" s="201" t="s">
        <v>1028</v>
      </c>
      <c r="M361" s="205" t="s">
        <v>3087</v>
      </c>
      <c r="N361" s="201" t="s">
        <v>1030</v>
      </c>
      <c r="O361" s="205" t="s">
        <v>652</v>
      </c>
      <c r="P361" s="205" t="s">
        <v>652</v>
      </c>
      <c r="Q361" s="208" t="s">
        <v>651</v>
      </c>
      <c r="R361" s="208" t="s">
        <v>673</v>
      </c>
      <c r="S361" s="208" t="s">
        <v>830</v>
      </c>
    </row>
    <row r="362" spans="1:24" s="205" customFormat="1" hidden="1" x14ac:dyDescent="0.2">
      <c r="A362" s="205" t="s">
        <v>125</v>
      </c>
      <c r="B362" s="205" t="s">
        <v>3088</v>
      </c>
      <c r="C362" s="200" t="s">
        <v>830</v>
      </c>
      <c r="D362" s="201" t="s">
        <v>152</v>
      </c>
      <c r="E362" s="201"/>
      <c r="F362" s="206">
        <v>27574</v>
      </c>
      <c r="G362" s="206">
        <v>2757</v>
      </c>
      <c r="H362" s="206">
        <v>276</v>
      </c>
      <c r="I362" s="202">
        <f t="shared" si="5"/>
        <v>25093</v>
      </c>
      <c r="J362" s="205" t="s">
        <v>31</v>
      </c>
      <c r="K362" s="205" t="s">
        <v>29</v>
      </c>
      <c r="L362" s="201" t="s">
        <v>1028</v>
      </c>
      <c r="M362" s="205" t="s">
        <v>3089</v>
      </c>
      <c r="N362" s="201" t="s">
        <v>1030</v>
      </c>
      <c r="O362" s="205" t="s">
        <v>652</v>
      </c>
      <c r="P362" s="205" t="s">
        <v>652</v>
      </c>
      <c r="Q362" s="208" t="s">
        <v>651</v>
      </c>
      <c r="R362" s="208" t="s">
        <v>673</v>
      </c>
      <c r="S362" s="208" t="s">
        <v>830</v>
      </c>
    </row>
    <row r="363" spans="1:24" s="205" customFormat="1" hidden="1" x14ac:dyDescent="0.2">
      <c r="A363" s="205" t="s">
        <v>125</v>
      </c>
      <c r="B363" s="205" t="s">
        <v>3090</v>
      </c>
      <c r="C363" s="200" t="s">
        <v>830</v>
      </c>
      <c r="D363" s="201" t="s">
        <v>152</v>
      </c>
      <c r="E363" s="201"/>
      <c r="F363" s="206">
        <v>51743</v>
      </c>
      <c r="G363" s="206">
        <v>5174</v>
      </c>
      <c r="H363" s="206">
        <v>517</v>
      </c>
      <c r="I363" s="202">
        <f t="shared" si="5"/>
        <v>47086</v>
      </c>
      <c r="J363" s="205" t="s">
        <v>31</v>
      </c>
      <c r="K363" s="205" t="s">
        <v>29</v>
      </c>
      <c r="L363" s="201" t="s">
        <v>1042</v>
      </c>
      <c r="M363" s="205" t="s">
        <v>3091</v>
      </c>
      <c r="N363" s="201" t="s">
        <v>1030</v>
      </c>
      <c r="O363" s="205" t="s">
        <v>652</v>
      </c>
      <c r="P363" s="205" t="s">
        <v>652</v>
      </c>
      <c r="Q363" s="208" t="s">
        <v>738</v>
      </c>
      <c r="R363" s="208" t="s">
        <v>739</v>
      </c>
      <c r="S363" s="208" t="s">
        <v>830</v>
      </c>
    </row>
    <row r="364" spans="1:24" s="205" customFormat="1" hidden="1" x14ac:dyDescent="0.2">
      <c r="A364" s="205" t="s">
        <v>785</v>
      </c>
      <c r="B364" s="205" t="s">
        <v>3092</v>
      </c>
      <c r="C364" s="200" t="s">
        <v>830</v>
      </c>
      <c r="D364" s="199" t="s">
        <v>152</v>
      </c>
      <c r="E364" s="199"/>
      <c r="F364" s="206">
        <v>101795</v>
      </c>
      <c r="G364" s="206">
        <v>10180</v>
      </c>
      <c r="H364" s="206">
        <v>1018</v>
      </c>
      <c r="I364" s="202">
        <f t="shared" si="5"/>
        <v>92633</v>
      </c>
      <c r="J364" s="205" t="s">
        <v>95</v>
      </c>
      <c r="K364" s="205" t="s">
        <v>29</v>
      </c>
      <c r="L364" s="199" t="s">
        <v>1058</v>
      </c>
      <c r="M364" s="205" t="s">
        <v>3093</v>
      </c>
      <c r="N364" s="201" t="s">
        <v>1030</v>
      </c>
      <c r="O364" s="205" t="s">
        <v>652</v>
      </c>
      <c r="P364" s="205" t="s">
        <v>652</v>
      </c>
      <c r="Q364" s="208" t="s">
        <v>2978</v>
      </c>
      <c r="R364" s="208" t="s">
        <v>3008</v>
      </c>
      <c r="S364" s="208" t="s">
        <v>830</v>
      </c>
    </row>
    <row r="365" spans="1:24" s="205" customFormat="1" hidden="1" x14ac:dyDescent="0.2">
      <c r="A365" s="205" t="s">
        <v>558</v>
      </c>
      <c r="B365" s="205" t="s">
        <v>559</v>
      </c>
      <c r="C365" s="200" t="s">
        <v>830</v>
      </c>
      <c r="D365" s="199" t="s">
        <v>152</v>
      </c>
      <c r="E365" s="199"/>
      <c r="F365" s="206">
        <v>93632</v>
      </c>
      <c r="G365" s="206">
        <v>9363</v>
      </c>
      <c r="H365" s="206">
        <v>936</v>
      </c>
      <c r="I365" s="202">
        <f t="shared" si="5"/>
        <v>85205</v>
      </c>
      <c r="J365" s="205" t="s">
        <v>31</v>
      </c>
      <c r="K365" s="205" t="s">
        <v>29</v>
      </c>
      <c r="L365" s="199" t="s">
        <v>1042</v>
      </c>
      <c r="M365" s="205" t="s">
        <v>3094</v>
      </c>
      <c r="N365" s="201" t="s">
        <v>1030</v>
      </c>
      <c r="O365" s="205" t="s">
        <v>1046</v>
      </c>
      <c r="P365" s="205" t="s">
        <v>1047</v>
      </c>
      <c r="Q365" s="208" t="s">
        <v>653</v>
      </c>
      <c r="R365" s="208" t="s">
        <v>654</v>
      </c>
      <c r="S365" s="208" t="s">
        <v>830</v>
      </c>
    </row>
    <row r="366" spans="1:24" s="205" customFormat="1" hidden="1" x14ac:dyDescent="0.2">
      <c r="A366" s="205" t="s">
        <v>3095</v>
      </c>
      <c r="B366" s="205" t="s">
        <v>3096</v>
      </c>
      <c r="C366" s="200" t="s">
        <v>830</v>
      </c>
      <c r="D366" s="199" t="s">
        <v>152</v>
      </c>
      <c r="E366" s="199"/>
      <c r="F366" s="206">
        <v>35581</v>
      </c>
      <c r="G366" s="206">
        <v>3558</v>
      </c>
      <c r="H366" s="206">
        <v>356</v>
      </c>
      <c r="I366" s="202">
        <f t="shared" si="5"/>
        <v>32379</v>
      </c>
      <c r="J366" s="205" t="s">
        <v>3097</v>
      </c>
      <c r="K366" s="205" t="s">
        <v>29</v>
      </c>
      <c r="L366" s="199" t="s">
        <v>1028</v>
      </c>
      <c r="M366" s="205" t="s">
        <v>3098</v>
      </c>
      <c r="N366" s="201" t="s">
        <v>1030</v>
      </c>
      <c r="O366" s="205" t="s">
        <v>652</v>
      </c>
      <c r="P366" s="205" t="s">
        <v>652</v>
      </c>
      <c r="Q366" s="208" t="s">
        <v>987</v>
      </c>
      <c r="R366" s="208" t="s">
        <v>988</v>
      </c>
      <c r="S366" s="208" t="s">
        <v>830</v>
      </c>
    </row>
    <row r="367" spans="1:24" s="205" customFormat="1" hidden="1" x14ac:dyDescent="0.2">
      <c r="A367" s="205" t="s">
        <v>42</v>
      </c>
      <c r="B367" s="205" t="s">
        <v>601</v>
      </c>
      <c r="C367" s="200" t="s">
        <v>830</v>
      </c>
      <c r="D367" s="199" t="s">
        <v>152</v>
      </c>
      <c r="E367" s="199"/>
      <c r="F367" s="206">
        <v>248687</v>
      </c>
      <c r="G367" s="206">
        <v>24869</v>
      </c>
      <c r="H367" s="206">
        <v>2487</v>
      </c>
      <c r="I367" s="202">
        <f t="shared" si="5"/>
        <v>226305</v>
      </c>
      <c r="J367" s="205" t="s">
        <v>43</v>
      </c>
      <c r="K367" s="205" t="s">
        <v>29</v>
      </c>
      <c r="L367" s="199" t="s">
        <v>1042</v>
      </c>
      <c r="M367" s="205" t="s">
        <v>3099</v>
      </c>
      <c r="N367" s="201" t="s">
        <v>1030</v>
      </c>
      <c r="O367" s="205" t="s">
        <v>652</v>
      </c>
      <c r="P367" s="205" t="s">
        <v>652</v>
      </c>
      <c r="Q367" s="214" t="s">
        <v>653</v>
      </c>
      <c r="R367" s="214" t="s">
        <v>654</v>
      </c>
      <c r="S367" s="214" t="s">
        <v>830</v>
      </c>
    </row>
    <row r="368" spans="1:24" s="205" customFormat="1" hidden="1" x14ac:dyDescent="0.2">
      <c r="A368" s="209" t="s">
        <v>447</v>
      </c>
      <c r="B368" s="209" t="s">
        <v>342</v>
      </c>
      <c r="C368" s="234" t="s">
        <v>830</v>
      </c>
      <c r="D368" s="201" t="s">
        <v>152</v>
      </c>
      <c r="E368" s="201"/>
      <c r="F368" s="211">
        <v>17213</v>
      </c>
      <c r="G368" s="211">
        <v>1721</v>
      </c>
      <c r="H368" s="211">
        <v>172</v>
      </c>
      <c r="I368" s="202">
        <f t="shared" si="5"/>
        <v>15664</v>
      </c>
      <c r="J368" s="209" t="s">
        <v>90</v>
      </c>
      <c r="K368" s="209" t="s">
        <v>29</v>
      </c>
      <c r="L368" s="201" t="s">
        <v>1042</v>
      </c>
      <c r="M368" s="209" t="s">
        <v>3100</v>
      </c>
      <c r="N368" s="201" t="s">
        <v>1030</v>
      </c>
      <c r="O368" s="209" t="s">
        <v>652</v>
      </c>
      <c r="P368" s="209" t="s">
        <v>652</v>
      </c>
      <c r="Q368" s="213" t="s">
        <v>3101</v>
      </c>
      <c r="R368" s="213" t="s">
        <v>3102</v>
      </c>
      <c r="S368" s="213" t="s">
        <v>830</v>
      </c>
      <c r="T368" s="209"/>
    </row>
    <row r="369" spans="1:19" s="205" customFormat="1" hidden="1" x14ac:dyDescent="0.2">
      <c r="A369" s="205" t="s">
        <v>537</v>
      </c>
      <c r="B369" s="205" t="s">
        <v>538</v>
      </c>
      <c r="C369" s="200" t="s">
        <v>830</v>
      </c>
      <c r="D369" s="201" t="s">
        <v>152</v>
      </c>
      <c r="E369" s="201"/>
      <c r="F369" s="206">
        <v>29904</v>
      </c>
      <c r="G369" s="206">
        <v>2990</v>
      </c>
      <c r="H369" s="206">
        <v>150</v>
      </c>
      <c r="I369" s="202">
        <f t="shared" si="5"/>
        <v>27064</v>
      </c>
      <c r="J369" s="205" t="s">
        <v>344</v>
      </c>
      <c r="K369" s="205" t="s">
        <v>23</v>
      </c>
      <c r="L369" s="201" t="s">
        <v>1042</v>
      </c>
      <c r="M369" s="205" t="s">
        <v>3103</v>
      </c>
      <c r="N369" s="201" t="s">
        <v>1030</v>
      </c>
      <c r="O369" s="205" t="s">
        <v>1065</v>
      </c>
      <c r="P369" s="205" t="s">
        <v>1066</v>
      </c>
      <c r="Q369" s="208" t="s">
        <v>688</v>
      </c>
      <c r="R369" s="208" t="s">
        <v>689</v>
      </c>
      <c r="S369" s="208" t="s">
        <v>830</v>
      </c>
    </row>
    <row r="370" spans="1:19" s="205" customFormat="1" hidden="1" x14ac:dyDescent="0.2">
      <c r="A370" s="205" t="s">
        <v>244</v>
      </c>
      <c r="B370" s="205" t="s">
        <v>3104</v>
      </c>
      <c r="C370" s="200" t="s">
        <v>830</v>
      </c>
      <c r="D370" s="201" t="s">
        <v>152</v>
      </c>
      <c r="E370" s="201"/>
      <c r="F370" s="206">
        <v>69284</v>
      </c>
      <c r="G370" s="206">
        <v>6928</v>
      </c>
      <c r="H370" s="206">
        <v>346</v>
      </c>
      <c r="I370" s="202">
        <f t="shared" si="5"/>
        <v>62702</v>
      </c>
      <c r="J370" s="205" t="s">
        <v>38</v>
      </c>
      <c r="K370" s="205" t="s">
        <v>23</v>
      </c>
      <c r="L370" s="201" t="s">
        <v>1028</v>
      </c>
      <c r="M370" s="205" t="s">
        <v>3105</v>
      </c>
      <c r="N370" s="201" t="s">
        <v>1030</v>
      </c>
      <c r="O370" s="205" t="s">
        <v>652</v>
      </c>
      <c r="P370" s="205" t="s">
        <v>652</v>
      </c>
      <c r="Q370" s="208" t="s">
        <v>663</v>
      </c>
      <c r="R370" s="208" t="s">
        <v>723</v>
      </c>
      <c r="S370" s="208" t="s">
        <v>830</v>
      </c>
    </row>
    <row r="371" spans="1:19" s="205" customFormat="1" hidden="1" x14ac:dyDescent="0.2">
      <c r="A371" s="205" t="s">
        <v>244</v>
      </c>
      <c r="B371" s="205" t="s">
        <v>3106</v>
      </c>
      <c r="C371" s="200" t="s">
        <v>830</v>
      </c>
      <c r="D371" s="201" t="s">
        <v>152</v>
      </c>
      <c r="E371" s="201"/>
      <c r="F371" s="206">
        <v>51322</v>
      </c>
      <c r="G371" s="206">
        <v>5132</v>
      </c>
      <c r="H371" s="206">
        <v>257</v>
      </c>
      <c r="I371" s="202">
        <f t="shared" si="5"/>
        <v>46447</v>
      </c>
      <c r="J371" s="205" t="s">
        <v>38</v>
      </c>
      <c r="K371" s="205" t="s">
        <v>23</v>
      </c>
      <c r="L371" s="201" t="s">
        <v>1028</v>
      </c>
      <c r="M371" s="205" t="s">
        <v>3107</v>
      </c>
      <c r="N371" s="201" t="s">
        <v>1030</v>
      </c>
      <c r="O371" s="205" t="s">
        <v>652</v>
      </c>
      <c r="P371" s="205" t="s">
        <v>652</v>
      </c>
      <c r="Q371" s="208" t="s">
        <v>663</v>
      </c>
      <c r="R371" s="208" t="s">
        <v>723</v>
      </c>
      <c r="S371" s="208" t="s">
        <v>830</v>
      </c>
    </row>
    <row r="372" spans="1:19" s="205" customFormat="1" hidden="1" x14ac:dyDescent="0.2">
      <c r="A372" s="205" t="s">
        <v>244</v>
      </c>
      <c r="B372" s="205" t="s">
        <v>3108</v>
      </c>
      <c r="C372" s="200" t="s">
        <v>830</v>
      </c>
      <c r="D372" s="201" t="s">
        <v>152</v>
      </c>
      <c r="E372" s="201"/>
      <c r="F372" s="206">
        <v>51322</v>
      </c>
      <c r="G372" s="206">
        <v>5132</v>
      </c>
      <c r="H372" s="206">
        <v>257</v>
      </c>
      <c r="I372" s="202">
        <f t="shared" si="5"/>
        <v>46447</v>
      </c>
      <c r="J372" s="205" t="s">
        <v>38</v>
      </c>
      <c r="K372" s="205" t="s">
        <v>23</v>
      </c>
      <c r="L372" s="201" t="s">
        <v>1028</v>
      </c>
      <c r="M372" s="205" t="s">
        <v>3109</v>
      </c>
      <c r="N372" s="201" t="s">
        <v>1030</v>
      </c>
      <c r="O372" s="205" t="s">
        <v>652</v>
      </c>
      <c r="P372" s="205" t="s">
        <v>652</v>
      </c>
      <c r="Q372" s="208" t="s">
        <v>663</v>
      </c>
      <c r="R372" s="208" t="s">
        <v>723</v>
      </c>
      <c r="S372" s="208" t="s">
        <v>830</v>
      </c>
    </row>
    <row r="373" spans="1:19" s="205" customFormat="1" hidden="1" x14ac:dyDescent="0.2">
      <c r="A373" s="205" t="s">
        <v>244</v>
      </c>
      <c r="B373" s="205" t="s">
        <v>3110</v>
      </c>
      <c r="C373" s="200" t="s">
        <v>830</v>
      </c>
      <c r="D373" s="201" t="s">
        <v>152</v>
      </c>
      <c r="E373" s="201"/>
      <c r="F373" s="206">
        <v>51793</v>
      </c>
      <c r="G373" s="206">
        <v>5179</v>
      </c>
      <c r="H373" s="206">
        <v>259</v>
      </c>
      <c r="I373" s="202">
        <f t="shared" si="5"/>
        <v>46873</v>
      </c>
      <c r="J373" s="205" t="s">
        <v>38</v>
      </c>
      <c r="K373" s="205" t="s">
        <v>23</v>
      </c>
      <c r="L373" s="201" t="s">
        <v>1028</v>
      </c>
      <c r="M373" s="205" t="s">
        <v>3111</v>
      </c>
      <c r="N373" s="201" t="s">
        <v>1030</v>
      </c>
      <c r="O373" s="205" t="s">
        <v>652</v>
      </c>
      <c r="P373" s="205" t="s">
        <v>652</v>
      </c>
      <c r="Q373" s="208" t="s">
        <v>651</v>
      </c>
      <c r="R373" s="208" t="s">
        <v>673</v>
      </c>
      <c r="S373" s="208" t="s">
        <v>830</v>
      </c>
    </row>
    <row r="374" spans="1:19" s="205" customFormat="1" hidden="1" x14ac:dyDescent="0.2">
      <c r="A374" s="205" t="s">
        <v>244</v>
      </c>
      <c r="B374" s="205" t="s">
        <v>3112</v>
      </c>
      <c r="C374" s="200" t="s">
        <v>830</v>
      </c>
      <c r="D374" s="201" t="s">
        <v>152</v>
      </c>
      <c r="E374" s="201"/>
      <c r="F374" s="206">
        <v>101876</v>
      </c>
      <c r="G374" s="206">
        <v>10188</v>
      </c>
      <c r="H374" s="206">
        <v>509</v>
      </c>
      <c r="I374" s="202">
        <f t="shared" si="5"/>
        <v>92197</v>
      </c>
      <c r="J374" s="205" t="s">
        <v>38</v>
      </c>
      <c r="K374" s="205" t="s">
        <v>23</v>
      </c>
      <c r="L374" s="201" t="s">
        <v>1028</v>
      </c>
      <c r="M374" s="205" t="s">
        <v>3113</v>
      </c>
      <c r="N374" s="201" t="s">
        <v>1030</v>
      </c>
      <c r="O374" s="205" t="s">
        <v>652</v>
      </c>
      <c r="P374" s="205" t="s">
        <v>652</v>
      </c>
      <c r="Q374" s="208" t="s">
        <v>2191</v>
      </c>
      <c r="R374" s="208" t="s">
        <v>2192</v>
      </c>
      <c r="S374" s="208" t="s">
        <v>830</v>
      </c>
    </row>
    <row r="375" spans="1:19" s="205" customFormat="1" hidden="1" x14ac:dyDescent="0.2">
      <c r="A375" s="205" t="s">
        <v>244</v>
      </c>
      <c r="B375" s="205" t="s">
        <v>3114</v>
      </c>
      <c r="C375" s="200" t="s">
        <v>830</v>
      </c>
      <c r="D375" s="201" t="s">
        <v>152</v>
      </c>
      <c r="E375" s="201"/>
      <c r="F375" s="206">
        <v>38699</v>
      </c>
      <c r="G375" s="206">
        <v>3870</v>
      </c>
      <c r="H375" s="206">
        <v>194</v>
      </c>
      <c r="I375" s="202">
        <f t="shared" si="5"/>
        <v>35023</v>
      </c>
      <c r="J375" s="205" t="s">
        <v>38</v>
      </c>
      <c r="K375" s="205" t="s">
        <v>23</v>
      </c>
      <c r="L375" s="201" t="s">
        <v>1042</v>
      </c>
      <c r="M375" s="205" t="s">
        <v>3115</v>
      </c>
      <c r="N375" s="201" t="s">
        <v>1030</v>
      </c>
      <c r="O375" s="205" t="s">
        <v>652</v>
      </c>
      <c r="P375" s="205" t="s">
        <v>652</v>
      </c>
      <c r="Q375" s="208" t="s">
        <v>2191</v>
      </c>
      <c r="R375" s="208" t="s">
        <v>2192</v>
      </c>
      <c r="S375" s="208" t="s">
        <v>830</v>
      </c>
    </row>
    <row r="376" spans="1:19" s="205" customFormat="1" hidden="1" x14ac:dyDescent="0.2">
      <c r="A376" s="205" t="s">
        <v>244</v>
      </c>
      <c r="B376" s="205" t="s">
        <v>3116</v>
      </c>
      <c r="C376" s="200" t="s">
        <v>830</v>
      </c>
      <c r="D376" s="201" t="s">
        <v>152</v>
      </c>
      <c r="E376" s="201"/>
      <c r="F376" s="206">
        <v>67331</v>
      </c>
      <c r="G376" s="206">
        <v>6733</v>
      </c>
      <c r="H376" s="206">
        <v>337</v>
      </c>
      <c r="I376" s="202">
        <f t="shared" si="5"/>
        <v>60935</v>
      </c>
      <c r="J376" s="205" t="s">
        <v>38</v>
      </c>
      <c r="K376" s="205" t="s">
        <v>23</v>
      </c>
      <c r="L376" s="201" t="s">
        <v>1028</v>
      </c>
      <c r="M376" s="205" t="s">
        <v>3117</v>
      </c>
      <c r="N376" s="201" t="s">
        <v>1030</v>
      </c>
      <c r="O376" s="205" t="s">
        <v>652</v>
      </c>
      <c r="P376" s="205" t="s">
        <v>652</v>
      </c>
      <c r="Q376" s="208" t="s">
        <v>987</v>
      </c>
      <c r="R376" s="208" t="s">
        <v>988</v>
      </c>
      <c r="S376" s="208" t="s">
        <v>830</v>
      </c>
    </row>
    <row r="377" spans="1:19" s="205" customFormat="1" hidden="1" x14ac:dyDescent="0.2">
      <c r="A377" s="205" t="s">
        <v>244</v>
      </c>
      <c r="B377" s="205" t="s">
        <v>3118</v>
      </c>
      <c r="C377" s="200" t="s">
        <v>830</v>
      </c>
      <c r="D377" s="201" t="s">
        <v>152</v>
      </c>
      <c r="E377" s="201"/>
      <c r="F377" s="206">
        <v>84164</v>
      </c>
      <c r="G377" s="206">
        <v>8416</v>
      </c>
      <c r="H377" s="206">
        <v>421</v>
      </c>
      <c r="I377" s="202">
        <f t="shared" si="5"/>
        <v>76169</v>
      </c>
      <c r="J377" s="205" t="s">
        <v>38</v>
      </c>
      <c r="K377" s="205" t="s">
        <v>23</v>
      </c>
      <c r="L377" s="201" t="s">
        <v>1028</v>
      </c>
      <c r="M377" s="205" t="s">
        <v>3119</v>
      </c>
      <c r="N377" s="201" t="s">
        <v>1030</v>
      </c>
      <c r="O377" s="205" t="s">
        <v>652</v>
      </c>
      <c r="P377" s="205" t="s">
        <v>652</v>
      </c>
      <c r="Q377" s="208" t="s">
        <v>987</v>
      </c>
      <c r="R377" s="208" t="s">
        <v>988</v>
      </c>
      <c r="S377" s="208" t="s">
        <v>830</v>
      </c>
    </row>
    <row r="378" spans="1:19" s="205" customFormat="1" hidden="1" x14ac:dyDescent="0.2">
      <c r="A378" s="205" t="s">
        <v>244</v>
      </c>
      <c r="B378" s="205" t="s">
        <v>3120</v>
      </c>
      <c r="C378" s="200" t="s">
        <v>830</v>
      </c>
      <c r="D378" s="201" t="s">
        <v>152</v>
      </c>
      <c r="E378" s="201"/>
      <c r="F378" s="206">
        <v>100997</v>
      </c>
      <c r="G378" s="206">
        <v>10100</v>
      </c>
      <c r="H378" s="206">
        <v>505</v>
      </c>
      <c r="I378" s="202">
        <f t="shared" si="5"/>
        <v>91402</v>
      </c>
      <c r="J378" s="205" t="s">
        <v>38</v>
      </c>
      <c r="K378" s="205" t="s">
        <v>23</v>
      </c>
      <c r="L378" s="201" t="s">
        <v>1028</v>
      </c>
      <c r="M378" s="205" t="s">
        <v>3121</v>
      </c>
      <c r="N378" s="201" t="s">
        <v>1030</v>
      </c>
      <c r="O378" s="205" t="s">
        <v>652</v>
      </c>
      <c r="P378" s="205" t="s">
        <v>652</v>
      </c>
      <c r="Q378" s="208" t="s">
        <v>987</v>
      </c>
      <c r="R378" s="208" t="s">
        <v>988</v>
      </c>
      <c r="S378" s="208" t="s">
        <v>830</v>
      </c>
    </row>
    <row r="379" spans="1:19" s="205" customFormat="1" hidden="1" x14ac:dyDescent="0.2">
      <c r="A379" s="205" t="s">
        <v>244</v>
      </c>
      <c r="B379" s="205" t="s">
        <v>3122</v>
      </c>
      <c r="C379" s="200" t="s">
        <v>830</v>
      </c>
      <c r="D379" s="201" t="s">
        <v>152</v>
      </c>
      <c r="E379" s="201"/>
      <c r="F379" s="206">
        <v>51793</v>
      </c>
      <c r="G379" s="206">
        <v>5179</v>
      </c>
      <c r="H379" s="206">
        <v>259</v>
      </c>
      <c r="I379" s="202">
        <f t="shared" si="5"/>
        <v>46873</v>
      </c>
      <c r="J379" s="205" t="s">
        <v>38</v>
      </c>
      <c r="K379" s="205" t="s">
        <v>23</v>
      </c>
      <c r="L379" s="201" t="s">
        <v>1028</v>
      </c>
      <c r="M379" s="205" t="s">
        <v>3123</v>
      </c>
      <c r="N379" s="201" t="s">
        <v>1030</v>
      </c>
      <c r="O379" s="205" t="s">
        <v>652</v>
      </c>
      <c r="P379" s="205" t="s">
        <v>652</v>
      </c>
      <c r="Q379" s="208" t="s">
        <v>987</v>
      </c>
      <c r="R379" s="208" t="s">
        <v>988</v>
      </c>
      <c r="S379" s="208" t="s">
        <v>830</v>
      </c>
    </row>
    <row r="380" spans="1:19" s="205" customFormat="1" hidden="1" x14ac:dyDescent="0.2">
      <c r="A380" s="205" t="s">
        <v>244</v>
      </c>
      <c r="B380" s="205" t="s">
        <v>3124</v>
      </c>
      <c r="C380" s="200" t="s">
        <v>830</v>
      </c>
      <c r="D380" s="201" t="s">
        <v>152</v>
      </c>
      <c r="E380" s="201"/>
      <c r="F380" s="206">
        <v>76212</v>
      </c>
      <c r="G380" s="206">
        <v>7621</v>
      </c>
      <c r="H380" s="206">
        <v>381</v>
      </c>
      <c r="I380" s="202">
        <f t="shared" si="5"/>
        <v>68972</v>
      </c>
      <c r="J380" s="205" t="s">
        <v>38</v>
      </c>
      <c r="K380" s="205" t="s">
        <v>23</v>
      </c>
      <c r="L380" s="201" t="s">
        <v>1028</v>
      </c>
      <c r="M380" s="205" t="s">
        <v>3125</v>
      </c>
      <c r="N380" s="201" t="s">
        <v>1030</v>
      </c>
      <c r="O380" s="205" t="s">
        <v>652</v>
      </c>
      <c r="P380" s="205" t="s">
        <v>652</v>
      </c>
      <c r="Q380" s="216" t="s">
        <v>663</v>
      </c>
      <c r="R380" s="216" t="s">
        <v>723</v>
      </c>
      <c r="S380" s="216" t="s">
        <v>830</v>
      </c>
    </row>
    <row r="381" spans="1:19" s="205" customFormat="1" hidden="1" x14ac:dyDescent="0.2">
      <c r="A381" s="205" t="s">
        <v>244</v>
      </c>
      <c r="B381" s="205" t="s">
        <v>3126</v>
      </c>
      <c r="C381" s="200" t="s">
        <v>830</v>
      </c>
      <c r="D381" s="201" t="s">
        <v>152</v>
      </c>
      <c r="E381" s="201"/>
      <c r="F381" s="206">
        <v>90069</v>
      </c>
      <c r="G381" s="206">
        <v>9007</v>
      </c>
      <c r="H381" s="206">
        <v>450</v>
      </c>
      <c r="I381" s="202">
        <f t="shared" si="5"/>
        <v>81512</v>
      </c>
      <c r="J381" s="205" t="s">
        <v>38</v>
      </c>
      <c r="K381" s="205" t="s">
        <v>23</v>
      </c>
      <c r="L381" s="201" t="s">
        <v>1028</v>
      </c>
      <c r="M381" s="205" t="s">
        <v>3127</v>
      </c>
      <c r="N381" s="201" t="s">
        <v>1030</v>
      </c>
      <c r="O381" s="205" t="s">
        <v>652</v>
      </c>
      <c r="P381" s="205" t="s">
        <v>652</v>
      </c>
      <c r="Q381" s="216" t="s">
        <v>2191</v>
      </c>
      <c r="R381" s="216" t="s">
        <v>2192</v>
      </c>
      <c r="S381" s="216" t="s">
        <v>830</v>
      </c>
    </row>
    <row r="382" spans="1:19" s="205" customFormat="1" hidden="1" x14ac:dyDescent="0.2">
      <c r="A382" s="205" t="s">
        <v>244</v>
      </c>
      <c r="B382" s="205" t="s">
        <v>3128</v>
      </c>
      <c r="C382" s="200" t="s">
        <v>830</v>
      </c>
      <c r="D382" s="201" t="s">
        <v>152</v>
      </c>
      <c r="E382" s="201"/>
      <c r="F382" s="206">
        <v>47759</v>
      </c>
      <c r="G382" s="206">
        <v>4776</v>
      </c>
      <c r="H382" s="206">
        <v>239</v>
      </c>
      <c r="I382" s="202">
        <f t="shared" si="5"/>
        <v>43222</v>
      </c>
      <c r="J382" s="205" t="s">
        <v>38</v>
      </c>
      <c r="K382" s="205" t="s">
        <v>23</v>
      </c>
      <c r="L382" s="201" t="s">
        <v>1028</v>
      </c>
      <c r="M382" s="205" t="s">
        <v>3129</v>
      </c>
      <c r="N382" s="201" t="s">
        <v>1030</v>
      </c>
      <c r="O382" s="205" t="s">
        <v>652</v>
      </c>
      <c r="P382" s="205" t="s">
        <v>652</v>
      </c>
      <c r="Q382" s="216" t="s">
        <v>2191</v>
      </c>
      <c r="R382" s="218" t="s">
        <v>2192</v>
      </c>
      <c r="S382" s="208" t="s">
        <v>830</v>
      </c>
    </row>
    <row r="383" spans="1:19" s="205" customFormat="1" x14ac:dyDescent="0.2">
      <c r="A383" s="205" t="s">
        <v>244</v>
      </c>
      <c r="B383" s="205" t="s">
        <v>3130</v>
      </c>
      <c r="C383" s="200" t="s">
        <v>830</v>
      </c>
      <c r="D383" s="201" t="s">
        <v>152</v>
      </c>
      <c r="E383" s="201"/>
      <c r="F383" s="206">
        <v>27213</v>
      </c>
      <c r="G383" s="206">
        <v>2721</v>
      </c>
      <c r="H383" s="206">
        <v>136</v>
      </c>
      <c r="I383" s="202">
        <f t="shared" si="5"/>
        <v>24628</v>
      </c>
      <c r="J383" s="205" t="s">
        <v>38</v>
      </c>
      <c r="K383" s="205" t="s">
        <v>23</v>
      </c>
      <c r="L383" s="201" t="s">
        <v>1028</v>
      </c>
      <c r="M383" s="205" t="s">
        <v>3131</v>
      </c>
      <c r="N383" s="201" t="s">
        <v>1030</v>
      </c>
      <c r="O383" s="205" t="s">
        <v>652</v>
      </c>
      <c r="P383" s="205" t="s">
        <v>652</v>
      </c>
      <c r="Q383" s="208" t="s">
        <v>1400</v>
      </c>
      <c r="R383" s="208" t="s">
        <v>3132</v>
      </c>
      <c r="S383" s="208" t="s">
        <v>830</v>
      </c>
    </row>
    <row r="384" spans="1:19" s="205" customFormat="1" hidden="1" x14ac:dyDescent="0.2">
      <c r="A384" s="205" t="s">
        <v>244</v>
      </c>
      <c r="B384" s="205" t="s">
        <v>3133</v>
      </c>
      <c r="C384" s="200" t="s">
        <v>830</v>
      </c>
      <c r="D384" s="201" t="s">
        <v>152</v>
      </c>
      <c r="E384" s="201"/>
      <c r="F384" s="206">
        <v>68687</v>
      </c>
      <c r="G384" s="206">
        <v>6869</v>
      </c>
      <c r="H384" s="206">
        <v>343</v>
      </c>
      <c r="I384" s="202">
        <f t="shared" si="5"/>
        <v>62161</v>
      </c>
      <c r="J384" s="205" t="s">
        <v>38</v>
      </c>
      <c r="K384" s="205" t="s">
        <v>23</v>
      </c>
      <c r="L384" s="201" t="s">
        <v>1028</v>
      </c>
      <c r="M384" s="205" t="s">
        <v>3134</v>
      </c>
      <c r="N384" s="201" t="s">
        <v>1030</v>
      </c>
      <c r="O384" s="205" t="s">
        <v>652</v>
      </c>
      <c r="P384" s="205" t="s">
        <v>652</v>
      </c>
      <c r="Q384" s="208" t="s">
        <v>2191</v>
      </c>
      <c r="R384" s="208" t="s">
        <v>2192</v>
      </c>
      <c r="S384" s="208" t="s">
        <v>830</v>
      </c>
    </row>
    <row r="385" spans="1:19" s="205" customFormat="1" hidden="1" x14ac:dyDescent="0.2">
      <c r="A385" s="205" t="s">
        <v>244</v>
      </c>
      <c r="B385" s="205" t="s">
        <v>3135</v>
      </c>
      <c r="C385" s="200" t="s">
        <v>830</v>
      </c>
      <c r="D385" s="201" t="s">
        <v>152</v>
      </c>
      <c r="E385" s="201"/>
      <c r="F385" s="206">
        <v>78803</v>
      </c>
      <c r="G385" s="206">
        <v>7880</v>
      </c>
      <c r="H385" s="206">
        <v>394</v>
      </c>
      <c r="I385" s="202">
        <f t="shared" si="5"/>
        <v>71317</v>
      </c>
      <c r="J385" s="205" t="s">
        <v>38</v>
      </c>
      <c r="K385" s="205" t="s">
        <v>23</v>
      </c>
      <c r="L385" s="201" t="s">
        <v>1042</v>
      </c>
      <c r="M385" s="205" t="s">
        <v>3136</v>
      </c>
      <c r="N385" s="201" t="s">
        <v>1030</v>
      </c>
      <c r="O385" s="205" t="s">
        <v>652</v>
      </c>
      <c r="P385" s="205" t="s">
        <v>652</v>
      </c>
      <c r="Q385" s="208" t="s">
        <v>653</v>
      </c>
      <c r="R385" s="208" t="s">
        <v>654</v>
      </c>
      <c r="S385" s="208" t="s">
        <v>830</v>
      </c>
    </row>
    <row r="386" spans="1:19" s="205" customFormat="1" hidden="1" x14ac:dyDescent="0.2">
      <c r="A386" s="205" t="s">
        <v>244</v>
      </c>
      <c r="B386" s="205" t="s">
        <v>3137</v>
      </c>
      <c r="C386" s="200" t="s">
        <v>830</v>
      </c>
      <c r="D386" s="201" t="s">
        <v>152</v>
      </c>
      <c r="E386" s="201"/>
      <c r="F386" s="206">
        <v>95814</v>
      </c>
      <c r="G386" s="206">
        <v>9581</v>
      </c>
      <c r="H386" s="206">
        <v>479</v>
      </c>
      <c r="I386" s="202">
        <f t="shared" si="5"/>
        <v>86712</v>
      </c>
      <c r="J386" s="205" t="s">
        <v>38</v>
      </c>
      <c r="K386" s="205" t="s">
        <v>23</v>
      </c>
      <c r="L386" s="201" t="s">
        <v>1042</v>
      </c>
      <c r="M386" s="205" t="s">
        <v>3138</v>
      </c>
      <c r="N386" s="201" t="s">
        <v>1030</v>
      </c>
      <c r="O386" s="205" t="s">
        <v>652</v>
      </c>
      <c r="P386" s="205" t="s">
        <v>652</v>
      </c>
      <c r="Q386" s="208" t="s">
        <v>653</v>
      </c>
      <c r="R386" s="208" t="s">
        <v>654</v>
      </c>
      <c r="S386" s="208" t="s">
        <v>830</v>
      </c>
    </row>
    <row r="387" spans="1:19" s="205" customFormat="1" hidden="1" x14ac:dyDescent="0.2">
      <c r="A387" s="205" t="s">
        <v>244</v>
      </c>
      <c r="B387" s="205" t="s">
        <v>3139</v>
      </c>
      <c r="C387" s="200" t="s">
        <v>830</v>
      </c>
      <c r="D387" s="201" t="s">
        <v>152</v>
      </c>
      <c r="E387" s="201"/>
      <c r="F387" s="206">
        <v>94563</v>
      </c>
      <c r="G387" s="206">
        <v>9456</v>
      </c>
      <c r="H387" s="206">
        <v>473</v>
      </c>
      <c r="I387" s="202">
        <f t="shared" ref="I387:I450" si="6">F387+H387-G387</f>
        <v>85580</v>
      </c>
      <c r="J387" s="205" t="s">
        <v>38</v>
      </c>
      <c r="K387" s="205" t="s">
        <v>23</v>
      </c>
      <c r="L387" s="201" t="s">
        <v>1042</v>
      </c>
      <c r="M387" s="205" t="s">
        <v>3140</v>
      </c>
      <c r="N387" s="201" t="s">
        <v>1030</v>
      </c>
      <c r="O387" s="205" t="s">
        <v>652</v>
      </c>
      <c r="P387" s="205" t="s">
        <v>652</v>
      </c>
      <c r="Q387" s="208" t="s">
        <v>653</v>
      </c>
      <c r="R387" s="208" t="s">
        <v>654</v>
      </c>
      <c r="S387" s="208" t="s">
        <v>830</v>
      </c>
    </row>
    <row r="388" spans="1:19" s="205" customFormat="1" hidden="1" x14ac:dyDescent="0.2">
      <c r="A388" s="205" t="s">
        <v>244</v>
      </c>
      <c r="B388" s="205" t="s">
        <v>3141</v>
      </c>
      <c r="C388" s="200" t="s">
        <v>830</v>
      </c>
      <c r="D388" s="201" t="s">
        <v>152</v>
      </c>
      <c r="E388" s="201"/>
      <c r="F388" s="206">
        <v>65669</v>
      </c>
      <c r="G388" s="206">
        <v>6567</v>
      </c>
      <c r="H388" s="206">
        <v>328</v>
      </c>
      <c r="I388" s="202">
        <f t="shared" si="6"/>
        <v>59430</v>
      </c>
      <c r="J388" s="205" t="s">
        <v>38</v>
      </c>
      <c r="K388" s="205" t="s">
        <v>23</v>
      </c>
      <c r="L388" s="201" t="s">
        <v>1042</v>
      </c>
      <c r="M388" s="205" t="s">
        <v>3142</v>
      </c>
      <c r="N388" s="201" t="s">
        <v>1030</v>
      </c>
      <c r="O388" s="205" t="s">
        <v>652</v>
      </c>
      <c r="P388" s="205" t="s">
        <v>652</v>
      </c>
      <c r="Q388" s="208" t="s">
        <v>653</v>
      </c>
      <c r="R388" s="208" t="s">
        <v>654</v>
      </c>
      <c r="S388" s="208" t="s">
        <v>830</v>
      </c>
    </row>
    <row r="389" spans="1:19" s="205" customFormat="1" hidden="1" x14ac:dyDescent="0.2">
      <c r="A389" s="205" t="s">
        <v>244</v>
      </c>
      <c r="B389" s="205" t="s">
        <v>3143</v>
      </c>
      <c r="C389" s="200" t="s">
        <v>830</v>
      </c>
      <c r="D389" s="201" t="s">
        <v>152</v>
      </c>
      <c r="E389" s="201"/>
      <c r="F389" s="206">
        <v>65669</v>
      </c>
      <c r="G389" s="206">
        <v>6567</v>
      </c>
      <c r="H389" s="206">
        <v>328</v>
      </c>
      <c r="I389" s="202">
        <f t="shared" si="6"/>
        <v>59430</v>
      </c>
      <c r="J389" s="205" t="s">
        <v>38</v>
      </c>
      <c r="K389" s="205" t="s">
        <v>23</v>
      </c>
      <c r="L389" s="201" t="s">
        <v>1042</v>
      </c>
      <c r="M389" s="205" t="s">
        <v>3144</v>
      </c>
      <c r="N389" s="201" t="s">
        <v>1030</v>
      </c>
      <c r="O389" s="205" t="s">
        <v>652</v>
      </c>
      <c r="P389" s="205" t="s">
        <v>652</v>
      </c>
      <c r="Q389" s="208" t="s">
        <v>653</v>
      </c>
      <c r="R389" s="208" t="s">
        <v>654</v>
      </c>
      <c r="S389" s="208" t="s">
        <v>830</v>
      </c>
    </row>
    <row r="390" spans="1:19" s="205" customFormat="1" hidden="1" x14ac:dyDescent="0.2">
      <c r="A390" s="205" t="s">
        <v>244</v>
      </c>
      <c r="B390" s="205" t="s">
        <v>3145</v>
      </c>
      <c r="C390" s="200" t="s">
        <v>830</v>
      </c>
      <c r="D390" s="201" t="s">
        <v>152</v>
      </c>
      <c r="E390" s="201"/>
      <c r="F390" s="206">
        <v>40628</v>
      </c>
      <c r="G390" s="206">
        <v>4063</v>
      </c>
      <c r="H390" s="206">
        <v>203</v>
      </c>
      <c r="I390" s="202">
        <f t="shared" si="6"/>
        <v>36768</v>
      </c>
      <c r="J390" s="205" t="s">
        <v>38</v>
      </c>
      <c r="K390" s="205" t="s">
        <v>23</v>
      </c>
      <c r="L390" s="201" t="s">
        <v>1028</v>
      </c>
      <c r="M390" s="205" t="s">
        <v>3146</v>
      </c>
      <c r="N390" s="201" t="s">
        <v>1030</v>
      </c>
      <c r="O390" s="205" t="s">
        <v>652</v>
      </c>
      <c r="P390" s="205" t="s">
        <v>652</v>
      </c>
      <c r="Q390" s="208" t="s">
        <v>2191</v>
      </c>
      <c r="R390" s="208" t="s">
        <v>2192</v>
      </c>
      <c r="S390" s="208" t="s">
        <v>830</v>
      </c>
    </row>
    <row r="391" spans="1:19" s="205" customFormat="1" hidden="1" x14ac:dyDescent="0.2">
      <c r="A391" s="205" t="s">
        <v>244</v>
      </c>
      <c r="B391" s="205" t="s">
        <v>3147</v>
      </c>
      <c r="C391" s="200" t="s">
        <v>830</v>
      </c>
      <c r="D391" s="201" t="s">
        <v>152</v>
      </c>
      <c r="E391" s="201"/>
      <c r="F391" s="206">
        <v>38699</v>
      </c>
      <c r="G391" s="206">
        <v>3870</v>
      </c>
      <c r="H391" s="206">
        <v>194</v>
      </c>
      <c r="I391" s="202">
        <f t="shared" si="6"/>
        <v>35023</v>
      </c>
      <c r="J391" s="205" t="s">
        <v>38</v>
      </c>
      <c r="K391" s="205" t="s">
        <v>23</v>
      </c>
      <c r="L391" s="201" t="s">
        <v>1042</v>
      </c>
      <c r="M391" s="205" t="s">
        <v>3148</v>
      </c>
      <c r="N391" s="201" t="s">
        <v>1030</v>
      </c>
      <c r="O391" s="205" t="s">
        <v>652</v>
      </c>
      <c r="P391" s="205" t="s">
        <v>652</v>
      </c>
      <c r="Q391" s="208" t="s">
        <v>722</v>
      </c>
      <c r="R391" s="208" t="s">
        <v>723</v>
      </c>
      <c r="S391" s="208" t="s">
        <v>830</v>
      </c>
    </row>
    <row r="392" spans="1:19" s="205" customFormat="1" hidden="1" x14ac:dyDescent="0.2">
      <c r="A392" s="205" t="s">
        <v>244</v>
      </c>
      <c r="B392" s="205" t="s">
        <v>3149</v>
      </c>
      <c r="C392" s="200" t="s">
        <v>830</v>
      </c>
      <c r="D392" s="201" t="s">
        <v>152</v>
      </c>
      <c r="E392" s="201"/>
      <c r="F392" s="206">
        <v>67917</v>
      </c>
      <c r="G392" s="206">
        <v>6792</v>
      </c>
      <c r="H392" s="206">
        <v>340</v>
      </c>
      <c r="I392" s="202">
        <f t="shared" si="6"/>
        <v>61465</v>
      </c>
      <c r="J392" s="205" t="s">
        <v>38</v>
      </c>
      <c r="K392" s="205" t="s">
        <v>23</v>
      </c>
      <c r="L392" s="201" t="s">
        <v>1042</v>
      </c>
      <c r="M392" s="205" t="s">
        <v>3150</v>
      </c>
      <c r="N392" s="201" t="s">
        <v>1030</v>
      </c>
      <c r="O392" s="205" t="s">
        <v>652</v>
      </c>
      <c r="P392" s="205" t="s">
        <v>652</v>
      </c>
      <c r="Q392" s="208" t="s">
        <v>722</v>
      </c>
      <c r="R392" s="208" t="s">
        <v>723</v>
      </c>
      <c r="S392" s="208" t="s">
        <v>830</v>
      </c>
    </row>
    <row r="393" spans="1:19" s="205" customFormat="1" hidden="1" x14ac:dyDescent="0.2">
      <c r="A393" s="205" t="s">
        <v>244</v>
      </c>
      <c r="B393" s="205" t="s">
        <v>3151</v>
      </c>
      <c r="C393" s="200" t="s">
        <v>830</v>
      </c>
      <c r="D393" s="201" t="s">
        <v>152</v>
      </c>
      <c r="E393" s="201"/>
      <c r="F393" s="206">
        <v>67917</v>
      </c>
      <c r="G393" s="206">
        <v>6792</v>
      </c>
      <c r="H393" s="206">
        <v>340</v>
      </c>
      <c r="I393" s="202">
        <f t="shared" si="6"/>
        <v>61465</v>
      </c>
      <c r="J393" s="205" t="s">
        <v>38</v>
      </c>
      <c r="K393" s="205" t="s">
        <v>23</v>
      </c>
      <c r="L393" s="201" t="s">
        <v>1042</v>
      </c>
      <c r="M393" s="205" t="s">
        <v>3152</v>
      </c>
      <c r="N393" s="201" t="s">
        <v>1030</v>
      </c>
      <c r="O393" s="205" t="s">
        <v>652</v>
      </c>
      <c r="P393" s="205" t="s">
        <v>652</v>
      </c>
      <c r="Q393" s="208" t="s">
        <v>722</v>
      </c>
      <c r="R393" s="208" t="s">
        <v>723</v>
      </c>
      <c r="S393" s="208" t="s">
        <v>830</v>
      </c>
    </row>
    <row r="394" spans="1:19" s="205" customFormat="1" hidden="1" x14ac:dyDescent="0.2">
      <c r="A394" s="205" t="s">
        <v>244</v>
      </c>
      <c r="B394" s="205" t="s">
        <v>3153</v>
      </c>
      <c r="C394" s="200" t="s">
        <v>830</v>
      </c>
      <c r="D394" s="201" t="s">
        <v>152</v>
      </c>
      <c r="E394" s="201"/>
      <c r="F394" s="206">
        <v>30095</v>
      </c>
      <c r="G394" s="206">
        <v>3010</v>
      </c>
      <c r="H394" s="206">
        <v>150</v>
      </c>
      <c r="I394" s="202">
        <f t="shared" si="6"/>
        <v>27235</v>
      </c>
      <c r="J394" s="205" t="s">
        <v>38</v>
      </c>
      <c r="K394" s="205" t="s">
        <v>23</v>
      </c>
      <c r="L394" s="201" t="s">
        <v>1042</v>
      </c>
      <c r="M394" s="205" t="s">
        <v>3154</v>
      </c>
      <c r="N394" s="201" t="s">
        <v>1030</v>
      </c>
      <c r="O394" s="205" t="s">
        <v>652</v>
      </c>
      <c r="P394" s="205" t="s">
        <v>652</v>
      </c>
      <c r="Q394" s="208" t="s">
        <v>722</v>
      </c>
      <c r="R394" s="208" t="s">
        <v>723</v>
      </c>
      <c r="S394" s="208" t="s">
        <v>830</v>
      </c>
    </row>
    <row r="395" spans="1:19" s="205" customFormat="1" hidden="1" x14ac:dyDescent="0.2">
      <c r="A395" s="205" t="s">
        <v>244</v>
      </c>
      <c r="B395" s="205" t="s">
        <v>3155</v>
      </c>
      <c r="C395" s="200" t="s">
        <v>830</v>
      </c>
      <c r="D395" s="201" t="s">
        <v>152</v>
      </c>
      <c r="E395" s="201"/>
      <c r="F395" s="206">
        <v>65669</v>
      </c>
      <c r="G395" s="206">
        <v>6567</v>
      </c>
      <c r="H395" s="206">
        <v>328</v>
      </c>
      <c r="I395" s="202">
        <f t="shared" si="6"/>
        <v>59430</v>
      </c>
      <c r="J395" s="205" t="s">
        <v>38</v>
      </c>
      <c r="K395" s="205" t="s">
        <v>23</v>
      </c>
      <c r="L395" s="201" t="s">
        <v>1042</v>
      </c>
      <c r="M395" s="205" t="s">
        <v>3156</v>
      </c>
      <c r="N395" s="201" t="s">
        <v>1030</v>
      </c>
      <c r="O395" s="205" t="s">
        <v>652</v>
      </c>
      <c r="P395" s="205" t="s">
        <v>652</v>
      </c>
      <c r="Q395" s="208" t="s">
        <v>653</v>
      </c>
      <c r="R395" s="208" t="s">
        <v>654</v>
      </c>
      <c r="S395" s="208" t="s">
        <v>830</v>
      </c>
    </row>
    <row r="396" spans="1:19" s="205" customFormat="1" hidden="1" x14ac:dyDescent="0.2">
      <c r="A396" s="205" t="s">
        <v>244</v>
      </c>
      <c r="B396" s="205" t="s">
        <v>3157</v>
      </c>
      <c r="C396" s="200" t="s">
        <v>830</v>
      </c>
      <c r="D396" s="201" t="s">
        <v>152</v>
      </c>
      <c r="E396" s="201"/>
      <c r="F396" s="206">
        <v>40412</v>
      </c>
      <c r="G396" s="206">
        <v>4041</v>
      </c>
      <c r="H396" s="206">
        <v>202</v>
      </c>
      <c r="I396" s="202">
        <f t="shared" si="6"/>
        <v>36573</v>
      </c>
      <c r="J396" s="205" t="s">
        <v>38</v>
      </c>
      <c r="K396" s="205" t="s">
        <v>23</v>
      </c>
      <c r="L396" s="201" t="s">
        <v>1042</v>
      </c>
      <c r="M396" s="205" t="s">
        <v>3158</v>
      </c>
      <c r="N396" s="201" t="s">
        <v>1030</v>
      </c>
      <c r="O396" s="205" t="s">
        <v>652</v>
      </c>
      <c r="P396" s="205" t="s">
        <v>652</v>
      </c>
      <c r="Q396" s="208" t="s">
        <v>653</v>
      </c>
      <c r="R396" s="208" t="s">
        <v>654</v>
      </c>
      <c r="S396" s="208" t="s">
        <v>830</v>
      </c>
    </row>
    <row r="397" spans="1:19" s="205" customFormat="1" hidden="1" x14ac:dyDescent="0.2">
      <c r="A397" s="205" t="s">
        <v>244</v>
      </c>
      <c r="B397" s="205" t="s">
        <v>3159</v>
      </c>
      <c r="C397" s="200" t="s">
        <v>830</v>
      </c>
      <c r="D397" s="201" t="s">
        <v>152</v>
      </c>
      <c r="E397" s="201"/>
      <c r="F397" s="206">
        <v>63378</v>
      </c>
      <c r="G397" s="206">
        <v>6338</v>
      </c>
      <c r="H397" s="206">
        <v>317</v>
      </c>
      <c r="I397" s="202">
        <f t="shared" si="6"/>
        <v>57357</v>
      </c>
      <c r="J397" s="205" t="s">
        <v>38</v>
      </c>
      <c r="K397" s="205" t="s">
        <v>23</v>
      </c>
      <c r="L397" s="201" t="s">
        <v>1042</v>
      </c>
      <c r="M397" s="205" t="s">
        <v>3160</v>
      </c>
      <c r="N397" s="201" t="s">
        <v>1030</v>
      </c>
      <c r="O397" s="205" t="s">
        <v>652</v>
      </c>
      <c r="P397" s="205" t="s">
        <v>652</v>
      </c>
      <c r="Q397" s="208" t="s">
        <v>653</v>
      </c>
      <c r="R397" s="208" t="s">
        <v>654</v>
      </c>
      <c r="S397" s="208" t="s">
        <v>830</v>
      </c>
    </row>
    <row r="398" spans="1:19" s="205" customFormat="1" hidden="1" x14ac:dyDescent="0.2">
      <c r="A398" s="205" t="s">
        <v>3161</v>
      </c>
      <c r="B398" s="205" t="s">
        <v>3162</v>
      </c>
      <c r="C398" s="200" t="s">
        <v>830</v>
      </c>
      <c r="D398" s="201" t="s">
        <v>152</v>
      </c>
      <c r="E398" s="201"/>
      <c r="F398" s="206">
        <v>124850</v>
      </c>
      <c r="G398" s="206">
        <v>12485</v>
      </c>
      <c r="H398" s="206">
        <v>624</v>
      </c>
      <c r="I398" s="202">
        <f t="shared" si="6"/>
        <v>112989</v>
      </c>
      <c r="J398" s="205" t="s">
        <v>44</v>
      </c>
      <c r="K398" s="205" t="s">
        <v>23</v>
      </c>
      <c r="L398" s="201" t="s">
        <v>1028</v>
      </c>
      <c r="M398" s="205" t="s">
        <v>3163</v>
      </c>
      <c r="N398" s="201" t="s">
        <v>1030</v>
      </c>
      <c r="O398" s="205" t="s">
        <v>652</v>
      </c>
      <c r="P398" s="205" t="s">
        <v>652</v>
      </c>
      <c r="Q398" s="208" t="s">
        <v>2684</v>
      </c>
      <c r="R398" s="208" t="s">
        <v>2277</v>
      </c>
      <c r="S398" s="208" t="s">
        <v>830</v>
      </c>
    </row>
    <row r="399" spans="1:19" s="205" customFormat="1" hidden="1" x14ac:dyDescent="0.2">
      <c r="A399" s="205" t="s">
        <v>3164</v>
      </c>
      <c r="B399" s="205" t="s">
        <v>3165</v>
      </c>
      <c r="C399" s="200" t="s">
        <v>830</v>
      </c>
      <c r="D399" s="199" t="s">
        <v>152</v>
      </c>
      <c r="E399" s="199"/>
      <c r="F399" s="206">
        <v>39333</v>
      </c>
      <c r="G399" s="206">
        <v>3933</v>
      </c>
      <c r="H399" s="206">
        <v>197</v>
      </c>
      <c r="I399" s="202">
        <f t="shared" si="6"/>
        <v>35597</v>
      </c>
      <c r="J399" s="205" t="s">
        <v>44</v>
      </c>
      <c r="K399" s="205" t="s">
        <v>23</v>
      </c>
      <c r="L399" s="201" t="s">
        <v>1028</v>
      </c>
      <c r="M399" s="205" t="s">
        <v>3166</v>
      </c>
      <c r="N399" s="201" t="s">
        <v>1030</v>
      </c>
      <c r="O399" s="205" t="s">
        <v>652</v>
      </c>
      <c r="P399" s="205" t="s">
        <v>652</v>
      </c>
      <c r="Q399" s="208" t="s">
        <v>3167</v>
      </c>
      <c r="R399" s="208" t="s">
        <v>817</v>
      </c>
      <c r="S399" s="208" t="s">
        <v>830</v>
      </c>
    </row>
    <row r="400" spans="1:19" s="205" customFormat="1" hidden="1" x14ac:dyDescent="0.2">
      <c r="A400" s="205" t="s">
        <v>281</v>
      </c>
      <c r="B400" s="205" t="s">
        <v>3168</v>
      </c>
      <c r="C400" s="200" t="s">
        <v>830</v>
      </c>
      <c r="D400" s="201" t="s">
        <v>152</v>
      </c>
      <c r="E400" s="201"/>
      <c r="F400" s="206">
        <v>134015</v>
      </c>
      <c r="G400" s="206">
        <v>13402</v>
      </c>
      <c r="H400" s="206">
        <v>670</v>
      </c>
      <c r="I400" s="202">
        <f t="shared" si="6"/>
        <v>121283</v>
      </c>
      <c r="J400" s="205" t="s">
        <v>489</v>
      </c>
      <c r="K400" s="205" t="s">
        <v>23</v>
      </c>
      <c r="L400" s="201" t="s">
        <v>1042</v>
      </c>
      <c r="M400" s="205" t="s">
        <v>3169</v>
      </c>
      <c r="N400" s="201" t="s">
        <v>1030</v>
      </c>
      <c r="O400" s="205" t="s">
        <v>652</v>
      </c>
      <c r="P400" s="205" t="s">
        <v>652</v>
      </c>
      <c r="Q400" s="208" t="s">
        <v>724</v>
      </c>
      <c r="R400" s="208" t="s">
        <v>725</v>
      </c>
      <c r="S400" s="208" t="s">
        <v>830</v>
      </c>
    </row>
    <row r="401" spans="1:24" s="205" customFormat="1" hidden="1" x14ac:dyDescent="0.2">
      <c r="A401" s="205" t="s">
        <v>249</v>
      </c>
      <c r="B401" s="205" t="s">
        <v>3170</v>
      </c>
      <c r="C401" s="200" t="s">
        <v>830</v>
      </c>
      <c r="D401" s="201" t="s">
        <v>152</v>
      </c>
      <c r="E401" s="201"/>
      <c r="F401" s="206">
        <v>85607</v>
      </c>
      <c r="G401" s="206">
        <v>8561</v>
      </c>
      <c r="H401" s="206">
        <v>428</v>
      </c>
      <c r="I401" s="202">
        <f t="shared" si="6"/>
        <v>77474</v>
      </c>
      <c r="J401" s="205" t="s">
        <v>489</v>
      </c>
      <c r="K401" s="205" t="s">
        <v>23</v>
      </c>
      <c r="L401" s="201" t="s">
        <v>1042</v>
      </c>
      <c r="M401" s="205" t="s">
        <v>3171</v>
      </c>
      <c r="N401" s="201" t="s">
        <v>1030</v>
      </c>
      <c r="O401" s="205" t="s">
        <v>652</v>
      </c>
      <c r="P401" s="205" t="s">
        <v>652</v>
      </c>
      <c r="Q401" s="208" t="s">
        <v>987</v>
      </c>
      <c r="R401" s="208" t="s">
        <v>988</v>
      </c>
      <c r="S401" s="208" t="s">
        <v>830</v>
      </c>
    </row>
    <row r="402" spans="1:24" s="205" customFormat="1" hidden="1" x14ac:dyDescent="0.2">
      <c r="A402" s="205" t="s">
        <v>3055</v>
      </c>
      <c r="B402" s="205" t="s">
        <v>3172</v>
      </c>
      <c r="C402" s="200" t="s">
        <v>830</v>
      </c>
      <c r="D402" s="201" t="s">
        <v>152</v>
      </c>
      <c r="E402" s="201"/>
      <c r="F402" s="206">
        <v>120957</v>
      </c>
      <c r="G402" s="206">
        <v>12096</v>
      </c>
      <c r="H402" s="206">
        <v>605</v>
      </c>
      <c r="I402" s="202">
        <f t="shared" si="6"/>
        <v>109466</v>
      </c>
      <c r="J402" s="205" t="s">
        <v>489</v>
      </c>
      <c r="K402" s="205" t="s">
        <v>23</v>
      </c>
      <c r="L402" s="201" t="s">
        <v>1058</v>
      </c>
      <c r="M402" s="205" t="s">
        <v>3173</v>
      </c>
      <c r="N402" s="201" t="s">
        <v>1030</v>
      </c>
      <c r="O402" s="205" t="s">
        <v>652</v>
      </c>
      <c r="P402" s="205" t="s">
        <v>652</v>
      </c>
      <c r="Q402" s="208" t="s">
        <v>987</v>
      </c>
      <c r="R402" s="208" t="s">
        <v>988</v>
      </c>
      <c r="S402" s="208" t="s">
        <v>830</v>
      </c>
    </row>
    <row r="403" spans="1:24" s="205" customFormat="1" hidden="1" x14ac:dyDescent="0.2">
      <c r="A403" s="205" t="s">
        <v>113</v>
      </c>
      <c r="B403" s="205" t="s">
        <v>348</v>
      </c>
      <c r="C403" s="200" t="s">
        <v>830</v>
      </c>
      <c r="D403" s="201" t="s">
        <v>152</v>
      </c>
      <c r="E403" s="201"/>
      <c r="F403" s="206">
        <v>22134</v>
      </c>
      <c r="G403" s="206">
        <v>2213</v>
      </c>
      <c r="H403" s="206">
        <v>111</v>
      </c>
      <c r="I403" s="202">
        <f t="shared" si="6"/>
        <v>20032</v>
      </c>
      <c r="J403" s="205" t="s">
        <v>54</v>
      </c>
      <c r="K403" s="205" t="s">
        <v>23</v>
      </c>
      <c r="L403" s="201" t="s">
        <v>1042</v>
      </c>
      <c r="M403" s="205" t="s">
        <v>3174</v>
      </c>
      <c r="N403" s="201" t="s">
        <v>1030</v>
      </c>
      <c r="O403" s="205" t="s">
        <v>652</v>
      </c>
      <c r="P403" s="205" t="s">
        <v>652</v>
      </c>
      <c r="Q403" s="208" t="s">
        <v>467</v>
      </c>
      <c r="R403" s="208" t="s">
        <v>777</v>
      </c>
      <c r="S403" s="208" t="s">
        <v>830</v>
      </c>
    </row>
    <row r="404" spans="1:24" s="205" customFormat="1" hidden="1" x14ac:dyDescent="0.2">
      <c r="A404" s="205" t="s">
        <v>317</v>
      </c>
      <c r="B404" s="205" t="s">
        <v>318</v>
      </c>
      <c r="C404" s="200" t="s">
        <v>830</v>
      </c>
      <c r="D404" s="199" t="s">
        <v>152</v>
      </c>
      <c r="E404" s="199"/>
      <c r="F404" s="206">
        <v>3000</v>
      </c>
      <c r="G404" s="206">
        <v>300</v>
      </c>
      <c r="H404" s="206">
        <v>15</v>
      </c>
      <c r="I404" s="202">
        <f t="shared" si="6"/>
        <v>2715</v>
      </c>
      <c r="J404" s="205" t="s">
        <v>59</v>
      </c>
      <c r="K404" s="205" t="s">
        <v>23</v>
      </c>
      <c r="L404" s="199" t="s">
        <v>1042</v>
      </c>
      <c r="M404" s="205" t="s">
        <v>3175</v>
      </c>
      <c r="N404" s="201" t="s">
        <v>1030</v>
      </c>
      <c r="O404" s="205" t="s">
        <v>1382</v>
      </c>
      <c r="P404" s="205" t="s">
        <v>1382</v>
      </c>
      <c r="Q404" s="208" t="s">
        <v>696</v>
      </c>
      <c r="R404" s="208" t="s">
        <v>697</v>
      </c>
      <c r="S404" s="208" t="s">
        <v>830</v>
      </c>
    </row>
    <row r="405" spans="1:24" s="205" customFormat="1" hidden="1" x14ac:dyDescent="0.2">
      <c r="A405" s="205" t="s">
        <v>425</v>
      </c>
      <c r="B405" s="205" t="s">
        <v>3176</v>
      </c>
      <c r="C405" s="200" t="s">
        <v>830</v>
      </c>
      <c r="D405" s="199" t="s">
        <v>152</v>
      </c>
      <c r="E405" s="199"/>
      <c r="F405" s="206">
        <v>2694417</v>
      </c>
      <c r="G405" s="206">
        <v>269442</v>
      </c>
      <c r="H405" s="206">
        <v>13472</v>
      </c>
      <c r="I405" s="202">
        <f t="shared" si="6"/>
        <v>2438447</v>
      </c>
      <c r="J405" s="205" t="s">
        <v>38</v>
      </c>
      <c r="K405" s="205" t="s">
        <v>23</v>
      </c>
      <c r="L405" s="199" t="s">
        <v>1028</v>
      </c>
      <c r="M405" s="205" t="s">
        <v>3177</v>
      </c>
      <c r="N405" s="201" t="s">
        <v>1030</v>
      </c>
      <c r="O405" s="205" t="s">
        <v>2050</v>
      </c>
      <c r="P405" s="205" t="s">
        <v>1115</v>
      </c>
      <c r="Q405" s="208" t="s">
        <v>846</v>
      </c>
      <c r="R405" s="208" t="s">
        <v>2922</v>
      </c>
      <c r="S405" s="208" t="s">
        <v>830</v>
      </c>
    </row>
    <row r="406" spans="1:24" s="205" customFormat="1" hidden="1" x14ac:dyDescent="0.2">
      <c r="A406" s="205" t="s">
        <v>434</v>
      </c>
      <c r="B406" s="205" t="s">
        <v>336</v>
      </c>
      <c r="C406" s="200" t="s">
        <v>830</v>
      </c>
      <c r="D406" s="199" t="s">
        <v>152</v>
      </c>
      <c r="E406" s="199"/>
      <c r="F406" s="206">
        <v>6004</v>
      </c>
      <c r="G406" s="206">
        <v>600</v>
      </c>
      <c r="H406" s="206">
        <v>30</v>
      </c>
      <c r="I406" s="202">
        <f t="shared" si="6"/>
        <v>5434</v>
      </c>
      <c r="J406" s="205" t="s">
        <v>48</v>
      </c>
      <c r="K406" s="205" t="s">
        <v>23</v>
      </c>
      <c r="L406" s="199" t="s">
        <v>1042</v>
      </c>
      <c r="M406" s="205" t="s">
        <v>3178</v>
      </c>
      <c r="N406" s="201" t="s">
        <v>1030</v>
      </c>
      <c r="O406" s="205" t="s">
        <v>652</v>
      </c>
      <c r="P406" s="205" t="s">
        <v>652</v>
      </c>
      <c r="Q406" s="208" t="s">
        <v>887</v>
      </c>
      <c r="R406" s="208" t="s">
        <v>888</v>
      </c>
      <c r="S406" s="208" t="s">
        <v>830</v>
      </c>
    </row>
    <row r="407" spans="1:24" s="205" customFormat="1" hidden="1" x14ac:dyDescent="0.2">
      <c r="A407" s="205" t="s">
        <v>995</v>
      </c>
      <c r="B407" s="205" t="s">
        <v>1122</v>
      </c>
      <c r="C407" s="200" t="s">
        <v>830</v>
      </c>
      <c r="D407" s="199" t="s">
        <v>152</v>
      </c>
      <c r="E407" s="199"/>
      <c r="F407" s="206">
        <v>7404</v>
      </c>
      <c r="G407" s="206">
        <v>740</v>
      </c>
      <c r="H407" s="206">
        <v>37</v>
      </c>
      <c r="I407" s="202">
        <f t="shared" si="6"/>
        <v>6701</v>
      </c>
      <c r="J407" s="205" t="s">
        <v>54</v>
      </c>
      <c r="K407" s="205" t="s">
        <v>23</v>
      </c>
      <c r="L407" s="199" t="s">
        <v>1042</v>
      </c>
      <c r="M407" s="205" t="s">
        <v>3179</v>
      </c>
      <c r="N407" s="201" t="s">
        <v>1030</v>
      </c>
      <c r="O407" s="205" t="s">
        <v>652</v>
      </c>
      <c r="P407" s="205" t="s">
        <v>652</v>
      </c>
      <c r="Q407" s="208" t="s">
        <v>987</v>
      </c>
      <c r="R407" s="208" t="s">
        <v>988</v>
      </c>
      <c r="S407" s="208" t="s">
        <v>830</v>
      </c>
    </row>
    <row r="408" spans="1:24" s="205" customFormat="1" hidden="1" x14ac:dyDescent="0.2">
      <c r="A408" s="205" t="s">
        <v>995</v>
      </c>
      <c r="B408" s="205" t="s">
        <v>1122</v>
      </c>
      <c r="C408" s="200" t="s">
        <v>830</v>
      </c>
      <c r="D408" s="199" t="s">
        <v>166</v>
      </c>
      <c r="E408" s="199"/>
      <c r="F408" s="206">
        <v>-16960</v>
      </c>
      <c r="G408" s="206">
        <v>-1696</v>
      </c>
      <c r="H408" s="206">
        <v>-85</v>
      </c>
      <c r="I408" s="202">
        <f t="shared" si="6"/>
        <v>-15349</v>
      </c>
      <c r="J408" s="205" t="s">
        <v>54</v>
      </c>
      <c r="K408" s="205" t="s">
        <v>23</v>
      </c>
      <c r="L408" s="199" t="s">
        <v>1068</v>
      </c>
      <c r="M408" s="205" t="s">
        <v>3180</v>
      </c>
      <c r="N408" s="201" t="s">
        <v>1030</v>
      </c>
      <c r="O408" s="205" t="s">
        <v>652</v>
      </c>
      <c r="P408" s="205" t="s">
        <v>652</v>
      </c>
      <c r="Q408" s="208" t="s">
        <v>987</v>
      </c>
      <c r="R408" s="208" t="s">
        <v>988</v>
      </c>
      <c r="S408" s="208" t="s">
        <v>830</v>
      </c>
    </row>
    <row r="409" spans="1:24" s="205" customFormat="1" hidden="1" x14ac:dyDescent="0.2">
      <c r="A409" s="205" t="s">
        <v>261</v>
      </c>
      <c r="B409" s="205" t="s">
        <v>2052</v>
      </c>
      <c r="C409" s="200" t="s">
        <v>830</v>
      </c>
      <c r="D409" s="199" t="s">
        <v>166</v>
      </c>
      <c r="E409" s="199"/>
      <c r="F409" s="206">
        <v>-57369</v>
      </c>
      <c r="G409" s="206">
        <v>0</v>
      </c>
      <c r="H409" s="206">
        <v>0</v>
      </c>
      <c r="I409" s="202">
        <f t="shared" si="6"/>
        <v>-57369</v>
      </c>
      <c r="J409" s="205" t="s">
        <v>25</v>
      </c>
      <c r="K409" s="205" t="s">
        <v>214</v>
      </c>
      <c r="L409" s="199" t="s">
        <v>1151</v>
      </c>
      <c r="M409" s="205" t="s">
        <v>3181</v>
      </c>
      <c r="N409" s="201" t="s">
        <v>1030</v>
      </c>
      <c r="O409" s="205" t="s">
        <v>652</v>
      </c>
      <c r="P409" s="205" t="s">
        <v>652</v>
      </c>
      <c r="Q409" s="208" t="s">
        <v>2054</v>
      </c>
      <c r="R409" s="208" t="s">
        <v>2055</v>
      </c>
      <c r="S409" s="208" t="s">
        <v>830</v>
      </c>
      <c r="U409" s="209"/>
      <c r="V409" s="209"/>
      <c r="W409" s="209"/>
      <c r="X409" s="209"/>
    </row>
    <row r="410" spans="1:24" s="205" customFormat="1" hidden="1" x14ac:dyDescent="0.2">
      <c r="A410" s="205" t="s">
        <v>309</v>
      </c>
      <c r="B410" s="205" t="s">
        <v>3182</v>
      </c>
      <c r="C410" s="200" t="s">
        <v>830</v>
      </c>
      <c r="D410" s="199" t="s">
        <v>152</v>
      </c>
      <c r="E410" s="199"/>
      <c r="F410" s="206">
        <v>42001727</v>
      </c>
      <c r="G410" s="206">
        <v>0</v>
      </c>
      <c r="H410" s="206">
        <v>0</v>
      </c>
      <c r="I410" s="202">
        <f t="shared" si="6"/>
        <v>42001727</v>
      </c>
      <c r="J410" s="205" t="s">
        <v>25</v>
      </c>
      <c r="K410" s="205" t="s">
        <v>214</v>
      </c>
      <c r="L410" s="199" t="s">
        <v>1028</v>
      </c>
      <c r="M410" s="205" t="s">
        <v>3183</v>
      </c>
      <c r="N410" s="201" t="s">
        <v>1030</v>
      </c>
      <c r="O410" s="205" t="s">
        <v>1295</v>
      </c>
      <c r="P410" s="205" t="s">
        <v>1061</v>
      </c>
      <c r="Q410" s="216" t="s">
        <v>846</v>
      </c>
      <c r="R410" s="216" t="s">
        <v>2922</v>
      </c>
      <c r="S410" s="208" t="s">
        <v>830</v>
      </c>
      <c r="U410" s="209"/>
      <c r="V410" s="209"/>
      <c r="W410" s="209"/>
      <c r="X410" s="209"/>
    </row>
    <row r="411" spans="1:24" s="205" customFormat="1" hidden="1" x14ac:dyDescent="0.2">
      <c r="A411" s="205" t="s">
        <v>75</v>
      </c>
      <c r="B411" s="205" t="s">
        <v>589</v>
      </c>
      <c r="C411" s="200" t="s">
        <v>2467</v>
      </c>
      <c r="D411" s="201" t="s">
        <v>166</v>
      </c>
      <c r="E411" s="201"/>
      <c r="F411" s="206">
        <v>-25326</v>
      </c>
      <c r="G411" s="206">
        <v>0</v>
      </c>
      <c r="H411" s="206">
        <v>0</v>
      </c>
      <c r="I411" s="202">
        <f t="shared" si="6"/>
        <v>-25326</v>
      </c>
      <c r="J411" s="205" t="s">
        <v>76</v>
      </c>
      <c r="K411" s="205" t="s">
        <v>29</v>
      </c>
      <c r="L411" s="201" t="s">
        <v>1068</v>
      </c>
      <c r="M411" s="205" t="s">
        <v>3184</v>
      </c>
      <c r="N411" s="201" t="s">
        <v>1030</v>
      </c>
      <c r="O411" s="205" t="s">
        <v>652</v>
      </c>
      <c r="P411" s="205" t="s">
        <v>652</v>
      </c>
      <c r="Q411" s="208" t="s">
        <v>653</v>
      </c>
      <c r="R411" s="208" t="s">
        <v>654</v>
      </c>
      <c r="S411" s="208" t="s">
        <v>2467</v>
      </c>
    </row>
    <row r="412" spans="1:24" s="205" customFormat="1" hidden="1" x14ac:dyDescent="0.2">
      <c r="A412" s="205" t="s">
        <v>75</v>
      </c>
      <c r="B412" s="205" t="s">
        <v>592</v>
      </c>
      <c r="C412" s="200" t="s">
        <v>2467</v>
      </c>
      <c r="D412" s="201" t="s">
        <v>166</v>
      </c>
      <c r="E412" s="201"/>
      <c r="F412" s="206">
        <v>-147708</v>
      </c>
      <c r="G412" s="206">
        <v>0</v>
      </c>
      <c r="H412" s="206">
        <v>0</v>
      </c>
      <c r="I412" s="202">
        <f t="shared" si="6"/>
        <v>-147708</v>
      </c>
      <c r="J412" s="205" t="s">
        <v>76</v>
      </c>
      <c r="K412" s="205" t="s">
        <v>29</v>
      </c>
      <c r="L412" s="201" t="s">
        <v>1068</v>
      </c>
      <c r="M412" s="205" t="s">
        <v>3185</v>
      </c>
      <c r="N412" s="201" t="s">
        <v>1030</v>
      </c>
      <c r="O412" s="205" t="s">
        <v>652</v>
      </c>
      <c r="P412" s="205" t="s">
        <v>652</v>
      </c>
      <c r="Q412" s="208" t="s">
        <v>653</v>
      </c>
      <c r="R412" s="208" t="s">
        <v>654</v>
      </c>
      <c r="S412" s="208" t="s">
        <v>2467</v>
      </c>
    </row>
    <row r="413" spans="1:24" s="205" customFormat="1" hidden="1" x14ac:dyDescent="0.2">
      <c r="A413" s="205" t="s">
        <v>64</v>
      </c>
      <c r="B413" s="205" t="s">
        <v>514</v>
      </c>
      <c r="C413" s="200" t="s">
        <v>2467</v>
      </c>
      <c r="D413" s="201" t="s">
        <v>152</v>
      </c>
      <c r="E413" s="201"/>
      <c r="F413" s="206">
        <v>92433</v>
      </c>
      <c r="G413" s="206">
        <v>9243</v>
      </c>
      <c r="H413" s="206">
        <v>924</v>
      </c>
      <c r="I413" s="202">
        <f t="shared" si="6"/>
        <v>84114</v>
      </c>
      <c r="J413" s="205" t="s">
        <v>31</v>
      </c>
      <c r="K413" s="205" t="s">
        <v>29</v>
      </c>
      <c r="L413" s="201" t="s">
        <v>1042</v>
      </c>
      <c r="M413" s="205" t="s">
        <v>3186</v>
      </c>
      <c r="N413" s="201" t="s">
        <v>1030</v>
      </c>
      <c r="O413" s="205" t="s">
        <v>652</v>
      </c>
      <c r="P413" s="205" t="s">
        <v>652</v>
      </c>
      <c r="Q413" s="208" t="s">
        <v>653</v>
      </c>
      <c r="R413" s="208" t="s">
        <v>654</v>
      </c>
      <c r="S413" s="208" t="s">
        <v>2467</v>
      </c>
    </row>
    <row r="414" spans="1:24" s="205" customFormat="1" hidden="1" x14ac:dyDescent="0.2">
      <c r="A414" s="205" t="s">
        <v>64</v>
      </c>
      <c r="B414" s="205" t="s">
        <v>514</v>
      </c>
      <c r="C414" s="200" t="s">
        <v>2467</v>
      </c>
      <c r="D414" s="201" t="s">
        <v>152</v>
      </c>
      <c r="E414" s="201"/>
      <c r="F414" s="206">
        <v>37808</v>
      </c>
      <c r="G414" s="206">
        <v>3781</v>
      </c>
      <c r="H414" s="206">
        <v>378</v>
      </c>
      <c r="I414" s="202">
        <f t="shared" si="6"/>
        <v>34405</v>
      </c>
      <c r="J414" s="205" t="s">
        <v>31</v>
      </c>
      <c r="K414" s="205" t="s">
        <v>29</v>
      </c>
      <c r="L414" s="201" t="s">
        <v>1042</v>
      </c>
      <c r="M414" s="205" t="s">
        <v>3187</v>
      </c>
      <c r="N414" s="201" t="s">
        <v>1030</v>
      </c>
      <c r="O414" s="205" t="s">
        <v>652</v>
      </c>
      <c r="P414" s="205" t="s">
        <v>652</v>
      </c>
      <c r="Q414" s="208" t="s">
        <v>653</v>
      </c>
      <c r="R414" s="208" t="s">
        <v>654</v>
      </c>
      <c r="S414" s="208" t="s">
        <v>2467</v>
      </c>
    </row>
    <row r="415" spans="1:24" s="205" customFormat="1" hidden="1" x14ac:dyDescent="0.2">
      <c r="A415" s="205" t="s">
        <v>64</v>
      </c>
      <c r="B415" s="205" t="s">
        <v>514</v>
      </c>
      <c r="C415" s="200" t="s">
        <v>2467</v>
      </c>
      <c r="D415" s="201" t="s">
        <v>152</v>
      </c>
      <c r="E415" s="201"/>
      <c r="F415" s="206">
        <v>55318</v>
      </c>
      <c r="G415" s="206">
        <v>5532</v>
      </c>
      <c r="H415" s="206">
        <v>553</v>
      </c>
      <c r="I415" s="202">
        <f t="shared" si="6"/>
        <v>50339</v>
      </c>
      <c r="J415" s="205" t="s">
        <v>31</v>
      </c>
      <c r="K415" s="205" t="s">
        <v>29</v>
      </c>
      <c r="L415" s="201" t="s">
        <v>1141</v>
      </c>
      <c r="M415" s="205" t="s">
        <v>3188</v>
      </c>
      <c r="N415" s="201" t="s">
        <v>1030</v>
      </c>
      <c r="O415" s="205" t="s">
        <v>652</v>
      </c>
      <c r="P415" s="205" t="s">
        <v>652</v>
      </c>
      <c r="Q415" s="208" t="s">
        <v>653</v>
      </c>
      <c r="R415" s="208" t="s">
        <v>654</v>
      </c>
      <c r="S415" s="208" t="s">
        <v>2467</v>
      </c>
    </row>
    <row r="416" spans="1:24" s="205" customFormat="1" hidden="1" x14ac:dyDescent="0.2">
      <c r="A416" s="205" t="s">
        <v>64</v>
      </c>
      <c r="B416" s="205" t="s">
        <v>514</v>
      </c>
      <c r="C416" s="200" t="s">
        <v>2467</v>
      </c>
      <c r="D416" s="201" t="s">
        <v>166</v>
      </c>
      <c r="E416" s="201"/>
      <c r="F416" s="206">
        <v>-37808</v>
      </c>
      <c r="G416" s="206">
        <v>-3781</v>
      </c>
      <c r="H416" s="206">
        <v>-378</v>
      </c>
      <c r="I416" s="202">
        <f t="shared" si="6"/>
        <v>-34405</v>
      </c>
      <c r="J416" s="205" t="s">
        <v>31</v>
      </c>
      <c r="K416" s="205" t="s">
        <v>29</v>
      </c>
      <c r="L416" s="201" t="s">
        <v>1325</v>
      </c>
      <c r="M416" s="205" t="s">
        <v>3189</v>
      </c>
      <c r="N416" s="201" t="s">
        <v>1030</v>
      </c>
      <c r="O416" s="205" t="s">
        <v>652</v>
      </c>
      <c r="P416" s="205" t="s">
        <v>652</v>
      </c>
      <c r="Q416" s="208" t="s">
        <v>653</v>
      </c>
      <c r="R416" s="208" t="s">
        <v>654</v>
      </c>
      <c r="S416" s="208" t="s">
        <v>2467</v>
      </c>
    </row>
    <row r="417" spans="1:19" s="205" customFormat="1" hidden="1" x14ac:dyDescent="0.2">
      <c r="A417" s="205" t="s">
        <v>3190</v>
      </c>
      <c r="B417" s="205" t="s">
        <v>3191</v>
      </c>
      <c r="C417" s="200" t="s">
        <v>2467</v>
      </c>
      <c r="D417" s="199" t="s">
        <v>166</v>
      </c>
      <c r="E417" s="199"/>
      <c r="F417" s="206">
        <v>-32021</v>
      </c>
      <c r="G417" s="206">
        <v>-3202</v>
      </c>
      <c r="H417" s="206">
        <v>-320</v>
      </c>
      <c r="I417" s="202">
        <f t="shared" si="6"/>
        <v>-29139</v>
      </c>
      <c r="J417" s="205" t="s">
        <v>95</v>
      </c>
      <c r="K417" s="205" t="s">
        <v>29</v>
      </c>
      <c r="L417" s="199" t="s">
        <v>1068</v>
      </c>
      <c r="M417" s="205" t="s">
        <v>3192</v>
      </c>
      <c r="N417" s="201" t="s">
        <v>1030</v>
      </c>
      <c r="O417" s="205" t="s">
        <v>652</v>
      </c>
      <c r="P417" s="205" t="s">
        <v>652</v>
      </c>
      <c r="Q417" s="208" t="s">
        <v>738</v>
      </c>
      <c r="R417" s="208" t="s">
        <v>739</v>
      </c>
      <c r="S417" s="208" t="s">
        <v>2467</v>
      </c>
    </row>
    <row r="418" spans="1:19" s="205" customFormat="1" hidden="1" x14ac:dyDescent="0.2">
      <c r="A418" s="205" t="s">
        <v>3005</v>
      </c>
      <c r="B418" s="205" t="s">
        <v>3193</v>
      </c>
      <c r="C418" s="200" t="s">
        <v>2467</v>
      </c>
      <c r="D418" s="199" t="s">
        <v>152</v>
      </c>
      <c r="E418" s="199"/>
      <c r="F418" s="206">
        <v>51703</v>
      </c>
      <c r="G418" s="206">
        <v>5170</v>
      </c>
      <c r="H418" s="206">
        <v>517</v>
      </c>
      <c r="I418" s="202">
        <f t="shared" si="6"/>
        <v>47050</v>
      </c>
      <c r="J418" s="205" t="s">
        <v>95</v>
      </c>
      <c r="K418" s="205" t="s">
        <v>29</v>
      </c>
      <c r="L418" s="199" t="s">
        <v>1058</v>
      </c>
      <c r="M418" s="205" t="s">
        <v>3194</v>
      </c>
      <c r="N418" s="201" t="s">
        <v>1030</v>
      </c>
      <c r="O418" s="205" t="s">
        <v>652</v>
      </c>
      <c r="P418" s="205" t="s">
        <v>652</v>
      </c>
      <c r="Q418" s="208" t="s">
        <v>2978</v>
      </c>
      <c r="R418" s="208" t="s">
        <v>2467</v>
      </c>
      <c r="S418" s="208" t="s">
        <v>2467</v>
      </c>
    </row>
    <row r="419" spans="1:19" s="205" customFormat="1" hidden="1" x14ac:dyDescent="0.2">
      <c r="A419" s="205" t="s">
        <v>435</v>
      </c>
      <c r="B419" s="205" t="s">
        <v>525</v>
      </c>
      <c r="C419" s="200" t="s">
        <v>2467</v>
      </c>
      <c r="D419" s="199" t="s">
        <v>166</v>
      </c>
      <c r="E419" s="199"/>
      <c r="F419" s="206">
        <v>-65132</v>
      </c>
      <c r="G419" s="206">
        <v>-6513</v>
      </c>
      <c r="H419" s="206">
        <v>-651</v>
      </c>
      <c r="I419" s="202">
        <f t="shared" si="6"/>
        <v>-59270</v>
      </c>
      <c r="J419" s="205" t="s">
        <v>95</v>
      </c>
      <c r="K419" s="205" t="s">
        <v>29</v>
      </c>
      <c r="L419" s="199" t="s">
        <v>1068</v>
      </c>
      <c r="M419" s="205" t="s">
        <v>3195</v>
      </c>
      <c r="N419" s="201" t="s">
        <v>1030</v>
      </c>
      <c r="O419" s="205" t="s">
        <v>652</v>
      </c>
      <c r="P419" s="205" t="s">
        <v>652</v>
      </c>
      <c r="Q419" s="208" t="s">
        <v>666</v>
      </c>
      <c r="R419" s="208" t="s">
        <v>667</v>
      </c>
      <c r="S419" s="208" t="s">
        <v>2467</v>
      </c>
    </row>
    <row r="420" spans="1:19" s="205" customFormat="1" hidden="1" x14ac:dyDescent="0.2">
      <c r="A420" s="205" t="s">
        <v>141</v>
      </c>
      <c r="B420" s="205" t="s">
        <v>374</v>
      </c>
      <c r="C420" s="200" t="s">
        <v>2467</v>
      </c>
      <c r="D420" s="199" t="s">
        <v>152</v>
      </c>
      <c r="E420" s="199"/>
      <c r="F420" s="206">
        <v>72291</v>
      </c>
      <c r="G420" s="206">
        <v>7229</v>
      </c>
      <c r="H420" s="206">
        <v>723</v>
      </c>
      <c r="I420" s="202">
        <f t="shared" si="6"/>
        <v>65785</v>
      </c>
      <c r="J420" s="205" t="s">
        <v>82</v>
      </c>
      <c r="K420" s="205" t="s">
        <v>29</v>
      </c>
      <c r="L420" s="199" t="s">
        <v>1141</v>
      </c>
      <c r="M420" s="205" t="s">
        <v>3196</v>
      </c>
      <c r="N420" s="201" t="s">
        <v>1030</v>
      </c>
      <c r="O420" s="205" t="s">
        <v>652</v>
      </c>
      <c r="P420" s="205" t="s">
        <v>652</v>
      </c>
      <c r="Q420" s="208" t="s">
        <v>500</v>
      </c>
      <c r="R420" s="208" t="s">
        <v>825</v>
      </c>
      <c r="S420" s="208" t="s">
        <v>2467</v>
      </c>
    </row>
    <row r="421" spans="1:19" s="205" customFormat="1" hidden="1" x14ac:dyDescent="0.2">
      <c r="A421" s="205" t="s">
        <v>102</v>
      </c>
      <c r="B421" s="205" t="s">
        <v>297</v>
      </c>
      <c r="C421" s="200" t="s">
        <v>2467</v>
      </c>
      <c r="D421" s="199" t="s">
        <v>152</v>
      </c>
      <c r="E421" s="199"/>
      <c r="F421" s="206">
        <v>12548</v>
      </c>
      <c r="G421" s="206">
        <v>1255</v>
      </c>
      <c r="H421" s="206">
        <v>125</v>
      </c>
      <c r="I421" s="202">
        <f t="shared" si="6"/>
        <v>11418</v>
      </c>
      <c r="J421" s="205" t="s">
        <v>31</v>
      </c>
      <c r="K421" s="205" t="s">
        <v>29</v>
      </c>
      <c r="L421" s="199" t="s">
        <v>1042</v>
      </c>
      <c r="M421" s="205" t="s">
        <v>3197</v>
      </c>
      <c r="N421" s="201" t="s">
        <v>1030</v>
      </c>
      <c r="O421" s="205" t="s">
        <v>652</v>
      </c>
      <c r="P421" s="205" t="s">
        <v>652</v>
      </c>
      <c r="Q421" s="214" t="s">
        <v>724</v>
      </c>
      <c r="R421" s="214" t="s">
        <v>725</v>
      </c>
      <c r="S421" s="214" t="s">
        <v>2467</v>
      </c>
    </row>
    <row r="422" spans="1:19" s="205" customFormat="1" hidden="1" x14ac:dyDescent="0.2">
      <c r="A422" s="205" t="s">
        <v>963</v>
      </c>
      <c r="B422" s="205" t="s">
        <v>964</v>
      </c>
      <c r="C422" s="200" t="s">
        <v>2467</v>
      </c>
      <c r="D422" s="199" t="s">
        <v>152</v>
      </c>
      <c r="E422" s="199"/>
      <c r="F422" s="206">
        <v>35894</v>
      </c>
      <c r="G422" s="206">
        <v>3589</v>
      </c>
      <c r="H422" s="206">
        <v>359</v>
      </c>
      <c r="I422" s="202">
        <f t="shared" si="6"/>
        <v>32664</v>
      </c>
      <c r="J422" s="205" t="s">
        <v>965</v>
      </c>
      <c r="K422" s="205" t="s">
        <v>29</v>
      </c>
      <c r="L422" s="199" t="s">
        <v>1042</v>
      </c>
      <c r="M422" s="205" t="s">
        <v>3198</v>
      </c>
      <c r="N422" s="201" t="s">
        <v>1030</v>
      </c>
      <c r="O422" s="205" t="s">
        <v>652</v>
      </c>
      <c r="P422" s="205" t="s">
        <v>652</v>
      </c>
      <c r="Q422" s="214" t="s">
        <v>786</v>
      </c>
      <c r="R422" s="214" t="s">
        <v>962</v>
      </c>
      <c r="S422" s="214" t="s">
        <v>2467</v>
      </c>
    </row>
    <row r="423" spans="1:19" s="205" customFormat="1" hidden="1" x14ac:dyDescent="0.2">
      <c r="A423" s="205" t="s">
        <v>42</v>
      </c>
      <c r="B423" s="205" t="s">
        <v>601</v>
      </c>
      <c r="C423" s="200" t="s">
        <v>2467</v>
      </c>
      <c r="D423" s="199" t="s">
        <v>152</v>
      </c>
      <c r="E423" s="199"/>
      <c r="F423" s="206">
        <v>34984</v>
      </c>
      <c r="G423" s="206">
        <v>3498</v>
      </c>
      <c r="H423" s="206">
        <v>350</v>
      </c>
      <c r="I423" s="202">
        <f t="shared" si="6"/>
        <v>31836</v>
      </c>
      <c r="J423" s="205" t="s">
        <v>43</v>
      </c>
      <c r="K423" s="205" t="s">
        <v>29</v>
      </c>
      <c r="L423" s="199" t="s">
        <v>1042</v>
      </c>
      <c r="M423" s="205" t="s">
        <v>3199</v>
      </c>
      <c r="N423" s="201" t="s">
        <v>1030</v>
      </c>
      <c r="O423" s="205" t="s">
        <v>652</v>
      </c>
      <c r="P423" s="205" t="s">
        <v>652</v>
      </c>
      <c r="Q423" s="214" t="s">
        <v>653</v>
      </c>
      <c r="R423" s="214" t="s">
        <v>654</v>
      </c>
      <c r="S423" s="214" t="s">
        <v>2467</v>
      </c>
    </row>
    <row r="424" spans="1:19" s="205" customFormat="1" hidden="1" x14ac:dyDescent="0.2">
      <c r="A424" s="205" t="s">
        <v>251</v>
      </c>
      <c r="B424" s="205" t="s">
        <v>3200</v>
      </c>
      <c r="C424" s="200" t="s">
        <v>2467</v>
      </c>
      <c r="D424" s="201" t="s">
        <v>152</v>
      </c>
      <c r="E424" s="201"/>
      <c r="F424" s="206">
        <v>51469</v>
      </c>
      <c r="G424" s="206">
        <v>5147</v>
      </c>
      <c r="H424" s="206">
        <v>257</v>
      </c>
      <c r="I424" s="202">
        <f t="shared" si="6"/>
        <v>46579</v>
      </c>
      <c r="J424" s="205" t="s">
        <v>104</v>
      </c>
      <c r="K424" s="205" t="s">
        <v>23</v>
      </c>
      <c r="L424" s="201" t="s">
        <v>1058</v>
      </c>
      <c r="M424" s="205" t="s">
        <v>3201</v>
      </c>
      <c r="N424" s="201" t="s">
        <v>1072</v>
      </c>
      <c r="O424" s="205" t="s">
        <v>652</v>
      </c>
      <c r="P424" s="205" t="s">
        <v>652</v>
      </c>
      <c r="Q424" s="208" t="s">
        <v>701</v>
      </c>
      <c r="R424" s="208" t="s">
        <v>702</v>
      </c>
      <c r="S424" s="208" t="s">
        <v>2467</v>
      </c>
    </row>
    <row r="425" spans="1:19" s="205" customFormat="1" hidden="1" x14ac:dyDescent="0.2">
      <c r="A425" s="205" t="s">
        <v>349</v>
      </c>
      <c r="B425" s="205" t="s">
        <v>2170</v>
      </c>
      <c r="C425" s="200" t="s">
        <v>2467</v>
      </c>
      <c r="D425" s="201" t="s">
        <v>152</v>
      </c>
      <c r="E425" s="201"/>
      <c r="F425" s="206">
        <v>6538</v>
      </c>
      <c r="G425" s="206">
        <v>654</v>
      </c>
      <c r="H425" s="206">
        <v>33</v>
      </c>
      <c r="I425" s="202">
        <f t="shared" si="6"/>
        <v>5917</v>
      </c>
      <c r="J425" s="205" t="s">
        <v>52</v>
      </c>
      <c r="K425" s="205" t="s">
        <v>23</v>
      </c>
      <c r="L425" s="201" t="s">
        <v>1042</v>
      </c>
      <c r="M425" s="205" t="s">
        <v>3202</v>
      </c>
      <c r="N425" s="201" t="s">
        <v>1030</v>
      </c>
      <c r="O425" s="205" t="s">
        <v>652</v>
      </c>
      <c r="P425" s="205" t="s">
        <v>652</v>
      </c>
      <c r="Q425" s="208" t="s">
        <v>696</v>
      </c>
      <c r="R425" s="208" t="s">
        <v>697</v>
      </c>
      <c r="S425" s="208" t="s">
        <v>2467</v>
      </c>
    </row>
    <row r="426" spans="1:19" s="205" customFormat="1" hidden="1" x14ac:dyDescent="0.2">
      <c r="A426" s="205" t="s">
        <v>488</v>
      </c>
      <c r="B426" s="205" t="s">
        <v>532</v>
      </c>
      <c r="C426" s="200" t="s">
        <v>2467</v>
      </c>
      <c r="D426" s="199" t="s">
        <v>166</v>
      </c>
      <c r="E426" s="199"/>
      <c r="F426" s="206">
        <v>-21928</v>
      </c>
      <c r="G426" s="206">
        <v>-2193</v>
      </c>
      <c r="H426" s="206">
        <v>-110</v>
      </c>
      <c r="I426" s="202">
        <f t="shared" si="6"/>
        <v>-19845</v>
      </c>
      <c r="J426" s="205" t="s">
        <v>533</v>
      </c>
      <c r="K426" s="205" t="s">
        <v>23</v>
      </c>
      <c r="L426" s="201" t="s">
        <v>1068</v>
      </c>
      <c r="M426" s="205" t="s">
        <v>3203</v>
      </c>
      <c r="N426" s="201" t="s">
        <v>1030</v>
      </c>
      <c r="O426" s="205" t="s">
        <v>652</v>
      </c>
      <c r="P426" s="205" t="s">
        <v>652</v>
      </c>
      <c r="Q426" s="208" t="s">
        <v>3204</v>
      </c>
      <c r="R426" s="208" t="s">
        <v>3205</v>
      </c>
      <c r="S426" s="208" t="s">
        <v>2467</v>
      </c>
    </row>
    <row r="427" spans="1:19" s="205" customFormat="1" hidden="1" x14ac:dyDescent="0.2">
      <c r="A427" s="205" t="s">
        <v>77</v>
      </c>
      <c r="B427" s="205" t="s">
        <v>369</v>
      </c>
      <c r="C427" s="200" t="s">
        <v>2467</v>
      </c>
      <c r="D427" s="201" t="s">
        <v>152</v>
      </c>
      <c r="E427" s="201"/>
      <c r="F427" s="206">
        <v>28238</v>
      </c>
      <c r="G427" s="206">
        <v>2824</v>
      </c>
      <c r="H427" s="206">
        <v>141</v>
      </c>
      <c r="I427" s="202">
        <f t="shared" si="6"/>
        <v>25555</v>
      </c>
      <c r="J427" s="205" t="s">
        <v>33</v>
      </c>
      <c r="K427" s="205" t="s">
        <v>23</v>
      </c>
      <c r="L427" s="201" t="s">
        <v>1042</v>
      </c>
      <c r="M427" s="205" t="s">
        <v>3206</v>
      </c>
      <c r="N427" s="201" t="s">
        <v>652</v>
      </c>
      <c r="O427" s="205" t="s">
        <v>652</v>
      </c>
      <c r="P427" s="205" t="s">
        <v>652</v>
      </c>
      <c r="Q427" s="208" t="s">
        <v>503</v>
      </c>
      <c r="R427" s="208" t="s">
        <v>766</v>
      </c>
      <c r="S427" s="208" t="s">
        <v>2467</v>
      </c>
    </row>
    <row r="428" spans="1:19" s="205" customFormat="1" hidden="1" x14ac:dyDescent="0.2">
      <c r="A428" s="205" t="s">
        <v>544</v>
      </c>
      <c r="B428" s="205" t="s">
        <v>545</v>
      </c>
      <c r="C428" s="200" t="s">
        <v>2467</v>
      </c>
      <c r="D428" s="201" t="s">
        <v>152</v>
      </c>
      <c r="E428" s="201"/>
      <c r="F428" s="206">
        <v>49081</v>
      </c>
      <c r="G428" s="206">
        <v>4908</v>
      </c>
      <c r="H428" s="206">
        <v>245</v>
      </c>
      <c r="I428" s="202">
        <f t="shared" si="6"/>
        <v>44418</v>
      </c>
      <c r="J428" s="205" t="s">
        <v>44</v>
      </c>
      <c r="K428" s="205" t="s">
        <v>23</v>
      </c>
      <c r="L428" s="201" t="s">
        <v>1042</v>
      </c>
      <c r="M428" s="205" t="s">
        <v>3207</v>
      </c>
      <c r="N428" s="201" t="s">
        <v>1030</v>
      </c>
      <c r="O428" s="205" t="s">
        <v>1382</v>
      </c>
      <c r="P428" s="205" t="s">
        <v>1382</v>
      </c>
      <c r="Q428" s="208" t="s">
        <v>699</v>
      </c>
      <c r="R428" s="208" t="s">
        <v>700</v>
      </c>
      <c r="S428" s="208" t="s">
        <v>2467</v>
      </c>
    </row>
    <row r="429" spans="1:19" s="205" customFormat="1" hidden="1" x14ac:dyDescent="0.2">
      <c r="A429" s="205" t="s">
        <v>317</v>
      </c>
      <c r="B429" s="205" t="s">
        <v>318</v>
      </c>
      <c r="C429" s="200" t="s">
        <v>2467</v>
      </c>
      <c r="D429" s="199" t="s">
        <v>152</v>
      </c>
      <c r="E429" s="199"/>
      <c r="F429" s="206">
        <v>50915</v>
      </c>
      <c r="G429" s="206">
        <v>5092</v>
      </c>
      <c r="H429" s="206">
        <v>255</v>
      </c>
      <c r="I429" s="202">
        <f t="shared" si="6"/>
        <v>46078</v>
      </c>
      <c r="J429" s="205" t="s">
        <v>59</v>
      </c>
      <c r="K429" s="205" t="s">
        <v>23</v>
      </c>
      <c r="L429" s="199" t="s">
        <v>1042</v>
      </c>
      <c r="M429" s="205" t="s">
        <v>3208</v>
      </c>
      <c r="N429" s="201" t="s">
        <v>1030</v>
      </c>
      <c r="O429" s="205" t="s">
        <v>1382</v>
      </c>
      <c r="P429" s="205" t="s">
        <v>1382</v>
      </c>
      <c r="Q429" s="208" t="s">
        <v>696</v>
      </c>
      <c r="R429" s="208" t="s">
        <v>697</v>
      </c>
      <c r="S429" s="208" t="s">
        <v>2467</v>
      </c>
    </row>
    <row r="430" spans="1:19" s="205" customFormat="1" hidden="1" x14ac:dyDescent="0.2">
      <c r="A430" s="205" t="s">
        <v>222</v>
      </c>
      <c r="B430" s="205" t="s">
        <v>826</v>
      </c>
      <c r="C430" s="200" t="s">
        <v>2467</v>
      </c>
      <c r="D430" s="199" t="s">
        <v>152</v>
      </c>
      <c r="E430" s="199"/>
      <c r="F430" s="206">
        <v>19011</v>
      </c>
      <c r="G430" s="206">
        <v>1901</v>
      </c>
      <c r="H430" s="206">
        <v>95</v>
      </c>
      <c r="I430" s="202">
        <f t="shared" si="6"/>
        <v>17205</v>
      </c>
      <c r="J430" s="205" t="s">
        <v>44</v>
      </c>
      <c r="K430" s="205" t="s">
        <v>23</v>
      </c>
      <c r="L430" s="199" t="s">
        <v>1042</v>
      </c>
      <c r="M430" s="205" t="s">
        <v>3209</v>
      </c>
      <c r="N430" s="201" t="s">
        <v>1030</v>
      </c>
      <c r="O430" s="205" t="s">
        <v>652</v>
      </c>
      <c r="P430" s="205" t="s">
        <v>652</v>
      </c>
      <c r="Q430" s="208" t="s">
        <v>683</v>
      </c>
      <c r="R430" s="208" t="s">
        <v>827</v>
      </c>
      <c r="S430" s="208" t="s">
        <v>2467</v>
      </c>
    </row>
    <row r="431" spans="1:19" s="205" customFormat="1" hidden="1" x14ac:dyDescent="0.2">
      <c r="A431" s="205" t="s">
        <v>378</v>
      </c>
      <c r="B431" s="205" t="s">
        <v>377</v>
      </c>
      <c r="C431" s="200" t="s">
        <v>2467</v>
      </c>
      <c r="D431" s="199" t="s">
        <v>166</v>
      </c>
      <c r="E431" s="199"/>
      <c r="F431" s="206">
        <v>-32549</v>
      </c>
      <c r="G431" s="206">
        <v>-3255</v>
      </c>
      <c r="H431" s="206">
        <v>-163</v>
      </c>
      <c r="I431" s="202">
        <f t="shared" si="6"/>
        <v>-29457</v>
      </c>
      <c r="J431" s="205" t="s">
        <v>94</v>
      </c>
      <c r="K431" s="205" t="s">
        <v>23</v>
      </c>
      <c r="L431" s="199" t="s">
        <v>1068</v>
      </c>
      <c r="M431" s="205" t="s">
        <v>3210</v>
      </c>
      <c r="N431" s="201" t="s">
        <v>1030</v>
      </c>
      <c r="O431" s="205" t="s">
        <v>1190</v>
      </c>
      <c r="P431" s="205" t="s">
        <v>1191</v>
      </c>
      <c r="Q431" s="208" t="s">
        <v>498</v>
      </c>
      <c r="R431" s="208" t="s">
        <v>828</v>
      </c>
      <c r="S431" s="208" t="s">
        <v>2467</v>
      </c>
    </row>
    <row r="432" spans="1:19" s="205" customFormat="1" hidden="1" x14ac:dyDescent="0.2">
      <c r="A432" s="205" t="s">
        <v>130</v>
      </c>
      <c r="B432" s="205" t="s">
        <v>623</v>
      </c>
      <c r="C432" s="200" t="s">
        <v>2467</v>
      </c>
      <c r="D432" s="199" t="s">
        <v>152</v>
      </c>
      <c r="E432" s="199"/>
      <c r="F432" s="206">
        <v>52313</v>
      </c>
      <c r="G432" s="206">
        <v>5231</v>
      </c>
      <c r="H432" s="206">
        <v>262</v>
      </c>
      <c r="I432" s="202">
        <f t="shared" si="6"/>
        <v>47344</v>
      </c>
      <c r="J432" s="205" t="s">
        <v>44</v>
      </c>
      <c r="K432" s="205" t="s">
        <v>23</v>
      </c>
      <c r="L432" s="199" t="s">
        <v>1042</v>
      </c>
      <c r="M432" s="205" t="s">
        <v>3211</v>
      </c>
      <c r="N432" s="201" t="s">
        <v>1030</v>
      </c>
      <c r="O432" s="205" t="s">
        <v>652</v>
      </c>
      <c r="P432" s="205" t="s">
        <v>652</v>
      </c>
      <c r="Q432" s="208" t="s">
        <v>653</v>
      </c>
      <c r="R432" s="208" t="s">
        <v>654</v>
      </c>
      <c r="S432" s="208" t="s">
        <v>2467</v>
      </c>
    </row>
    <row r="433" spans="1:24" s="205" customFormat="1" hidden="1" x14ac:dyDescent="0.2">
      <c r="A433" s="205" t="s">
        <v>99</v>
      </c>
      <c r="B433" s="205" t="s">
        <v>624</v>
      </c>
      <c r="C433" s="200" t="s">
        <v>2467</v>
      </c>
      <c r="D433" s="199" t="s">
        <v>152</v>
      </c>
      <c r="E433" s="199"/>
      <c r="F433" s="206">
        <v>25385</v>
      </c>
      <c r="G433" s="206">
        <v>2539</v>
      </c>
      <c r="H433" s="206">
        <v>127</v>
      </c>
      <c r="I433" s="202">
        <f t="shared" si="6"/>
        <v>22973</v>
      </c>
      <c r="J433" s="205" t="s">
        <v>44</v>
      </c>
      <c r="K433" s="205" t="s">
        <v>23</v>
      </c>
      <c r="L433" s="199" t="s">
        <v>1042</v>
      </c>
      <c r="M433" s="205" t="s">
        <v>3212</v>
      </c>
      <c r="N433" s="201" t="s">
        <v>1030</v>
      </c>
      <c r="O433" s="205" t="s">
        <v>652</v>
      </c>
      <c r="P433" s="205" t="s">
        <v>652</v>
      </c>
      <c r="Q433" s="214" t="s">
        <v>653</v>
      </c>
      <c r="R433" s="214" t="s">
        <v>654</v>
      </c>
      <c r="S433" s="214" t="s">
        <v>2467</v>
      </c>
    </row>
    <row r="434" spans="1:24" s="205" customFormat="1" hidden="1" x14ac:dyDescent="0.2">
      <c r="A434" s="209" t="s">
        <v>135</v>
      </c>
      <c r="B434" s="209" t="s">
        <v>372</v>
      </c>
      <c r="C434" s="234" t="s">
        <v>2467</v>
      </c>
      <c r="D434" s="201" t="s">
        <v>152</v>
      </c>
      <c r="E434" s="201"/>
      <c r="F434" s="211">
        <v>8225</v>
      </c>
      <c r="G434" s="211">
        <v>823</v>
      </c>
      <c r="H434" s="211">
        <v>41</v>
      </c>
      <c r="I434" s="202">
        <f t="shared" si="6"/>
        <v>7443</v>
      </c>
      <c r="J434" s="209" t="s">
        <v>44</v>
      </c>
      <c r="K434" s="209" t="s">
        <v>23</v>
      </c>
      <c r="L434" s="201" t="s">
        <v>1042</v>
      </c>
      <c r="M434" s="209" t="s">
        <v>3213</v>
      </c>
      <c r="N434" s="201" t="s">
        <v>1030</v>
      </c>
      <c r="O434" s="209" t="s">
        <v>652</v>
      </c>
      <c r="P434" s="209" t="s">
        <v>652</v>
      </c>
      <c r="Q434" s="213" t="s">
        <v>1587</v>
      </c>
      <c r="R434" s="213" t="s">
        <v>1588</v>
      </c>
      <c r="S434" s="213" t="s">
        <v>2467</v>
      </c>
      <c r="T434" s="209"/>
    </row>
    <row r="435" spans="1:24" s="205" customFormat="1" hidden="1" x14ac:dyDescent="0.2">
      <c r="A435" s="209" t="s">
        <v>1376</v>
      </c>
      <c r="B435" s="209" t="s">
        <v>1377</v>
      </c>
      <c r="C435" s="234" t="s">
        <v>2467</v>
      </c>
      <c r="D435" s="201" t="s">
        <v>152</v>
      </c>
      <c r="E435" s="201"/>
      <c r="F435" s="211">
        <v>66316</v>
      </c>
      <c r="G435" s="211">
        <v>6632</v>
      </c>
      <c r="H435" s="211">
        <v>332</v>
      </c>
      <c r="I435" s="202">
        <f t="shared" si="6"/>
        <v>60016</v>
      </c>
      <c r="J435" s="209" t="s">
        <v>52</v>
      </c>
      <c r="K435" s="209" t="s">
        <v>23</v>
      </c>
      <c r="L435" s="201" t="s">
        <v>1042</v>
      </c>
      <c r="M435" s="209" t="s">
        <v>3214</v>
      </c>
      <c r="N435" s="201" t="s">
        <v>1030</v>
      </c>
      <c r="O435" s="209" t="s">
        <v>652</v>
      </c>
      <c r="P435" s="209" t="s">
        <v>652</v>
      </c>
      <c r="Q435" s="213" t="s">
        <v>696</v>
      </c>
      <c r="R435" s="213" t="s">
        <v>697</v>
      </c>
      <c r="S435" s="213" t="s">
        <v>2467</v>
      </c>
      <c r="T435" s="209"/>
    </row>
    <row r="436" spans="1:24" s="205" customFormat="1" hidden="1" x14ac:dyDescent="0.2">
      <c r="A436" s="209" t="s">
        <v>207</v>
      </c>
      <c r="B436" s="209" t="s">
        <v>916</v>
      </c>
      <c r="C436" s="234" t="s">
        <v>2467</v>
      </c>
      <c r="D436" s="201" t="s">
        <v>152</v>
      </c>
      <c r="E436" s="201"/>
      <c r="F436" s="211">
        <v>26112</v>
      </c>
      <c r="G436" s="211">
        <v>2611</v>
      </c>
      <c r="H436" s="211">
        <v>131</v>
      </c>
      <c r="I436" s="202">
        <f t="shared" si="6"/>
        <v>23632</v>
      </c>
      <c r="J436" s="209" t="s">
        <v>44</v>
      </c>
      <c r="K436" s="209" t="s">
        <v>23</v>
      </c>
      <c r="L436" s="201" t="s">
        <v>1151</v>
      </c>
      <c r="M436" s="209" t="s">
        <v>3215</v>
      </c>
      <c r="N436" s="201" t="s">
        <v>1030</v>
      </c>
      <c r="O436" s="209" t="s">
        <v>652</v>
      </c>
      <c r="P436" s="209" t="s">
        <v>652</v>
      </c>
      <c r="Q436" s="213" t="s">
        <v>663</v>
      </c>
      <c r="R436" s="213" t="s">
        <v>745</v>
      </c>
      <c r="S436" s="213" t="s">
        <v>2467</v>
      </c>
      <c r="T436" s="209"/>
    </row>
    <row r="437" spans="1:24" s="205" customFormat="1" hidden="1" x14ac:dyDescent="0.2">
      <c r="A437" s="205" t="s">
        <v>204</v>
      </c>
      <c r="B437" s="205" t="s">
        <v>343</v>
      </c>
      <c r="C437" s="200" t="s">
        <v>2467</v>
      </c>
      <c r="D437" s="201" t="s">
        <v>152</v>
      </c>
      <c r="E437" s="201"/>
      <c r="F437" s="206">
        <v>22699</v>
      </c>
      <c r="G437" s="206">
        <v>0</v>
      </c>
      <c r="H437" s="206">
        <v>0</v>
      </c>
      <c r="I437" s="202">
        <f t="shared" si="6"/>
        <v>22699</v>
      </c>
      <c r="J437" s="205" t="s">
        <v>25</v>
      </c>
      <c r="K437" s="205" t="s">
        <v>214</v>
      </c>
      <c r="L437" s="201" t="s">
        <v>1042</v>
      </c>
      <c r="M437" s="205" t="s">
        <v>3216</v>
      </c>
      <c r="N437" s="201" t="s">
        <v>1030</v>
      </c>
      <c r="O437" s="205" t="s">
        <v>652</v>
      </c>
      <c r="P437" s="205" t="s">
        <v>652</v>
      </c>
      <c r="Q437" s="208" t="s">
        <v>696</v>
      </c>
      <c r="R437" s="208" t="s">
        <v>697</v>
      </c>
      <c r="S437" s="208" t="s">
        <v>2467</v>
      </c>
      <c r="U437" s="209"/>
      <c r="V437" s="209"/>
      <c r="W437" s="209"/>
      <c r="X437" s="209"/>
    </row>
    <row r="438" spans="1:24" s="205" customFormat="1" hidden="1" x14ac:dyDescent="0.2">
      <c r="A438" s="205" t="s">
        <v>148</v>
      </c>
      <c r="B438" s="205" t="s">
        <v>2804</v>
      </c>
      <c r="C438" s="200" t="s">
        <v>2467</v>
      </c>
      <c r="D438" s="201" t="s">
        <v>152</v>
      </c>
      <c r="E438" s="201"/>
      <c r="F438" s="206">
        <v>39091</v>
      </c>
      <c r="G438" s="206">
        <v>0</v>
      </c>
      <c r="H438" s="206">
        <v>0</v>
      </c>
      <c r="I438" s="202">
        <f t="shared" si="6"/>
        <v>39091</v>
      </c>
      <c r="J438" s="205" t="s">
        <v>25</v>
      </c>
      <c r="K438" s="205" t="s">
        <v>214</v>
      </c>
      <c r="L438" s="201" t="s">
        <v>1042</v>
      </c>
      <c r="M438" s="205" t="s">
        <v>3217</v>
      </c>
      <c r="N438" s="201" t="s">
        <v>652</v>
      </c>
      <c r="O438" s="205" t="s">
        <v>652</v>
      </c>
      <c r="P438" s="205" t="s">
        <v>652</v>
      </c>
      <c r="Q438" s="208" t="s">
        <v>2191</v>
      </c>
      <c r="R438" s="208" t="s">
        <v>2192</v>
      </c>
      <c r="S438" s="208" t="s">
        <v>2467</v>
      </c>
      <c r="U438" s="209"/>
      <c r="V438" s="209"/>
      <c r="W438" s="209"/>
      <c r="X438" s="209"/>
    </row>
    <row r="439" spans="1:24" s="205" customFormat="1" hidden="1" x14ac:dyDescent="0.2">
      <c r="A439" s="205" t="s">
        <v>730</v>
      </c>
      <c r="B439" s="205" t="s">
        <v>731</v>
      </c>
      <c r="C439" s="200" t="s">
        <v>2467</v>
      </c>
      <c r="D439" s="201" t="s">
        <v>152</v>
      </c>
      <c r="E439" s="201"/>
      <c r="F439" s="206">
        <v>185300</v>
      </c>
      <c r="G439" s="206">
        <v>0</v>
      </c>
      <c r="H439" s="206">
        <v>0</v>
      </c>
      <c r="I439" s="202">
        <f t="shared" si="6"/>
        <v>185300</v>
      </c>
      <c r="J439" s="205" t="s">
        <v>25</v>
      </c>
      <c r="K439" s="205" t="s">
        <v>214</v>
      </c>
      <c r="L439" s="201" t="s">
        <v>1042</v>
      </c>
      <c r="M439" s="205" t="s">
        <v>3218</v>
      </c>
      <c r="N439" s="201" t="s">
        <v>1565</v>
      </c>
      <c r="O439" s="205" t="s">
        <v>1190</v>
      </c>
      <c r="P439" s="205" t="s">
        <v>1191</v>
      </c>
      <c r="Q439" s="208" t="s">
        <v>732</v>
      </c>
      <c r="R439" s="208" t="s">
        <v>733</v>
      </c>
      <c r="S439" s="208" t="s">
        <v>2467</v>
      </c>
      <c r="U439" s="209"/>
      <c r="V439" s="209"/>
      <c r="W439" s="209"/>
      <c r="X439" s="209"/>
    </row>
    <row r="440" spans="1:24" s="205" customFormat="1" hidden="1" x14ac:dyDescent="0.2">
      <c r="A440" s="205" t="s">
        <v>160</v>
      </c>
      <c r="B440" s="205" t="s">
        <v>3219</v>
      </c>
      <c r="C440" s="200" t="s">
        <v>2467</v>
      </c>
      <c r="D440" s="201" t="s">
        <v>152</v>
      </c>
      <c r="E440" s="201"/>
      <c r="F440" s="206">
        <v>28454</v>
      </c>
      <c r="G440" s="206">
        <v>0</v>
      </c>
      <c r="H440" s="206">
        <v>0</v>
      </c>
      <c r="I440" s="202">
        <f t="shared" si="6"/>
        <v>28454</v>
      </c>
      <c r="J440" s="205" t="s">
        <v>25</v>
      </c>
      <c r="K440" s="205" t="s">
        <v>214</v>
      </c>
      <c r="L440" s="201" t="s">
        <v>1042</v>
      </c>
      <c r="M440" s="205" t="s">
        <v>3220</v>
      </c>
      <c r="N440" s="201" t="s">
        <v>1030</v>
      </c>
      <c r="O440" s="205" t="s">
        <v>652</v>
      </c>
      <c r="P440" s="205" t="s">
        <v>652</v>
      </c>
      <c r="Q440" s="208" t="s">
        <v>688</v>
      </c>
      <c r="R440" s="208" t="s">
        <v>689</v>
      </c>
      <c r="S440" s="208" t="s">
        <v>2467</v>
      </c>
      <c r="U440" s="209"/>
      <c r="V440" s="209"/>
      <c r="W440" s="209"/>
      <c r="X440" s="209"/>
    </row>
    <row r="441" spans="1:24" s="205" customFormat="1" hidden="1" x14ac:dyDescent="0.2">
      <c r="A441" s="205" t="s">
        <v>34</v>
      </c>
      <c r="B441" s="205" t="s">
        <v>583</v>
      </c>
      <c r="C441" s="200" t="s">
        <v>2467</v>
      </c>
      <c r="D441" s="201" t="s">
        <v>152</v>
      </c>
      <c r="E441" s="201"/>
      <c r="F441" s="206">
        <v>16128</v>
      </c>
      <c r="G441" s="206">
        <v>0</v>
      </c>
      <c r="H441" s="206">
        <v>0</v>
      </c>
      <c r="I441" s="202">
        <f t="shared" si="6"/>
        <v>16128</v>
      </c>
      <c r="J441" s="205" t="s">
        <v>25</v>
      </c>
      <c r="K441" s="205" t="s">
        <v>214</v>
      </c>
      <c r="L441" s="201" t="s">
        <v>1042</v>
      </c>
      <c r="M441" s="205" t="s">
        <v>3221</v>
      </c>
      <c r="N441" s="201" t="s">
        <v>1030</v>
      </c>
      <c r="O441" s="205" t="s">
        <v>652</v>
      </c>
      <c r="P441" s="205" t="s">
        <v>652</v>
      </c>
      <c r="Q441" s="208" t="s">
        <v>653</v>
      </c>
      <c r="R441" s="208" t="s">
        <v>654</v>
      </c>
      <c r="S441" s="208" t="s">
        <v>2467</v>
      </c>
      <c r="U441" s="209"/>
      <c r="V441" s="209"/>
      <c r="W441" s="209"/>
      <c r="X441" s="209"/>
    </row>
    <row r="442" spans="1:24" s="205" customFormat="1" hidden="1" x14ac:dyDescent="0.2">
      <c r="A442" s="205" t="s">
        <v>60</v>
      </c>
      <c r="B442" s="205" t="s">
        <v>541</v>
      </c>
      <c r="C442" s="200" t="s">
        <v>2467</v>
      </c>
      <c r="D442" s="201" t="s">
        <v>152</v>
      </c>
      <c r="E442" s="201"/>
      <c r="F442" s="206">
        <v>119959</v>
      </c>
      <c r="G442" s="206">
        <v>0</v>
      </c>
      <c r="H442" s="206">
        <v>0</v>
      </c>
      <c r="I442" s="202">
        <f t="shared" si="6"/>
        <v>119959</v>
      </c>
      <c r="J442" s="205" t="s">
        <v>25</v>
      </c>
      <c r="K442" s="205" t="s">
        <v>214</v>
      </c>
      <c r="L442" s="201" t="s">
        <v>1042</v>
      </c>
      <c r="M442" s="205" t="s">
        <v>3222</v>
      </c>
      <c r="N442" s="201" t="s">
        <v>1030</v>
      </c>
      <c r="O442" s="205" t="s">
        <v>652</v>
      </c>
      <c r="P442" s="205" t="s">
        <v>652</v>
      </c>
      <c r="Q442" s="208" t="s">
        <v>688</v>
      </c>
      <c r="R442" s="208" t="s">
        <v>689</v>
      </c>
      <c r="S442" s="208" t="s">
        <v>2467</v>
      </c>
      <c r="U442" s="209"/>
      <c r="V442" s="209"/>
      <c r="W442" s="209"/>
      <c r="X442" s="209"/>
    </row>
    <row r="443" spans="1:24" s="205" customFormat="1" hidden="1" x14ac:dyDescent="0.2">
      <c r="A443" s="209" t="s">
        <v>155</v>
      </c>
      <c r="B443" s="209" t="s">
        <v>547</v>
      </c>
      <c r="C443" s="234" t="s">
        <v>2467</v>
      </c>
      <c r="D443" s="201" t="s">
        <v>152</v>
      </c>
      <c r="E443" s="201"/>
      <c r="F443" s="211">
        <v>25176</v>
      </c>
      <c r="G443" s="206">
        <v>0</v>
      </c>
      <c r="H443" s="206">
        <v>0</v>
      </c>
      <c r="I443" s="202">
        <f t="shared" si="6"/>
        <v>25176</v>
      </c>
      <c r="J443" s="209" t="s">
        <v>25</v>
      </c>
      <c r="K443" s="209" t="s">
        <v>214</v>
      </c>
      <c r="L443" s="201" t="s">
        <v>1042</v>
      </c>
      <c r="M443" s="209" t="s">
        <v>3223</v>
      </c>
      <c r="N443" s="201" t="s">
        <v>1030</v>
      </c>
      <c r="O443" s="209" t="s">
        <v>652</v>
      </c>
      <c r="P443" s="209" t="s">
        <v>652</v>
      </c>
      <c r="Q443" s="213" t="s">
        <v>801</v>
      </c>
      <c r="R443" s="213" t="s">
        <v>802</v>
      </c>
      <c r="S443" s="213" t="s">
        <v>2467</v>
      </c>
      <c r="T443" s="209"/>
      <c r="U443" s="209"/>
      <c r="V443" s="209"/>
      <c r="W443" s="209"/>
      <c r="X443" s="209"/>
    </row>
    <row r="444" spans="1:24" s="205" customFormat="1" hidden="1" x14ac:dyDescent="0.2">
      <c r="A444" s="209" t="s">
        <v>164</v>
      </c>
      <c r="B444" s="209" t="s">
        <v>301</v>
      </c>
      <c r="C444" s="234" t="s">
        <v>2467</v>
      </c>
      <c r="D444" s="201" t="s">
        <v>152</v>
      </c>
      <c r="E444" s="201"/>
      <c r="F444" s="211">
        <v>84772</v>
      </c>
      <c r="G444" s="206">
        <v>0</v>
      </c>
      <c r="H444" s="206">
        <v>0</v>
      </c>
      <c r="I444" s="202">
        <f t="shared" si="6"/>
        <v>84772</v>
      </c>
      <c r="J444" s="209" t="s">
        <v>25</v>
      </c>
      <c r="K444" s="209" t="s">
        <v>214</v>
      </c>
      <c r="L444" s="201" t="s">
        <v>1042</v>
      </c>
      <c r="M444" s="209" t="s">
        <v>3224</v>
      </c>
      <c r="N444" s="201" t="s">
        <v>1030</v>
      </c>
      <c r="O444" s="209" t="s">
        <v>652</v>
      </c>
      <c r="P444" s="209" t="s">
        <v>652</v>
      </c>
      <c r="Q444" s="213" t="s">
        <v>491</v>
      </c>
      <c r="R444" s="213" t="s">
        <v>884</v>
      </c>
      <c r="S444" s="213" t="s">
        <v>2467</v>
      </c>
      <c r="T444" s="209"/>
      <c r="U444" s="209"/>
      <c r="V444" s="209"/>
      <c r="W444" s="209"/>
      <c r="X444" s="209"/>
    </row>
    <row r="445" spans="1:24" s="205" customFormat="1" hidden="1" x14ac:dyDescent="0.2">
      <c r="A445" s="205" t="s">
        <v>127</v>
      </c>
      <c r="B445" s="205" t="s">
        <v>3225</v>
      </c>
      <c r="C445" s="200" t="s">
        <v>3226</v>
      </c>
      <c r="D445" s="201" t="s">
        <v>152</v>
      </c>
      <c r="E445" s="201"/>
      <c r="F445" s="206">
        <v>3923319</v>
      </c>
      <c r="G445" s="206">
        <v>392333</v>
      </c>
      <c r="H445" s="206">
        <v>39233</v>
      </c>
      <c r="I445" s="202">
        <f t="shared" si="6"/>
        <v>3570219</v>
      </c>
      <c r="J445" s="205" t="s">
        <v>128</v>
      </c>
      <c r="K445" s="205" t="s">
        <v>29</v>
      </c>
      <c r="L445" s="201" t="s">
        <v>1028</v>
      </c>
      <c r="M445" s="205" t="s">
        <v>3227</v>
      </c>
      <c r="N445" s="201" t="s">
        <v>1030</v>
      </c>
      <c r="O445" s="205" t="s">
        <v>652</v>
      </c>
      <c r="P445" s="205" t="s">
        <v>652</v>
      </c>
      <c r="Q445" s="208" t="s">
        <v>830</v>
      </c>
      <c r="R445" s="208" t="s">
        <v>3228</v>
      </c>
      <c r="S445" s="208" t="s">
        <v>3226</v>
      </c>
    </row>
    <row r="446" spans="1:24" s="205" customFormat="1" hidden="1" x14ac:dyDescent="0.2">
      <c r="A446" s="205" t="s">
        <v>296</v>
      </c>
      <c r="B446" s="205" t="s">
        <v>3229</v>
      </c>
      <c r="C446" s="200" t="s">
        <v>3226</v>
      </c>
      <c r="D446" s="201" t="s">
        <v>152</v>
      </c>
      <c r="E446" s="201"/>
      <c r="F446" s="206">
        <v>968649</v>
      </c>
      <c r="G446" s="206">
        <v>96865</v>
      </c>
      <c r="H446" s="206">
        <v>9687</v>
      </c>
      <c r="I446" s="202">
        <f t="shared" si="6"/>
        <v>881471</v>
      </c>
      <c r="J446" s="205" t="s">
        <v>676</v>
      </c>
      <c r="K446" s="205" t="s">
        <v>29</v>
      </c>
      <c r="L446" s="201" t="s">
        <v>1028</v>
      </c>
      <c r="M446" s="205" t="s">
        <v>3230</v>
      </c>
      <c r="N446" s="201" t="s">
        <v>1030</v>
      </c>
      <c r="O446" s="205" t="s">
        <v>652</v>
      </c>
      <c r="P446" s="205" t="s">
        <v>652</v>
      </c>
      <c r="Q446" s="208" t="s">
        <v>2191</v>
      </c>
      <c r="R446" s="208" t="s">
        <v>2192</v>
      </c>
      <c r="S446" s="208" t="s">
        <v>3226</v>
      </c>
    </row>
    <row r="447" spans="1:24" s="205" customFormat="1" hidden="1" x14ac:dyDescent="0.2">
      <c r="A447" s="205" t="s">
        <v>3231</v>
      </c>
      <c r="B447" s="205" t="s">
        <v>3232</v>
      </c>
      <c r="C447" s="200" t="s">
        <v>3226</v>
      </c>
      <c r="D447" s="201" t="s">
        <v>152</v>
      </c>
      <c r="E447" s="201"/>
      <c r="F447" s="206">
        <v>231570</v>
      </c>
      <c r="G447" s="206">
        <v>23157</v>
      </c>
      <c r="H447" s="206">
        <v>2316</v>
      </c>
      <c r="I447" s="202">
        <f t="shared" si="6"/>
        <v>210729</v>
      </c>
      <c r="J447" s="205" t="s">
        <v>32</v>
      </c>
      <c r="K447" s="205" t="s">
        <v>29</v>
      </c>
      <c r="L447" s="201" t="s">
        <v>1028</v>
      </c>
      <c r="M447" s="205" t="s">
        <v>3233</v>
      </c>
      <c r="N447" s="201" t="s">
        <v>1030</v>
      </c>
      <c r="O447" s="205" t="s">
        <v>652</v>
      </c>
      <c r="P447" s="205" t="s">
        <v>652</v>
      </c>
      <c r="Q447" s="208" t="s">
        <v>2191</v>
      </c>
      <c r="R447" s="208" t="s">
        <v>2192</v>
      </c>
      <c r="S447" s="208" t="s">
        <v>3226</v>
      </c>
    </row>
    <row r="448" spans="1:24" s="205" customFormat="1" hidden="1" x14ac:dyDescent="0.2">
      <c r="A448" s="205" t="s">
        <v>428</v>
      </c>
      <c r="B448" s="205" t="s">
        <v>710</v>
      </c>
      <c r="C448" s="200" t="s">
        <v>3226</v>
      </c>
      <c r="D448" s="201" t="s">
        <v>166</v>
      </c>
      <c r="E448" s="201"/>
      <c r="F448" s="206">
        <v>-78529</v>
      </c>
      <c r="G448" s="206">
        <v>-7853</v>
      </c>
      <c r="H448" s="206">
        <v>-785</v>
      </c>
      <c r="I448" s="202">
        <f t="shared" si="6"/>
        <v>-71461</v>
      </c>
      <c r="J448" s="205" t="s">
        <v>562</v>
      </c>
      <c r="K448" s="205" t="s">
        <v>29</v>
      </c>
      <c r="L448" s="201" t="s">
        <v>1068</v>
      </c>
      <c r="M448" s="205" t="s">
        <v>3234</v>
      </c>
      <c r="N448" s="201" t="s">
        <v>1030</v>
      </c>
      <c r="O448" s="205" t="s">
        <v>652</v>
      </c>
      <c r="P448" s="205" t="s">
        <v>652</v>
      </c>
      <c r="Q448" s="208" t="s">
        <v>711</v>
      </c>
      <c r="R448" s="208" t="s">
        <v>712</v>
      </c>
      <c r="S448" s="208" t="s">
        <v>3226</v>
      </c>
    </row>
    <row r="449" spans="1:24" s="205" customFormat="1" hidden="1" x14ac:dyDescent="0.2">
      <c r="A449" s="205" t="s">
        <v>53</v>
      </c>
      <c r="B449" s="205" t="s">
        <v>586</v>
      </c>
      <c r="C449" s="200" t="s">
        <v>3226</v>
      </c>
      <c r="D449" s="201" t="s">
        <v>152</v>
      </c>
      <c r="E449" s="201"/>
      <c r="F449" s="206">
        <v>1004295</v>
      </c>
      <c r="G449" s="206">
        <v>100430</v>
      </c>
      <c r="H449" s="206">
        <v>10043</v>
      </c>
      <c r="I449" s="202">
        <f t="shared" si="6"/>
        <v>913908</v>
      </c>
      <c r="J449" s="205" t="s">
        <v>173</v>
      </c>
      <c r="K449" s="205" t="s">
        <v>29</v>
      </c>
      <c r="L449" s="201" t="s">
        <v>1042</v>
      </c>
      <c r="M449" s="205" t="s">
        <v>3235</v>
      </c>
      <c r="N449" s="201" t="s">
        <v>1030</v>
      </c>
      <c r="O449" s="205" t="s">
        <v>652</v>
      </c>
      <c r="P449" s="205" t="s">
        <v>652</v>
      </c>
      <c r="Q449" s="208" t="s">
        <v>653</v>
      </c>
      <c r="R449" s="208" t="s">
        <v>654</v>
      </c>
      <c r="S449" s="208" t="s">
        <v>3226</v>
      </c>
    </row>
    <row r="450" spans="1:24" s="205" customFormat="1" hidden="1" x14ac:dyDescent="0.2">
      <c r="A450" s="205" t="s">
        <v>45</v>
      </c>
      <c r="B450" s="205" t="s">
        <v>527</v>
      </c>
      <c r="C450" s="200" t="s">
        <v>3226</v>
      </c>
      <c r="D450" s="199" t="s">
        <v>166</v>
      </c>
      <c r="E450" s="199"/>
      <c r="F450" s="206">
        <v>-7251</v>
      </c>
      <c r="G450" s="206">
        <v>-725</v>
      </c>
      <c r="H450" s="206">
        <v>-73</v>
      </c>
      <c r="I450" s="202">
        <f t="shared" si="6"/>
        <v>-6599</v>
      </c>
      <c r="J450" s="205" t="s">
        <v>28</v>
      </c>
      <c r="K450" s="205" t="s">
        <v>29</v>
      </c>
      <c r="L450" s="201" t="s">
        <v>1068</v>
      </c>
      <c r="M450" s="205" t="s">
        <v>3236</v>
      </c>
      <c r="N450" s="201" t="s">
        <v>1030</v>
      </c>
      <c r="O450" s="205" t="s">
        <v>652</v>
      </c>
      <c r="P450" s="205" t="s">
        <v>652</v>
      </c>
      <c r="Q450" s="208" t="s">
        <v>718</v>
      </c>
      <c r="R450" s="208" t="s">
        <v>719</v>
      </c>
      <c r="S450" s="208" t="s">
        <v>3226</v>
      </c>
    </row>
    <row r="451" spans="1:24" s="205" customFormat="1" hidden="1" x14ac:dyDescent="0.2">
      <c r="A451" s="205" t="s">
        <v>443</v>
      </c>
      <c r="B451" s="205" t="s">
        <v>637</v>
      </c>
      <c r="C451" s="200" t="s">
        <v>3226</v>
      </c>
      <c r="D451" s="199" t="s">
        <v>152</v>
      </c>
      <c r="E451" s="199"/>
      <c r="F451" s="206">
        <v>34065</v>
      </c>
      <c r="G451" s="206">
        <v>3407</v>
      </c>
      <c r="H451" s="206">
        <v>341</v>
      </c>
      <c r="I451" s="202">
        <f t="shared" ref="I451:I514" si="7">F451+H451-G451</f>
        <v>30999</v>
      </c>
      <c r="J451" s="205" t="s">
        <v>32</v>
      </c>
      <c r="K451" s="205" t="s">
        <v>29</v>
      </c>
      <c r="L451" s="199" t="s">
        <v>1042</v>
      </c>
      <c r="M451" s="205" t="s">
        <v>3237</v>
      </c>
      <c r="N451" s="201" t="s">
        <v>1030</v>
      </c>
      <c r="O451" s="205" t="s">
        <v>652</v>
      </c>
      <c r="P451" s="205" t="s">
        <v>652</v>
      </c>
      <c r="Q451" s="214" t="s">
        <v>703</v>
      </c>
      <c r="R451" s="214" t="s">
        <v>704</v>
      </c>
      <c r="S451" s="214" t="s">
        <v>3226</v>
      </c>
    </row>
    <row r="452" spans="1:24" s="205" customFormat="1" hidden="1" x14ac:dyDescent="0.2">
      <c r="A452" s="209" t="s">
        <v>110</v>
      </c>
      <c r="B452" s="209" t="s">
        <v>616</v>
      </c>
      <c r="C452" s="234" t="s">
        <v>3226</v>
      </c>
      <c r="D452" s="201" t="s">
        <v>152</v>
      </c>
      <c r="E452" s="201"/>
      <c r="F452" s="211">
        <v>49085</v>
      </c>
      <c r="G452" s="211">
        <v>4909</v>
      </c>
      <c r="H452" s="211">
        <v>491</v>
      </c>
      <c r="I452" s="202">
        <f t="shared" si="7"/>
        <v>44667</v>
      </c>
      <c r="J452" s="209" t="s">
        <v>32</v>
      </c>
      <c r="K452" s="209" t="s">
        <v>29</v>
      </c>
      <c r="L452" s="201" t="s">
        <v>1042</v>
      </c>
      <c r="M452" s="209" t="s">
        <v>3238</v>
      </c>
      <c r="N452" s="201" t="s">
        <v>1030</v>
      </c>
      <c r="O452" s="209" t="s">
        <v>652</v>
      </c>
      <c r="P452" s="209" t="s">
        <v>652</v>
      </c>
      <c r="Q452" s="213" t="s">
        <v>653</v>
      </c>
      <c r="R452" s="213" t="s">
        <v>654</v>
      </c>
      <c r="S452" s="213" t="s">
        <v>3226</v>
      </c>
      <c r="T452" s="209"/>
    </row>
    <row r="453" spans="1:24" s="205" customFormat="1" hidden="1" x14ac:dyDescent="0.2">
      <c r="A453" s="205" t="s">
        <v>293</v>
      </c>
      <c r="B453" s="205" t="s">
        <v>3239</v>
      </c>
      <c r="C453" s="200" t="s">
        <v>3226</v>
      </c>
      <c r="D453" s="201" t="s">
        <v>152</v>
      </c>
      <c r="E453" s="201"/>
      <c r="F453" s="206">
        <v>1500958</v>
      </c>
      <c r="G453" s="206">
        <v>150096</v>
      </c>
      <c r="H453" s="206">
        <v>7505</v>
      </c>
      <c r="I453" s="202">
        <f t="shared" si="7"/>
        <v>1358367</v>
      </c>
      <c r="J453" s="205" t="s">
        <v>74</v>
      </c>
      <c r="K453" s="205" t="s">
        <v>23</v>
      </c>
      <c r="L453" s="201" t="s">
        <v>1028</v>
      </c>
      <c r="M453" s="205" t="s">
        <v>3240</v>
      </c>
      <c r="N453" s="201" t="s">
        <v>1030</v>
      </c>
      <c r="O453" s="205" t="s">
        <v>652</v>
      </c>
      <c r="P453" s="205" t="s">
        <v>652</v>
      </c>
      <c r="Q453" s="208" t="s">
        <v>2664</v>
      </c>
      <c r="R453" s="208" t="s">
        <v>2665</v>
      </c>
      <c r="S453" s="208" t="s">
        <v>3226</v>
      </c>
      <c r="T453" s="209"/>
    </row>
    <row r="454" spans="1:24" s="205" customFormat="1" hidden="1" x14ac:dyDescent="0.2">
      <c r="A454" s="205" t="s">
        <v>3241</v>
      </c>
      <c r="B454" s="205" t="s">
        <v>3242</v>
      </c>
      <c r="C454" s="200" t="s">
        <v>3226</v>
      </c>
      <c r="D454" s="201" t="s">
        <v>152</v>
      </c>
      <c r="E454" s="201"/>
      <c r="F454" s="206">
        <v>2170365</v>
      </c>
      <c r="G454" s="206">
        <v>217036</v>
      </c>
      <c r="H454" s="206">
        <v>10852</v>
      </c>
      <c r="I454" s="202">
        <f t="shared" si="7"/>
        <v>1964181</v>
      </c>
      <c r="J454" s="205" t="s">
        <v>52</v>
      </c>
      <c r="K454" s="205" t="s">
        <v>23</v>
      </c>
      <c r="L454" s="201" t="s">
        <v>1058</v>
      </c>
      <c r="M454" s="205" t="s">
        <v>3243</v>
      </c>
      <c r="N454" s="201" t="s">
        <v>1030</v>
      </c>
      <c r="O454" s="205" t="s">
        <v>1190</v>
      </c>
      <c r="P454" s="205" t="s">
        <v>1191</v>
      </c>
      <c r="Q454" s="208" t="s">
        <v>846</v>
      </c>
      <c r="R454" s="208" t="s">
        <v>2922</v>
      </c>
      <c r="S454" s="208" t="s">
        <v>3226</v>
      </c>
    </row>
    <row r="455" spans="1:24" s="205" customFormat="1" hidden="1" x14ac:dyDescent="0.2">
      <c r="A455" s="205" t="s">
        <v>283</v>
      </c>
      <c r="B455" s="205" t="s">
        <v>763</v>
      </c>
      <c r="C455" s="200" t="s">
        <v>3226</v>
      </c>
      <c r="D455" s="201" t="s">
        <v>152</v>
      </c>
      <c r="E455" s="201"/>
      <c r="F455" s="206">
        <v>94377</v>
      </c>
      <c r="G455" s="206">
        <v>9438</v>
      </c>
      <c r="H455" s="206">
        <v>472</v>
      </c>
      <c r="I455" s="202">
        <f t="shared" si="7"/>
        <v>85411</v>
      </c>
      <c r="J455" s="205" t="s">
        <v>489</v>
      </c>
      <c r="K455" s="205" t="s">
        <v>23</v>
      </c>
      <c r="L455" s="201" t="s">
        <v>1058</v>
      </c>
      <c r="M455" s="205" t="s">
        <v>3244</v>
      </c>
      <c r="N455" s="201" t="s">
        <v>1030</v>
      </c>
      <c r="O455" s="205" t="s">
        <v>652</v>
      </c>
      <c r="P455" s="205" t="s">
        <v>652</v>
      </c>
      <c r="Q455" s="208" t="s">
        <v>987</v>
      </c>
      <c r="R455" s="208" t="s">
        <v>988</v>
      </c>
      <c r="S455" s="208" t="s">
        <v>3226</v>
      </c>
    </row>
    <row r="456" spans="1:24" s="205" customFormat="1" hidden="1" x14ac:dyDescent="0.2">
      <c r="A456" s="205" t="s">
        <v>283</v>
      </c>
      <c r="B456" s="205" t="s">
        <v>3245</v>
      </c>
      <c r="C456" s="200" t="s">
        <v>3226</v>
      </c>
      <c r="D456" s="201" t="s">
        <v>152</v>
      </c>
      <c r="E456" s="201"/>
      <c r="F456" s="206">
        <v>94377</v>
      </c>
      <c r="G456" s="206">
        <v>9438</v>
      </c>
      <c r="H456" s="206">
        <v>472</v>
      </c>
      <c r="I456" s="202">
        <f t="shared" si="7"/>
        <v>85411</v>
      </c>
      <c r="J456" s="205" t="s">
        <v>489</v>
      </c>
      <c r="K456" s="205" t="s">
        <v>23</v>
      </c>
      <c r="L456" s="201" t="s">
        <v>1058</v>
      </c>
      <c r="M456" s="205" t="s">
        <v>3246</v>
      </c>
      <c r="N456" s="201" t="s">
        <v>1030</v>
      </c>
      <c r="O456" s="205" t="s">
        <v>652</v>
      </c>
      <c r="P456" s="205" t="s">
        <v>652</v>
      </c>
      <c r="Q456" s="208" t="s">
        <v>987</v>
      </c>
      <c r="R456" s="208" t="s">
        <v>988</v>
      </c>
      <c r="S456" s="208" t="s">
        <v>3226</v>
      </c>
    </row>
    <row r="457" spans="1:24" s="205" customFormat="1" hidden="1" x14ac:dyDescent="0.2">
      <c r="A457" s="205" t="s">
        <v>3055</v>
      </c>
      <c r="B457" s="205" t="s">
        <v>3247</v>
      </c>
      <c r="C457" s="200" t="s">
        <v>3226</v>
      </c>
      <c r="D457" s="201" t="s">
        <v>152</v>
      </c>
      <c r="E457" s="201"/>
      <c r="F457" s="206">
        <v>84793</v>
      </c>
      <c r="G457" s="206">
        <v>8479</v>
      </c>
      <c r="H457" s="206">
        <v>424</v>
      </c>
      <c r="I457" s="202">
        <f t="shared" si="7"/>
        <v>76738</v>
      </c>
      <c r="J457" s="205" t="s">
        <v>489</v>
      </c>
      <c r="K457" s="205" t="s">
        <v>23</v>
      </c>
      <c r="L457" s="201" t="s">
        <v>1058</v>
      </c>
      <c r="M457" s="205" t="s">
        <v>3248</v>
      </c>
      <c r="N457" s="201" t="s">
        <v>1030</v>
      </c>
      <c r="O457" s="205" t="s">
        <v>652</v>
      </c>
      <c r="P457" s="205" t="s">
        <v>652</v>
      </c>
      <c r="Q457" s="208" t="s">
        <v>987</v>
      </c>
      <c r="R457" s="208" t="s">
        <v>988</v>
      </c>
      <c r="S457" s="208" t="s">
        <v>3226</v>
      </c>
    </row>
    <row r="458" spans="1:24" s="205" customFormat="1" hidden="1" x14ac:dyDescent="0.2">
      <c r="A458" s="205" t="s">
        <v>290</v>
      </c>
      <c r="B458" s="205" t="s">
        <v>291</v>
      </c>
      <c r="C458" s="200" t="s">
        <v>3226</v>
      </c>
      <c r="D458" s="199" t="s">
        <v>152</v>
      </c>
      <c r="E458" s="199"/>
      <c r="F458" s="206">
        <v>3000</v>
      </c>
      <c r="G458" s="206">
        <v>300</v>
      </c>
      <c r="H458" s="206">
        <v>15</v>
      </c>
      <c r="I458" s="202">
        <f t="shared" si="7"/>
        <v>2715</v>
      </c>
      <c r="J458" s="205" t="s">
        <v>787</v>
      </c>
      <c r="K458" s="205" t="s">
        <v>23</v>
      </c>
      <c r="L458" s="199" t="s">
        <v>1042</v>
      </c>
      <c r="M458" s="205" t="s">
        <v>3249</v>
      </c>
      <c r="N458" s="201" t="s">
        <v>1030</v>
      </c>
      <c r="O458" s="205" t="s">
        <v>652</v>
      </c>
      <c r="P458" s="205" t="s">
        <v>652</v>
      </c>
      <c r="Q458" s="208" t="s">
        <v>724</v>
      </c>
      <c r="R458" s="208" t="s">
        <v>725</v>
      </c>
      <c r="S458" s="208" t="s">
        <v>3226</v>
      </c>
    </row>
    <row r="459" spans="1:24" s="205" customFormat="1" hidden="1" x14ac:dyDescent="0.2">
      <c r="A459" s="205" t="s">
        <v>84</v>
      </c>
      <c r="B459" s="205" t="s">
        <v>540</v>
      </c>
      <c r="C459" s="200" t="s">
        <v>3226</v>
      </c>
      <c r="D459" s="199" t="s">
        <v>152</v>
      </c>
      <c r="E459" s="199"/>
      <c r="F459" s="206">
        <v>71924</v>
      </c>
      <c r="G459" s="206">
        <v>7192</v>
      </c>
      <c r="H459" s="206">
        <v>360</v>
      </c>
      <c r="I459" s="202">
        <f t="shared" si="7"/>
        <v>65092</v>
      </c>
      <c r="J459" s="205" t="s">
        <v>66</v>
      </c>
      <c r="K459" s="205" t="s">
        <v>23</v>
      </c>
      <c r="L459" s="199" t="s">
        <v>1042</v>
      </c>
      <c r="M459" s="205" t="s">
        <v>3250</v>
      </c>
      <c r="N459" s="201" t="s">
        <v>1030</v>
      </c>
      <c r="O459" s="205" t="s">
        <v>652</v>
      </c>
      <c r="P459" s="205" t="s">
        <v>652</v>
      </c>
      <c r="Q459" s="214" t="s">
        <v>688</v>
      </c>
      <c r="R459" s="214" t="s">
        <v>689</v>
      </c>
      <c r="S459" s="214" t="s">
        <v>3226</v>
      </c>
    </row>
    <row r="460" spans="1:24" s="205" customFormat="1" hidden="1" x14ac:dyDescent="0.2">
      <c r="A460" s="209" t="s">
        <v>63</v>
      </c>
      <c r="B460" s="209" t="s">
        <v>555</v>
      </c>
      <c r="C460" s="234" t="s">
        <v>3226</v>
      </c>
      <c r="D460" s="201" t="s">
        <v>152</v>
      </c>
      <c r="E460" s="201"/>
      <c r="F460" s="211">
        <v>167028</v>
      </c>
      <c r="G460" s="211">
        <v>16703</v>
      </c>
      <c r="H460" s="211">
        <v>835</v>
      </c>
      <c r="I460" s="202">
        <f t="shared" si="7"/>
        <v>151160</v>
      </c>
      <c r="J460" s="209" t="s">
        <v>22</v>
      </c>
      <c r="K460" s="209" t="s">
        <v>23</v>
      </c>
      <c r="L460" s="201" t="s">
        <v>1042</v>
      </c>
      <c r="M460" s="209" t="s">
        <v>3251</v>
      </c>
      <c r="N460" s="201" t="s">
        <v>1030</v>
      </c>
      <c r="O460" s="209" t="s">
        <v>652</v>
      </c>
      <c r="P460" s="209" t="s">
        <v>652</v>
      </c>
      <c r="Q460" s="213" t="s">
        <v>858</v>
      </c>
      <c r="R460" s="213" t="s">
        <v>859</v>
      </c>
      <c r="S460" s="213" t="s">
        <v>3226</v>
      </c>
      <c r="T460" s="209"/>
      <c r="U460" s="209"/>
      <c r="V460" s="209"/>
      <c r="W460" s="209"/>
      <c r="X460" s="209"/>
    </row>
    <row r="461" spans="1:24" s="205" customFormat="1" hidden="1" x14ac:dyDescent="0.2">
      <c r="A461" s="205" t="s">
        <v>3252</v>
      </c>
      <c r="B461" s="205" t="s">
        <v>3253</v>
      </c>
      <c r="C461" s="200" t="s">
        <v>3254</v>
      </c>
      <c r="D461" s="201" t="s">
        <v>152</v>
      </c>
      <c r="E461" s="201"/>
      <c r="F461" s="206">
        <v>48705</v>
      </c>
      <c r="G461" s="206">
        <v>4871</v>
      </c>
      <c r="H461" s="206">
        <v>487</v>
      </c>
      <c r="I461" s="202">
        <f t="shared" si="7"/>
        <v>44321</v>
      </c>
      <c r="J461" s="205" t="s">
        <v>638</v>
      </c>
      <c r="K461" s="205" t="s">
        <v>29</v>
      </c>
      <c r="L461" s="201" t="s">
        <v>1028</v>
      </c>
      <c r="M461" s="205" t="s">
        <v>3255</v>
      </c>
      <c r="N461" s="201" t="s">
        <v>1030</v>
      </c>
      <c r="O461" s="205" t="s">
        <v>652</v>
      </c>
      <c r="P461" s="205" t="s">
        <v>652</v>
      </c>
      <c r="Q461" s="216" t="s">
        <v>1978</v>
      </c>
      <c r="R461" s="216" t="s">
        <v>1979</v>
      </c>
      <c r="S461" s="208" t="s">
        <v>3254</v>
      </c>
    </row>
    <row r="462" spans="1:24" s="205" customFormat="1" hidden="1" x14ac:dyDescent="0.2">
      <c r="A462" s="205" t="s">
        <v>192</v>
      </c>
      <c r="B462" s="205" t="s">
        <v>617</v>
      </c>
      <c r="C462" s="200" t="s">
        <v>3254</v>
      </c>
      <c r="D462" s="201" t="s">
        <v>152</v>
      </c>
      <c r="E462" s="201"/>
      <c r="F462" s="206">
        <v>10381</v>
      </c>
      <c r="G462" s="206">
        <v>1038</v>
      </c>
      <c r="H462" s="206">
        <v>104</v>
      </c>
      <c r="I462" s="202">
        <f t="shared" si="7"/>
        <v>9447</v>
      </c>
      <c r="J462" s="205" t="s">
        <v>32</v>
      </c>
      <c r="K462" s="205" t="s">
        <v>29</v>
      </c>
      <c r="L462" s="201" t="s">
        <v>1042</v>
      </c>
      <c r="M462" s="205" t="s">
        <v>3256</v>
      </c>
      <c r="N462" s="201" t="s">
        <v>1030</v>
      </c>
      <c r="O462" s="205" t="s">
        <v>652</v>
      </c>
      <c r="P462" s="205" t="s">
        <v>652</v>
      </c>
      <c r="Q462" s="208" t="s">
        <v>653</v>
      </c>
      <c r="R462" s="208" t="s">
        <v>654</v>
      </c>
      <c r="S462" s="208" t="s">
        <v>3254</v>
      </c>
    </row>
    <row r="463" spans="1:24" s="205" customFormat="1" hidden="1" x14ac:dyDescent="0.2">
      <c r="A463" s="205" t="s">
        <v>45</v>
      </c>
      <c r="B463" s="205" t="s">
        <v>527</v>
      </c>
      <c r="C463" s="200" t="s">
        <v>3254</v>
      </c>
      <c r="D463" s="201" t="s">
        <v>152</v>
      </c>
      <c r="E463" s="201"/>
      <c r="F463" s="206">
        <v>13227</v>
      </c>
      <c r="G463" s="206">
        <v>1323</v>
      </c>
      <c r="H463" s="206">
        <v>132</v>
      </c>
      <c r="I463" s="202">
        <f t="shared" si="7"/>
        <v>12036</v>
      </c>
      <c r="J463" s="205" t="s">
        <v>28</v>
      </c>
      <c r="K463" s="205" t="s">
        <v>29</v>
      </c>
      <c r="L463" s="201" t="s">
        <v>1042</v>
      </c>
      <c r="M463" s="205" t="s">
        <v>3257</v>
      </c>
      <c r="N463" s="201" t="s">
        <v>1030</v>
      </c>
      <c r="O463" s="205" t="s">
        <v>652</v>
      </c>
      <c r="P463" s="205" t="s">
        <v>652</v>
      </c>
      <c r="Q463" s="208" t="s">
        <v>718</v>
      </c>
      <c r="R463" s="208" t="s">
        <v>719</v>
      </c>
      <c r="S463" s="208" t="s">
        <v>3254</v>
      </c>
    </row>
    <row r="464" spans="1:24" s="205" customFormat="1" hidden="1" x14ac:dyDescent="0.2">
      <c r="A464" s="205" t="s">
        <v>3258</v>
      </c>
      <c r="B464" s="205" t="s">
        <v>3259</v>
      </c>
      <c r="C464" s="200" t="s">
        <v>3254</v>
      </c>
      <c r="D464" s="201" t="s">
        <v>152</v>
      </c>
      <c r="E464" s="201"/>
      <c r="F464" s="206">
        <v>24529</v>
      </c>
      <c r="G464" s="206">
        <v>2453</v>
      </c>
      <c r="H464" s="206">
        <v>245</v>
      </c>
      <c r="I464" s="202">
        <f t="shared" si="7"/>
        <v>22321</v>
      </c>
      <c r="J464" s="205" t="s">
        <v>638</v>
      </c>
      <c r="K464" s="205" t="s">
        <v>29</v>
      </c>
      <c r="L464" s="201" t="s">
        <v>1028</v>
      </c>
      <c r="M464" s="205" t="s">
        <v>3260</v>
      </c>
      <c r="N464" s="201" t="s">
        <v>1030</v>
      </c>
      <c r="O464" s="205" t="s">
        <v>652</v>
      </c>
      <c r="P464" s="205" t="s">
        <v>652</v>
      </c>
      <c r="Q464" s="208" t="s">
        <v>1978</v>
      </c>
      <c r="R464" s="208" t="s">
        <v>1979</v>
      </c>
      <c r="S464" s="208" t="s">
        <v>3254</v>
      </c>
    </row>
    <row r="465" spans="1:20" s="205" customFormat="1" hidden="1" x14ac:dyDescent="0.2">
      <c r="A465" s="205" t="s">
        <v>558</v>
      </c>
      <c r="B465" s="205" t="s">
        <v>559</v>
      </c>
      <c r="C465" s="200" t="s">
        <v>3254</v>
      </c>
      <c r="D465" s="199" t="s">
        <v>152</v>
      </c>
      <c r="E465" s="199"/>
      <c r="F465" s="206">
        <v>73130</v>
      </c>
      <c r="G465" s="206">
        <v>7313</v>
      </c>
      <c r="H465" s="206">
        <v>731</v>
      </c>
      <c r="I465" s="202">
        <f t="shared" si="7"/>
        <v>66548</v>
      </c>
      <c r="J465" s="205" t="s">
        <v>31</v>
      </c>
      <c r="K465" s="205" t="s">
        <v>29</v>
      </c>
      <c r="L465" s="199" t="s">
        <v>1042</v>
      </c>
      <c r="M465" s="205" t="s">
        <v>3261</v>
      </c>
      <c r="N465" s="201" t="s">
        <v>1030</v>
      </c>
      <c r="O465" s="205" t="s">
        <v>1046</v>
      </c>
      <c r="P465" s="205" t="s">
        <v>1047</v>
      </c>
      <c r="Q465" s="208" t="s">
        <v>653</v>
      </c>
      <c r="R465" s="208" t="s">
        <v>654</v>
      </c>
      <c r="S465" s="208" t="s">
        <v>3254</v>
      </c>
    </row>
    <row r="466" spans="1:20" s="205" customFormat="1" hidden="1" x14ac:dyDescent="0.2">
      <c r="A466" s="205" t="s">
        <v>3262</v>
      </c>
      <c r="B466" s="205" t="s">
        <v>3263</v>
      </c>
      <c r="C466" s="200" t="s">
        <v>3254</v>
      </c>
      <c r="D466" s="199" t="s">
        <v>152</v>
      </c>
      <c r="E466" s="199"/>
      <c r="F466" s="206">
        <v>52204</v>
      </c>
      <c r="G466" s="206">
        <v>5220</v>
      </c>
      <c r="H466" s="206">
        <v>522</v>
      </c>
      <c r="I466" s="202">
        <f t="shared" si="7"/>
        <v>47506</v>
      </c>
      <c r="J466" s="205" t="s">
        <v>329</v>
      </c>
      <c r="K466" s="205" t="s">
        <v>29</v>
      </c>
      <c r="L466" s="199" t="s">
        <v>1058</v>
      </c>
      <c r="M466" s="205" t="s">
        <v>3264</v>
      </c>
      <c r="N466" s="201" t="s">
        <v>1030</v>
      </c>
      <c r="O466" s="205" t="s">
        <v>652</v>
      </c>
      <c r="P466" s="205" t="s">
        <v>652</v>
      </c>
      <c r="Q466" s="208" t="s">
        <v>687</v>
      </c>
      <c r="R466" s="208" t="s">
        <v>3265</v>
      </c>
      <c r="S466" s="208" t="s">
        <v>3254</v>
      </c>
    </row>
    <row r="467" spans="1:20" s="205" customFormat="1" hidden="1" x14ac:dyDescent="0.2">
      <c r="A467" s="205" t="s">
        <v>3266</v>
      </c>
      <c r="B467" s="205" t="s">
        <v>3267</v>
      </c>
      <c r="C467" s="200" t="s">
        <v>3254</v>
      </c>
      <c r="D467" s="199" t="s">
        <v>152</v>
      </c>
      <c r="E467" s="199"/>
      <c r="F467" s="206">
        <v>122213</v>
      </c>
      <c r="G467" s="206">
        <v>12221</v>
      </c>
      <c r="H467" s="206">
        <v>1222</v>
      </c>
      <c r="I467" s="202">
        <f t="shared" si="7"/>
        <v>111214</v>
      </c>
      <c r="J467" s="205" t="s">
        <v>3268</v>
      </c>
      <c r="K467" s="205" t="s">
        <v>29</v>
      </c>
      <c r="L467" s="199" t="s">
        <v>1058</v>
      </c>
      <c r="M467" s="205" t="s">
        <v>3269</v>
      </c>
      <c r="N467" s="199" t="s">
        <v>1030</v>
      </c>
      <c r="O467" s="205" t="s">
        <v>652</v>
      </c>
      <c r="P467" s="205" t="s">
        <v>652</v>
      </c>
      <c r="Q467" s="208" t="s">
        <v>2062</v>
      </c>
      <c r="R467" s="208" t="s">
        <v>2877</v>
      </c>
      <c r="S467" s="208" t="s">
        <v>3254</v>
      </c>
    </row>
    <row r="468" spans="1:20" s="205" customFormat="1" hidden="1" x14ac:dyDescent="0.2">
      <c r="A468" s="205" t="s">
        <v>3270</v>
      </c>
      <c r="B468" s="205" t="s">
        <v>3271</v>
      </c>
      <c r="C468" s="200" t="s">
        <v>3254</v>
      </c>
      <c r="D468" s="199" t="s">
        <v>152</v>
      </c>
      <c r="E468" s="199"/>
      <c r="F468" s="206">
        <v>3444</v>
      </c>
      <c r="G468" s="206">
        <v>344</v>
      </c>
      <c r="H468" s="206">
        <v>34</v>
      </c>
      <c r="I468" s="202">
        <f t="shared" si="7"/>
        <v>3134</v>
      </c>
      <c r="J468" s="205" t="s">
        <v>3272</v>
      </c>
      <c r="K468" s="205" t="s">
        <v>29</v>
      </c>
      <c r="L468" s="199" t="s">
        <v>1058</v>
      </c>
      <c r="M468" s="205" t="s">
        <v>3273</v>
      </c>
      <c r="N468" s="201" t="s">
        <v>1072</v>
      </c>
      <c r="O468" s="205" t="s">
        <v>652</v>
      </c>
      <c r="P468" s="205" t="s">
        <v>652</v>
      </c>
      <c r="Q468" s="208" t="s">
        <v>2394</v>
      </c>
      <c r="R468" s="208" t="s">
        <v>2395</v>
      </c>
      <c r="S468" s="208" t="s">
        <v>3254</v>
      </c>
    </row>
    <row r="469" spans="1:20" s="205" customFormat="1" hidden="1" x14ac:dyDescent="0.2">
      <c r="A469" s="205" t="s">
        <v>3274</v>
      </c>
      <c r="B469" s="205" t="s">
        <v>3275</v>
      </c>
      <c r="C469" s="200" t="s">
        <v>3254</v>
      </c>
      <c r="D469" s="199" t="s">
        <v>152</v>
      </c>
      <c r="E469" s="199"/>
      <c r="F469" s="206">
        <v>3444</v>
      </c>
      <c r="G469" s="206">
        <v>344</v>
      </c>
      <c r="H469" s="206">
        <v>34</v>
      </c>
      <c r="I469" s="202">
        <f t="shared" si="7"/>
        <v>3134</v>
      </c>
      <c r="J469" s="205" t="s">
        <v>3272</v>
      </c>
      <c r="K469" s="205" t="s">
        <v>29</v>
      </c>
      <c r="L469" s="199" t="s">
        <v>1058</v>
      </c>
      <c r="M469" s="205" t="s">
        <v>3276</v>
      </c>
      <c r="N469" s="201" t="s">
        <v>1072</v>
      </c>
      <c r="O469" s="205" t="s">
        <v>652</v>
      </c>
      <c r="P469" s="205" t="s">
        <v>652</v>
      </c>
      <c r="Q469" s="208" t="s">
        <v>2394</v>
      </c>
      <c r="R469" s="208" t="s">
        <v>2395</v>
      </c>
      <c r="S469" s="208" t="s">
        <v>3254</v>
      </c>
    </row>
    <row r="470" spans="1:20" s="205" customFormat="1" hidden="1" x14ac:dyDescent="0.2">
      <c r="A470" s="209" t="s">
        <v>237</v>
      </c>
      <c r="B470" s="209" t="s">
        <v>3277</v>
      </c>
      <c r="C470" s="234" t="s">
        <v>3254</v>
      </c>
      <c r="D470" s="201" t="s">
        <v>152</v>
      </c>
      <c r="E470" s="201"/>
      <c r="F470" s="211">
        <v>3751419</v>
      </c>
      <c r="G470" s="211">
        <v>375142</v>
      </c>
      <c r="H470" s="211">
        <v>37514</v>
      </c>
      <c r="I470" s="202">
        <f t="shared" si="7"/>
        <v>3413791</v>
      </c>
      <c r="J470" s="209" t="s">
        <v>217</v>
      </c>
      <c r="K470" s="209" t="s">
        <v>29</v>
      </c>
      <c r="L470" s="201" t="s">
        <v>1028</v>
      </c>
      <c r="M470" s="209" t="s">
        <v>3278</v>
      </c>
      <c r="N470" s="201" t="s">
        <v>1030</v>
      </c>
      <c r="O470" s="209" t="s">
        <v>2770</v>
      </c>
      <c r="P470" s="209" t="s">
        <v>2771</v>
      </c>
      <c r="Q470" s="213" t="s">
        <v>3279</v>
      </c>
      <c r="R470" s="213" t="s">
        <v>3280</v>
      </c>
      <c r="S470" s="213" t="s">
        <v>3254</v>
      </c>
      <c r="T470" s="209"/>
    </row>
    <row r="471" spans="1:20" s="205" customFormat="1" hidden="1" x14ac:dyDescent="0.2">
      <c r="A471" s="209" t="s">
        <v>3281</v>
      </c>
      <c r="B471" s="209" t="s">
        <v>3282</v>
      </c>
      <c r="C471" s="234" t="s">
        <v>3254</v>
      </c>
      <c r="D471" s="201" t="s">
        <v>152</v>
      </c>
      <c r="E471" s="201"/>
      <c r="F471" s="211">
        <v>518446</v>
      </c>
      <c r="G471" s="211">
        <v>51845</v>
      </c>
      <c r="H471" s="211">
        <v>5185</v>
      </c>
      <c r="I471" s="202">
        <f t="shared" si="7"/>
        <v>471786</v>
      </c>
      <c r="J471" s="209" t="s">
        <v>3283</v>
      </c>
      <c r="K471" s="209" t="s">
        <v>29</v>
      </c>
      <c r="L471" s="201" t="s">
        <v>1058</v>
      </c>
      <c r="M471" s="209" t="s">
        <v>3284</v>
      </c>
      <c r="N471" s="201" t="s">
        <v>1030</v>
      </c>
      <c r="O471" s="209" t="s">
        <v>1274</v>
      </c>
      <c r="P471" s="209" t="s">
        <v>1111</v>
      </c>
      <c r="Q471" s="213" t="s">
        <v>3254</v>
      </c>
      <c r="R471" s="213" t="s">
        <v>3285</v>
      </c>
      <c r="S471" s="213" t="s">
        <v>3254</v>
      </c>
      <c r="T471" s="209"/>
    </row>
    <row r="472" spans="1:20" s="205" customFormat="1" hidden="1" x14ac:dyDescent="0.2">
      <c r="A472" s="205" t="s">
        <v>36</v>
      </c>
      <c r="B472" s="205" t="s">
        <v>3286</v>
      </c>
      <c r="C472" s="200" t="s">
        <v>3254</v>
      </c>
      <c r="D472" s="201" t="s">
        <v>152</v>
      </c>
      <c r="E472" s="201"/>
      <c r="F472" s="206">
        <v>67877</v>
      </c>
      <c r="G472" s="206">
        <v>6788</v>
      </c>
      <c r="H472" s="206">
        <v>339</v>
      </c>
      <c r="I472" s="202">
        <f t="shared" si="7"/>
        <v>61428</v>
      </c>
      <c r="J472" s="205" t="s">
        <v>37</v>
      </c>
      <c r="K472" s="205" t="s">
        <v>23</v>
      </c>
      <c r="L472" s="201" t="s">
        <v>1028</v>
      </c>
      <c r="M472" s="205" t="s">
        <v>3287</v>
      </c>
      <c r="N472" s="201" t="s">
        <v>1030</v>
      </c>
      <c r="O472" s="205" t="s">
        <v>652</v>
      </c>
      <c r="P472" s="205" t="s">
        <v>652</v>
      </c>
      <c r="Q472" s="208" t="s">
        <v>1416</v>
      </c>
      <c r="R472" s="208" t="s">
        <v>1417</v>
      </c>
      <c r="S472" s="208" t="s">
        <v>3254</v>
      </c>
    </row>
    <row r="473" spans="1:20" s="205" customFormat="1" hidden="1" x14ac:dyDescent="0.2">
      <c r="A473" s="205" t="s">
        <v>1281</v>
      </c>
      <c r="B473" s="205" t="s">
        <v>1282</v>
      </c>
      <c r="C473" s="200" t="s">
        <v>3254</v>
      </c>
      <c r="D473" s="201" t="s">
        <v>152</v>
      </c>
      <c r="E473" s="201"/>
      <c r="F473" s="206">
        <v>96877</v>
      </c>
      <c r="G473" s="206">
        <v>9688</v>
      </c>
      <c r="H473" s="206">
        <v>484</v>
      </c>
      <c r="I473" s="202">
        <f t="shared" si="7"/>
        <v>87673</v>
      </c>
      <c r="J473" s="205" t="s">
        <v>22</v>
      </c>
      <c r="K473" s="205" t="s">
        <v>23</v>
      </c>
      <c r="L473" s="201" t="s">
        <v>1042</v>
      </c>
      <c r="M473" s="205" t="s">
        <v>3288</v>
      </c>
      <c r="N473" s="201" t="s">
        <v>1284</v>
      </c>
      <c r="O473" s="205" t="s">
        <v>1285</v>
      </c>
      <c r="P473" s="205" t="s">
        <v>1286</v>
      </c>
      <c r="Q473" s="208" t="s">
        <v>786</v>
      </c>
      <c r="R473" s="208" t="s">
        <v>962</v>
      </c>
      <c r="S473" s="208" t="s">
        <v>3254</v>
      </c>
    </row>
    <row r="474" spans="1:20" s="205" customFormat="1" hidden="1" x14ac:dyDescent="0.2">
      <c r="A474" s="205" t="s">
        <v>537</v>
      </c>
      <c r="B474" s="205" t="s">
        <v>538</v>
      </c>
      <c r="C474" s="200" t="s">
        <v>3254</v>
      </c>
      <c r="D474" s="201" t="s">
        <v>152</v>
      </c>
      <c r="E474" s="201"/>
      <c r="F474" s="206">
        <v>11706</v>
      </c>
      <c r="G474" s="206">
        <v>1171</v>
      </c>
      <c r="H474" s="206">
        <v>59</v>
      </c>
      <c r="I474" s="202">
        <f t="shared" si="7"/>
        <v>10594</v>
      </c>
      <c r="J474" s="205" t="s">
        <v>344</v>
      </c>
      <c r="K474" s="205" t="s">
        <v>23</v>
      </c>
      <c r="L474" s="201" t="s">
        <v>1042</v>
      </c>
      <c r="M474" s="205" t="s">
        <v>3289</v>
      </c>
      <c r="N474" s="201" t="s">
        <v>1030</v>
      </c>
      <c r="O474" s="205" t="s">
        <v>1065</v>
      </c>
      <c r="P474" s="205" t="s">
        <v>1066</v>
      </c>
      <c r="Q474" s="208" t="s">
        <v>688</v>
      </c>
      <c r="R474" s="208" t="s">
        <v>689</v>
      </c>
      <c r="S474" s="208" t="s">
        <v>3254</v>
      </c>
    </row>
    <row r="475" spans="1:20" s="205" customFormat="1" hidden="1" x14ac:dyDescent="0.2">
      <c r="A475" s="205" t="s">
        <v>436</v>
      </c>
      <c r="B475" s="205" t="s">
        <v>477</v>
      </c>
      <c r="C475" s="200" t="s">
        <v>3254</v>
      </c>
      <c r="D475" s="201" t="s">
        <v>152</v>
      </c>
      <c r="E475" s="201"/>
      <c r="F475" s="206">
        <v>63437</v>
      </c>
      <c r="G475" s="206">
        <v>6344</v>
      </c>
      <c r="H475" s="206">
        <v>317</v>
      </c>
      <c r="I475" s="202">
        <f t="shared" si="7"/>
        <v>57410</v>
      </c>
      <c r="J475" s="205" t="s">
        <v>52</v>
      </c>
      <c r="K475" s="205" t="s">
        <v>23</v>
      </c>
      <c r="L475" s="201" t="s">
        <v>1042</v>
      </c>
      <c r="M475" s="205" t="s">
        <v>3290</v>
      </c>
      <c r="N475" s="201" t="s">
        <v>1030</v>
      </c>
      <c r="O475" s="205" t="s">
        <v>652</v>
      </c>
      <c r="P475" s="205" t="s">
        <v>652</v>
      </c>
      <c r="Q475" s="208" t="s">
        <v>849</v>
      </c>
      <c r="R475" s="208" t="s">
        <v>850</v>
      </c>
      <c r="S475" s="208" t="s">
        <v>3254</v>
      </c>
    </row>
    <row r="476" spans="1:20" s="205" customFormat="1" hidden="1" x14ac:dyDescent="0.2">
      <c r="A476" s="205" t="s">
        <v>3241</v>
      </c>
      <c r="B476" s="205" t="s">
        <v>3242</v>
      </c>
      <c r="C476" s="200" t="s">
        <v>3254</v>
      </c>
      <c r="D476" s="201" t="s">
        <v>166</v>
      </c>
      <c r="E476" s="201"/>
      <c r="F476" s="206">
        <v>-72125</v>
      </c>
      <c r="G476" s="206">
        <v>-7213</v>
      </c>
      <c r="H476" s="206">
        <v>-361</v>
      </c>
      <c r="I476" s="202">
        <f t="shared" si="7"/>
        <v>-65273</v>
      </c>
      <c r="J476" s="205" t="s">
        <v>52</v>
      </c>
      <c r="K476" s="205" t="s">
        <v>23</v>
      </c>
      <c r="L476" s="201" t="s">
        <v>1068</v>
      </c>
      <c r="M476" s="205" t="s">
        <v>3291</v>
      </c>
      <c r="N476" s="201" t="s">
        <v>1030</v>
      </c>
      <c r="O476" s="205" t="s">
        <v>1190</v>
      </c>
      <c r="P476" s="205" t="s">
        <v>1191</v>
      </c>
      <c r="Q476" s="208" t="s">
        <v>846</v>
      </c>
      <c r="R476" s="208" t="s">
        <v>2922</v>
      </c>
      <c r="S476" s="208" t="s">
        <v>3254</v>
      </c>
    </row>
    <row r="477" spans="1:20" s="205" customFormat="1" hidden="1" x14ac:dyDescent="0.2">
      <c r="A477" s="205" t="s">
        <v>245</v>
      </c>
      <c r="B477" s="205" t="s">
        <v>3292</v>
      </c>
      <c r="C477" s="200" t="s">
        <v>3254</v>
      </c>
      <c r="D477" s="201" t="s">
        <v>152</v>
      </c>
      <c r="E477" s="201"/>
      <c r="F477" s="206">
        <v>22716</v>
      </c>
      <c r="G477" s="206">
        <v>2272</v>
      </c>
      <c r="H477" s="206">
        <v>114</v>
      </c>
      <c r="I477" s="202">
        <f t="shared" si="7"/>
        <v>20558</v>
      </c>
      <c r="J477" s="205" t="s">
        <v>489</v>
      </c>
      <c r="K477" s="205" t="s">
        <v>23</v>
      </c>
      <c r="L477" s="201" t="s">
        <v>1042</v>
      </c>
      <c r="M477" s="205" t="s">
        <v>3293</v>
      </c>
      <c r="N477" s="201" t="s">
        <v>1030</v>
      </c>
      <c r="O477" s="205" t="s">
        <v>652</v>
      </c>
      <c r="P477" s="205" t="s">
        <v>652</v>
      </c>
      <c r="Q477" s="208" t="s">
        <v>987</v>
      </c>
      <c r="R477" s="208" t="s">
        <v>988</v>
      </c>
      <c r="S477" s="208" t="s">
        <v>3254</v>
      </c>
    </row>
    <row r="478" spans="1:20" s="205" customFormat="1" hidden="1" x14ac:dyDescent="0.2">
      <c r="A478" s="205" t="s">
        <v>3294</v>
      </c>
      <c r="B478" s="205" t="s">
        <v>3295</v>
      </c>
      <c r="C478" s="200" t="s">
        <v>3254</v>
      </c>
      <c r="D478" s="199" t="s">
        <v>152</v>
      </c>
      <c r="E478" s="199"/>
      <c r="F478" s="206">
        <v>111001</v>
      </c>
      <c r="G478" s="206">
        <v>11100</v>
      </c>
      <c r="H478" s="206">
        <v>555</v>
      </c>
      <c r="I478" s="202">
        <f t="shared" si="7"/>
        <v>100456</v>
      </c>
      <c r="J478" s="205" t="s">
        <v>54</v>
      </c>
      <c r="K478" s="205" t="s">
        <v>23</v>
      </c>
      <c r="L478" s="199" t="s">
        <v>1058</v>
      </c>
      <c r="M478" s="205" t="s">
        <v>3296</v>
      </c>
      <c r="N478" s="201" t="s">
        <v>1030</v>
      </c>
      <c r="O478" s="205" t="s">
        <v>652</v>
      </c>
      <c r="P478" s="205" t="s">
        <v>652</v>
      </c>
      <c r="Q478" s="208" t="s">
        <v>1416</v>
      </c>
      <c r="R478" s="208" t="s">
        <v>1417</v>
      </c>
      <c r="S478" s="208" t="s">
        <v>3254</v>
      </c>
    </row>
    <row r="479" spans="1:20" s="205" customFormat="1" hidden="1" x14ac:dyDescent="0.2">
      <c r="A479" s="205" t="s">
        <v>3297</v>
      </c>
      <c r="B479" s="205" t="s">
        <v>3298</v>
      </c>
      <c r="C479" s="200" t="s">
        <v>3254</v>
      </c>
      <c r="D479" s="199" t="s">
        <v>152</v>
      </c>
      <c r="E479" s="199"/>
      <c r="F479" s="206">
        <v>110847</v>
      </c>
      <c r="G479" s="206">
        <v>11085</v>
      </c>
      <c r="H479" s="206">
        <v>554</v>
      </c>
      <c r="I479" s="202">
        <f t="shared" si="7"/>
        <v>100316</v>
      </c>
      <c r="J479" s="205" t="s">
        <v>54</v>
      </c>
      <c r="K479" s="205" t="s">
        <v>23</v>
      </c>
      <c r="L479" s="199" t="s">
        <v>1058</v>
      </c>
      <c r="M479" s="205" t="s">
        <v>3299</v>
      </c>
      <c r="N479" s="201" t="s">
        <v>1030</v>
      </c>
      <c r="O479" s="205" t="s">
        <v>652</v>
      </c>
      <c r="P479" s="205" t="s">
        <v>652</v>
      </c>
      <c r="Q479" s="208" t="s">
        <v>1416</v>
      </c>
      <c r="R479" s="208" t="s">
        <v>1417</v>
      </c>
      <c r="S479" s="208" t="s">
        <v>3254</v>
      </c>
    </row>
    <row r="480" spans="1:20" s="205" customFormat="1" hidden="1" x14ac:dyDescent="0.2">
      <c r="A480" s="205" t="s">
        <v>118</v>
      </c>
      <c r="B480" s="205" t="s">
        <v>3300</v>
      </c>
      <c r="C480" s="200" t="s">
        <v>3254</v>
      </c>
      <c r="D480" s="199" t="s">
        <v>152</v>
      </c>
      <c r="E480" s="199"/>
      <c r="F480" s="206">
        <v>1521569</v>
      </c>
      <c r="G480" s="206">
        <v>152156</v>
      </c>
      <c r="H480" s="206">
        <v>7608</v>
      </c>
      <c r="I480" s="202">
        <f t="shared" si="7"/>
        <v>1377021</v>
      </c>
      <c r="J480" s="205" t="s">
        <v>22</v>
      </c>
      <c r="K480" s="205" t="s">
        <v>23</v>
      </c>
      <c r="L480" s="199" t="s">
        <v>1028</v>
      </c>
      <c r="M480" s="205" t="s">
        <v>3301</v>
      </c>
      <c r="N480" s="201" t="s">
        <v>1030</v>
      </c>
      <c r="O480" s="205" t="s">
        <v>652</v>
      </c>
      <c r="P480" s="205" t="s">
        <v>652</v>
      </c>
      <c r="Q480" s="208" t="s">
        <v>755</v>
      </c>
      <c r="R480" s="208" t="s">
        <v>2803</v>
      </c>
      <c r="S480" s="208" t="s">
        <v>3254</v>
      </c>
    </row>
    <row r="481" spans="1:24" s="205" customFormat="1" hidden="1" x14ac:dyDescent="0.2">
      <c r="A481" s="205" t="s">
        <v>130</v>
      </c>
      <c r="B481" s="205" t="s">
        <v>623</v>
      </c>
      <c r="C481" s="200" t="s">
        <v>3254</v>
      </c>
      <c r="D481" s="199" t="s">
        <v>152</v>
      </c>
      <c r="E481" s="199"/>
      <c r="F481" s="206">
        <v>49890</v>
      </c>
      <c r="G481" s="206">
        <v>4989</v>
      </c>
      <c r="H481" s="206">
        <v>249</v>
      </c>
      <c r="I481" s="202">
        <f t="shared" si="7"/>
        <v>45150</v>
      </c>
      <c r="J481" s="205" t="s">
        <v>44</v>
      </c>
      <c r="K481" s="205" t="s">
        <v>23</v>
      </c>
      <c r="L481" s="199" t="s">
        <v>1042</v>
      </c>
      <c r="M481" s="205" t="s">
        <v>3302</v>
      </c>
      <c r="N481" s="201" t="s">
        <v>1030</v>
      </c>
      <c r="O481" s="205" t="s">
        <v>652</v>
      </c>
      <c r="P481" s="205" t="s">
        <v>652</v>
      </c>
      <c r="Q481" s="208" t="s">
        <v>653</v>
      </c>
      <c r="R481" s="208" t="s">
        <v>654</v>
      </c>
      <c r="S481" s="208" t="s">
        <v>3254</v>
      </c>
    </row>
    <row r="482" spans="1:24" s="205" customFormat="1" hidden="1" x14ac:dyDescent="0.2">
      <c r="A482" s="205" t="s">
        <v>84</v>
      </c>
      <c r="B482" s="205" t="s">
        <v>540</v>
      </c>
      <c r="C482" s="200" t="s">
        <v>3254</v>
      </c>
      <c r="D482" s="199" t="s">
        <v>152</v>
      </c>
      <c r="E482" s="199"/>
      <c r="F482" s="206">
        <v>10406</v>
      </c>
      <c r="G482" s="206">
        <v>1041</v>
      </c>
      <c r="H482" s="206">
        <v>52</v>
      </c>
      <c r="I482" s="202">
        <f t="shared" si="7"/>
        <v>9417</v>
      </c>
      <c r="J482" s="205" t="s">
        <v>66</v>
      </c>
      <c r="K482" s="205" t="s">
        <v>23</v>
      </c>
      <c r="L482" s="199" t="s">
        <v>1042</v>
      </c>
      <c r="M482" s="205" t="s">
        <v>3303</v>
      </c>
      <c r="N482" s="201" t="s">
        <v>1030</v>
      </c>
      <c r="O482" s="205" t="s">
        <v>652</v>
      </c>
      <c r="P482" s="205" t="s">
        <v>652</v>
      </c>
      <c r="Q482" s="214" t="s">
        <v>688</v>
      </c>
      <c r="R482" s="214" t="s">
        <v>689</v>
      </c>
      <c r="S482" s="214" t="s">
        <v>3254</v>
      </c>
    </row>
    <row r="483" spans="1:24" s="205" customFormat="1" hidden="1" x14ac:dyDescent="0.2">
      <c r="A483" s="209" t="s">
        <v>205</v>
      </c>
      <c r="B483" s="209" t="s">
        <v>851</v>
      </c>
      <c r="C483" s="234" t="s">
        <v>3254</v>
      </c>
      <c r="D483" s="201" t="s">
        <v>152</v>
      </c>
      <c r="E483" s="201"/>
      <c r="F483" s="211">
        <v>88896</v>
      </c>
      <c r="G483" s="211">
        <v>8890</v>
      </c>
      <c r="H483" s="211">
        <v>444</v>
      </c>
      <c r="I483" s="202">
        <f t="shared" si="7"/>
        <v>80450</v>
      </c>
      <c r="J483" s="209" t="s">
        <v>22</v>
      </c>
      <c r="K483" s="209" t="s">
        <v>23</v>
      </c>
      <c r="L483" s="201" t="s">
        <v>1042</v>
      </c>
      <c r="M483" s="209" t="s">
        <v>3304</v>
      </c>
      <c r="N483" s="201" t="s">
        <v>1030</v>
      </c>
      <c r="O483" s="209" t="s">
        <v>652</v>
      </c>
      <c r="P483" s="209" t="s">
        <v>652</v>
      </c>
      <c r="Q483" s="213" t="s">
        <v>651</v>
      </c>
      <c r="R483" s="213" t="s">
        <v>673</v>
      </c>
      <c r="S483" s="213" t="s">
        <v>3254</v>
      </c>
      <c r="T483" s="209"/>
    </row>
    <row r="484" spans="1:24" s="205" customFormat="1" hidden="1" x14ac:dyDescent="0.2">
      <c r="A484" s="209" t="s">
        <v>1003</v>
      </c>
      <c r="B484" s="209" t="s">
        <v>3305</v>
      </c>
      <c r="C484" s="234" t="s">
        <v>3254</v>
      </c>
      <c r="D484" s="201" t="s">
        <v>152</v>
      </c>
      <c r="E484" s="201"/>
      <c r="F484" s="211">
        <v>455408</v>
      </c>
      <c r="G484" s="211">
        <v>45541</v>
      </c>
      <c r="H484" s="211">
        <v>2277</v>
      </c>
      <c r="I484" s="202">
        <f t="shared" si="7"/>
        <v>412144</v>
      </c>
      <c r="J484" s="209" t="s">
        <v>74</v>
      </c>
      <c r="K484" s="209" t="s">
        <v>23</v>
      </c>
      <c r="L484" s="201" t="s">
        <v>1028</v>
      </c>
      <c r="M484" s="209" t="s">
        <v>3306</v>
      </c>
      <c r="N484" s="201" t="s">
        <v>1030</v>
      </c>
      <c r="O484" s="209" t="s">
        <v>652</v>
      </c>
      <c r="P484" s="209" t="s">
        <v>652</v>
      </c>
      <c r="Q484" s="213" t="s">
        <v>2191</v>
      </c>
      <c r="R484" s="213" t="s">
        <v>2192</v>
      </c>
      <c r="S484" s="213" t="s">
        <v>3254</v>
      </c>
      <c r="T484" s="209"/>
    </row>
    <row r="485" spans="1:24" s="205" customFormat="1" hidden="1" x14ac:dyDescent="0.2">
      <c r="A485" s="209" t="s">
        <v>122</v>
      </c>
      <c r="B485" s="209" t="s">
        <v>966</v>
      </c>
      <c r="C485" s="234" t="s">
        <v>3254</v>
      </c>
      <c r="D485" s="201" t="s">
        <v>152</v>
      </c>
      <c r="E485" s="201"/>
      <c r="F485" s="211">
        <v>80278</v>
      </c>
      <c r="G485" s="211">
        <v>8028</v>
      </c>
      <c r="H485" s="211">
        <v>401</v>
      </c>
      <c r="I485" s="202">
        <f t="shared" si="7"/>
        <v>72651</v>
      </c>
      <c r="J485" s="209" t="s">
        <v>22</v>
      </c>
      <c r="K485" s="209" t="s">
        <v>23</v>
      </c>
      <c r="L485" s="201" t="s">
        <v>1042</v>
      </c>
      <c r="M485" s="209" t="s">
        <v>3307</v>
      </c>
      <c r="N485" s="201" t="s">
        <v>1030</v>
      </c>
      <c r="O485" s="209" t="s">
        <v>652</v>
      </c>
      <c r="P485" s="209" t="s">
        <v>652</v>
      </c>
      <c r="Q485" s="213" t="s">
        <v>786</v>
      </c>
      <c r="R485" s="213" t="s">
        <v>962</v>
      </c>
      <c r="S485" s="213" t="s">
        <v>3254</v>
      </c>
      <c r="T485" s="209"/>
    </row>
    <row r="486" spans="1:24" s="205" customFormat="1" hidden="1" x14ac:dyDescent="0.2">
      <c r="A486" s="209" t="s">
        <v>206</v>
      </c>
      <c r="B486" s="209" t="s">
        <v>855</v>
      </c>
      <c r="C486" s="234" t="s">
        <v>3254</v>
      </c>
      <c r="D486" s="201" t="s">
        <v>152</v>
      </c>
      <c r="E486" s="201"/>
      <c r="F486" s="211">
        <v>48693</v>
      </c>
      <c r="G486" s="211">
        <v>4869</v>
      </c>
      <c r="H486" s="211">
        <v>243</v>
      </c>
      <c r="I486" s="202">
        <f t="shared" si="7"/>
        <v>44067</v>
      </c>
      <c r="J486" s="209" t="s">
        <v>22</v>
      </c>
      <c r="K486" s="209" t="s">
        <v>23</v>
      </c>
      <c r="L486" s="201" t="s">
        <v>1042</v>
      </c>
      <c r="M486" s="209" t="s">
        <v>3308</v>
      </c>
      <c r="N486" s="201" t="s">
        <v>1030</v>
      </c>
      <c r="O486" s="209" t="s">
        <v>652</v>
      </c>
      <c r="P486" s="209" t="s">
        <v>652</v>
      </c>
      <c r="Q486" s="213" t="s">
        <v>651</v>
      </c>
      <c r="R486" s="213" t="s">
        <v>673</v>
      </c>
      <c r="S486" s="213" t="s">
        <v>3254</v>
      </c>
      <c r="T486" s="209"/>
    </row>
    <row r="487" spans="1:24" s="205" customFormat="1" hidden="1" x14ac:dyDescent="0.2">
      <c r="A487" s="209" t="s">
        <v>345</v>
      </c>
      <c r="B487" s="209" t="s">
        <v>346</v>
      </c>
      <c r="C487" s="234" t="s">
        <v>3254</v>
      </c>
      <c r="D487" s="201" t="s">
        <v>152</v>
      </c>
      <c r="E487" s="201"/>
      <c r="F487" s="211">
        <v>43417</v>
      </c>
      <c r="G487" s="211">
        <v>4342</v>
      </c>
      <c r="H487" s="211">
        <v>217</v>
      </c>
      <c r="I487" s="202">
        <f t="shared" si="7"/>
        <v>39292</v>
      </c>
      <c r="J487" s="209" t="s">
        <v>22</v>
      </c>
      <c r="K487" s="209" t="s">
        <v>23</v>
      </c>
      <c r="L487" s="201" t="s">
        <v>1042</v>
      </c>
      <c r="M487" s="209" t="s">
        <v>3309</v>
      </c>
      <c r="N487" s="201" t="s">
        <v>1030</v>
      </c>
      <c r="O487" s="209" t="s">
        <v>652</v>
      </c>
      <c r="P487" s="209" t="s">
        <v>652</v>
      </c>
      <c r="Q487" s="213" t="s">
        <v>696</v>
      </c>
      <c r="R487" s="213" t="s">
        <v>697</v>
      </c>
      <c r="S487" s="213" t="s">
        <v>3254</v>
      </c>
      <c r="T487" s="209"/>
    </row>
    <row r="488" spans="1:24" s="205" customFormat="1" hidden="1" x14ac:dyDescent="0.2">
      <c r="A488" s="209" t="s">
        <v>345</v>
      </c>
      <c r="B488" s="209" t="s">
        <v>347</v>
      </c>
      <c r="C488" s="234" t="s">
        <v>3254</v>
      </c>
      <c r="D488" s="201" t="s">
        <v>152</v>
      </c>
      <c r="E488" s="201"/>
      <c r="F488" s="211">
        <v>7773</v>
      </c>
      <c r="G488" s="211">
        <v>777</v>
      </c>
      <c r="H488" s="211">
        <v>39</v>
      </c>
      <c r="I488" s="202">
        <f t="shared" si="7"/>
        <v>7035</v>
      </c>
      <c r="J488" s="209" t="s">
        <v>22</v>
      </c>
      <c r="K488" s="209" t="s">
        <v>23</v>
      </c>
      <c r="L488" s="201" t="s">
        <v>1042</v>
      </c>
      <c r="M488" s="209" t="s">
        <v>3310</v>
      </c>
      <c r="N488" s="201" t="s">
        <v>1030</v>
      </c>
      <c r="O488" s="209" t="s">
        <v>652</v>
      </c>
      <c r="P488" s="209" t="s">
        <v>652</v>
      </c>
      <c r="Q488" s="213" t="s">
        <v>696</v>
      </c>
      <c r="R488" s="213" t="s">
        <v>697</v>
      </c>
      <c r="S488" s="213" t="s">
        <v>3254</v>
      </c>
      <c r="T488" s="209"/>
    </row>
    <row r="489" spans="1:24" s="205" customFormat="1" hidden="1" x14ac:dyDescent="0.2">
      <c r="A489" s="205" t="s">
        <v>325</v>
      </c>
      <c r="B489" s="205" t="s">
        <v>326</v>
      </c>
      <c r="C489" s="200" t="s">
        <v>3254</v>
      </c>
      <c r="D489" s="201" t="s">
        <v>152</v>
      </c>
      <c r="E489" s="201"/>
      <c r="F489" s="206">
        <v>28161</v>
      </c>
      <c r="G489" s="206">
        <v>0</v>
      </c>
      <c r="H489" s="206">
        <v>0</v>
      </c>
      <c r="I489" s="202">
        <f t="shared" si="7"/>
        <v>28161</v>
      </c>
      <c r="J489" s="205" t="s">
        <v>25</v>
      </c>
      <c r="K489" s="205" t="s">
        <v>214</v>
      </c>
      <c r="L489" s="201" t="s">
        <v>1042</v>
      </c>
      <c r="M489" s="205" t="s">
        <v>3311</v>
      </c>
      <c r="N489" s="201" t="s">
        <v>1393</v>
      </c>
      <c r="O489" s="205" t="s">
        <v>1190</v>
      </c>
      <c r="P489" s="205" t="s">
        <v>1191</v>
      </c>
      <c r="Q489" s="208" t="s">
        <v>669</v>
      </c>
      <c r="R489" s="208" t="s">
        <v>670</v>
      </c>
      <c r="S489" s="208" t="s">
        <v>3254</v>
      </c>
      <c r="U489" s="209"/>
      <c r="V489" s="209"/>
      <c r="W489" s="209"/>
      <c r="X489" s="209"/>
    </row>
    <row r="490" spans="1:24" s="205" customFormat="1" hidden="1" x14ac:dyDescent="0.2">
      <c r="A490" s="205" t="s">
        <v>1298</v>
      </c>
      <c r="B490" s="205" t="s">
        <v>1299</v>
      </c>
      <c r="C490" s="200" t="s">
        <v>3254</v>
      </c>
      <c r="D490" s="199" t="s">
        <v>152</v>
      </c>
      <c r="E490" s="199"/>
      <c r="F490" s="206">
        <v>23399</v>
      </c>
      <c r="G490" s="206">
        <v>0</v>
      </c>
      <c r="H490" s="206">
        <v>0</v>
      </c>
      <c r="I490" s="202">
        <f t="shared" si="7"/>
        <v>23399</v>
      </c>
      <c r="J490" s="205" t="s">
        <v>25</v>
      </c>
      <c r="K490" s="205" t="s">
        <v>214</v>
      </c>
      <c r="L490" s="199" t="s">
        <v>1042</v>
      </c>
      <c r="M490" s="205" t="s">
        <v>3312</v>
      </c>
      <c r="N490" s="201" t="s">
        <v>1301</v>
      </c>
      <c r="O490" s="205" t="s">
        <v>1302</v>
      </c>
      <c r="P490" s="205" t="s">
        <v>1066</v>
      </c>
      <c r="Q490" s="208" t="s">
        <v>866</v>
      </c>
      <c r="R490" s="208" t="s">
        <v>986</v>
      </c>
      <c r="S490" s="208" t="s">
        <v>3254</v>
      </c>
      <c r="U490" s="209"/>
      <c r="V490" s="209"/>
      <c r="W490" s="209"/>
      <c r="X490" s="209"/>
    </row>
    <row r="491" spans="1:24" s="205" customFormat="1" hidden="1" x14ac:dyDescent="0.2">
      <c r="A491" s="205" t="s">
        <v>3313</v>
      </c>
      <c r="B491" s="205" t="s">
        <v>3314</v>
      </c>
      <c r="C491" s="200" t="s">
        <v>3254</v>
      </c>
      <c r="D491" s="199" t="s">
        <v>152</v>
      </c>
      <c r="E491" s="199"/>
      <c r="F491" s="206">
        <v>38660</v>
      </c>
      <c r="G491" s="206">
        <v>0</v>
      </c>
      <c r="H491" s="206">
        <v>0</v>
      </c>
      <c r="I491" s="202">
        <f t="shared" si="7"/>
        <v>38660</v>
      </c>
      <c r="J491" s="205" t="s">
        <v>25</v>
      </c>
      <c r="K491" s="205" t="s">
        <v>214</v>
      </c>
      <c r="L491" s="199" t="s">
        <v>1058</v>
      </c>
      <c r="M491" s="205" t="s">
        <v>3315</v>
      </c>
      <c r="N491" s="201" t="s">
        <v>1030</v>
      </c>
      <c r="O491" s="205" t="s">
        <v>652</v>
      </c>
      <c r="P491" s="205" t="s">
        <v>652</v>
      </c>
      <c r="Q491" s="208" t="s">
        <v>824</v>
      </c>
      <c r="R491" s="208" t="s">
        <v>2913</v>
      </c>
      <c r="S491" s="208" t="s">
        <v>3254</v>
      </c>
      <c r="U491" s="209"/>
      <c r="V491" s="209"/>
      <c r="W491" s="209"/>
      <c r="X491" s="209"/>
    </row>
    <row r="492" spans="1:24" s="205" customFormat="1" hidden="1" x14ac:dyDescent="0.2">
      <c r="A492" s="205" t="s">
        <v>3316</v>
      </c>
      <c r="B492" s="205" t="s">
        <v>3317</v>
      </c>
      <c r="C492" s="200" t="s">
        <v>3254</v>
      </c>
      <c r="D492" s="199" t="s">
        <v>152</v>
      </c>
      <c r="E492" s="199"/>
      <c r="F492" s="206">
        <v>38660</v>
      </c>
      <c r="G492" s="206">
        <v>0</v>
      </c>
      <c r="H492" s="206">
        <v>0</v>
      </c>
      <c r="I492" s="202">
        <f t="shared" si="7"/>
        <v>38660</v>
      </c>
      <c r="J492" s="205" t="s">
        <v>25</v>
      </c>
      <c r="K492" s="205" t="s">
        <v>214</v>
      </c>
      <c r="L492" s="199" t="s">
        <v>1058</v>
      </c>
      <c r="M492" s="205" t="s">
        <v>3318</v>
      </c>
      <c r="N492" s="201" t="s">
        <v>1030</v>
      </c>
      <c r="O492" s="205" t="s">
        <v>652</v>
      </c>
      <c r="P492" s="205" t="s">
        <v>652</v>
      </c>
      <c r="Q492" s="208" t="s">
        <v>824</v>
      </c>
      <c r="R492" s="208" t="s">
        <v>2913</v>
      </c>
      <c r="S492" s="208" t="s">
        <v>3254</v>
      </c>
      <c r="U492" s="209"/>
      <c r="V492" s="209"/>
      <c r="W492" s="209"/>
      <c r="X492" s="209"/>
    </row>
    <row r="493" spans="1:24" s="205" customFormat="1" hidden="1" x14ac:dyDescent="0.2">
      <c r="A493" s="209" t="s">
        <v>155</v>
      </c>
      <c r="B493" s="209" t="s">
        <v>547</v>
      </c>
      <c r="C493" s="234" t="s">
        <v>3254</v>
      </c>
      <c r="D493" s="201" t="s">
        <v>152</v>
      </c>
      <c r="E493" s="201"/>
      <c r="F493" s="211">
        <v>8812</v>
      </c>
      <c r="G493" s="206">
        <v>0</v>
      </c>
      <c r="H493" s="206">
        <v>0</v>
      </c>
      <c r="I493" s="202">
        <f t="shared" si="7"/>
        <v>8812</v>
      </c>
      <c r="J493" s="209" t="s">
        <v>25</v>
      </c>
      <c r="K493" s="209" t="s">
        <v>214</v>
      </c>
      <c r="L493" s="201" t="s">
        <v>1042</v>
      </c>
      <c r="M493" s="209" t="s">
        <v>3319</v>
      </c>
      <c r="N493" s="201" t="s">
        <v>1030</v>
      </c>
      <c r="O493" s="209" t="s">
        <v>652</v>
      </c>
      <c r="P493" s="209" t="s">
        <v>652</v>
      </c>
      <c r="Q493" s="213" t="s">
        <v>801</v>
      </c>
      <c r="R493" s="213" t="s">
        <v>802</v>
      </c>
      <c r="S493" s="213" t="s">
        <v>3254</v>
      </c>
      <c r="T493" s="209"/>
      <c r="U493" s="209"/>
      <c r="V493" s="209"/>
      <c r="W493" s="209"/>
      <c r="X493" s="209"/>
    </row>
    <row r="494" spans="1:24" s="205" customFormat="1" hidden="1" x14ac:dyDescent="0.2">
      <c r="A494" s="209" t="s">
        <v>155</v>
      </c>
      <c r="B494" s="209" t="s">
        <v>547</v>
      </c>
      <c r="C494" s="234" t="s">
        <v>3254</v>
      </c>
      <c r="D494" s="201" t="s">
        <v>152</v>
      </c>
      <c r="E494" s="201"/>
      <c r="F494" s="211">
        <v>31078</v>
      </c>
      <c r="G494" s="206">
        <v>0</v>
      </c>
      <c r="H494" s="206">
        <v>0</v>
      </c>
      <c r="I494" s="202">
        <f t="shared" si="7"/>
        <v>31078</v>
      </c>
      <c r="J494" s="209" t="s">
        <v>25</v>
      </c>
      <c r="K494" s="209" t="s">
        <v>214</v>
      </c>
      <c r="L494" s="201" t="s">
        <v>1151</v>
      </c>
      <c r="M494" s="209" t="s">
        <v>3320</v>
      </c>
      <c r="N494" s="201" t="s">
        <v>1030</v>
      </c>
      <c r="O494" s="209" t="s">
        <v>652</v>
      </c>
      <c r="P494" s="209" t="s">
        <v>652</v>
      </c>
      <c r="Q494" s="213" t="s">
        <v>801</v>
      </c>
      <c r="R494" s="213" t="s">
        <v>802</v>
      </c>
      <c r="S494" s="213" t="s">
        <v>3254</v>
      </c>
      <c r="T494" s="209"/>
      <c r="U494" s="209"/>
      <c r="V494" s="209"/>
      <c r="W494" s="209"/>
      <c r="X494" s="209"/>
    </row>
    <row r="495" spans="1:24" s="205" customFormat="1" hidden="1" x14ac:dyDescent="0.2">
      <c r="A495" s="209" t="s">
        <v>164</v>
      </c>
      <c r="B495" s="209" t="s">
        <v>301</v>
      </c>
      <c r="C495" s="234" t="s">
        <v>3254</v>
      </c>
      <c r="D495" s="201" t="s">
        <v>152</v>
      </c>
      <c r="E495" s="201"/>
      <c r="F495" s="211">
        <v>207482</v>
      </c>
      <c r="G495" s="206">
        <v>0</v>
      </c>
      <c r="H495" s="206">
        <v>0</v>
      </c>
      <c r="I495" s="202">
        <f t="shared" si="7"/>
        <v>207482</v>
      </c>
      <c r="J495" s="209" t="s">
        <v>25</v>
      </c>
      <c r="K495" s="209" t="s">
        <v>214</v>
      </c>
      <c r="L495" s="201" t="s">
        <v>1151</v>
      </c>
      <c r="M495" s="209" t="s">
        <v>3321</v>
      </c>
      <c r="N495" s="201" t="s">
        <v>1030</v>
      </c>
      <c r="O495" s="209" t="s">
        <v>652</v>
      </c>
      <c r="P495" s="209" t="s">
        <v>652</v>
      </c>
      <c r="Q495" s="213" t="s">
        <v>491</v>
      </c>
      <c r="R495" s="213" t="s">
        <v>884</v>
      </c>
      <c r="S495" s="213" t="s">
        <v>3254</v>
      </c>
      <c r="T495" s="209"/>
      <c r="U495" s="209"/>
      <c r="V495" s="209"/>
      <c r="W495" s="209"/>
      <c r="X495" s="209"/>
    </row>
    <row r="496" spans="1:24" s="205" customFormat="1" hidden="1" x14ac:dyDescent="0.2">
      <c r="A496" s="209" t="s">
        <v>55</v>
      </c>
      <c r="B496" s="209" t="s">
        <v>519</v>
      </c>
      <c r="C496" s="234" t="s">
        <v>3254</v>
      </c>
      <c r="D496" s="201" t="s">
        <v>152</v>
      </c>
      <c r="E496" s="201"/>
      <c r="F496" s="211">
        <v>68946</v>
      </c>
      <c r="G496" s="206">
        <v>0</v>
      </c>
      <c r="H496" s="206">
        <v>0</v>
      </c>
      <c r="I496" s="202">
        <f t="shared" si="7"/>
        <v>68946</v>
      </c>
      <c r="J496" s="209" t="s">
        <v>25</v>
      </c>
      <c r="K496" s="209" t="s">
        <v>214</v>
      </c>
      <c r="L496" s="201" t="s">
        <v>1042</v>
      </c>
      <c r="M496" s="209" t="s">
        <v>3322</v>
      </c>
      <c r="N496" s="201" t="s">
        <v>1030</v>
      </c>
      <c r="O496" s="209" t="s">
        <v>652</v>
      </c>
      <c r="P496" s="209" t="s">
        <v>652</v>
      </c>
      <c r="Q496" s="213" t="s">
        <v>653</v>
      </c>
      <c r="R496" s="213" t="s">
        <v>697</v>
      </c>
      <c r="S496" s="213" t="s">
        <v>3254</v>
      </c>
      <c r="T496" s="209"/>
      <c r="U496" s="209"/>
      <c r="V496" s="209"/>
      <c r="W496" s="209"/>
      <c r="X496" s="209"/>
    </row>
    <row r="497" spans="1:19" s="205" customFormat="1" hidden="1" x14ac:dyDescent="0.2">
      <c r="A497" s="205" t="s">
        <v>117</v>
      </c>
      <c r="B497" s="205" t="s">
        <v>1525</v>
      </c>
      <c r="C497" s="200" t="s">
        <v>3323</v>
      </c>
      <c r="D497" s="201" t="s">
        <v>152</v>
      </c>
      <c r="E497" s="201"/>
      <c r="F497" s="206">
        <v>1353852</v>
      </c>
      <c r="G497" s="206">
        <v>135385</v>
      </c>
      <c r="H497" s="206">
        <v>13539</v>
      </c>
      <c r="I497" s="202">
        <f t="shared" si="7"/>
        <v>1232006</v>
      </c>
      <c r="J497" s="205" t="s">
        <v>90</v>
      </c>
      <c r="K497" s="205" t="s">
        <v>29</v>
      </c>
      <c r="L497" s="201" t="s">
        <v>1042</v>
      </c>
      <c r="M497" s="205" t="s">
        <v>3324</v>
      </c>
      <c r="N497" s="201" t="s">
        <v>1030</v>
      </c>
      <c r="O497" s="205" t="s">
        <v>652</v>
      </c>
      <c r="P497" s="205" t="s">
        <v>652</v>
      </c>
      <c r="Q497" s="208" t="s">
        <v>990</v>
      </c>
      <c r="R497" s="208" t="s">
        <v>991</v>
      </c>
      <c r="S497" s="208" t="s">
        <v>3323</v>
      </c>
    </row>
    <row r="498" spans="1:19" s="205" customFormat="1" hidden="1" x14ac:dyDescent="0.2">
      <c r="A498" s="205" t="s">
        <v>64</v>
      </c>
      <c r="B498" s="205" t="s">
        <v>514</v>
      </c>
      <c r="C498" s="200" t="s">
        <v>3323</v>
      </c>
      <c r="D498" s="201" t="s">
        <v>152</v>
      </c>
      <c r="E498" s="201"/>
      <c r="F498" s="206">
        <v>34339</v>
      </c>
      <c r="G498" s="206">
        <v>3434</v>
      </c>
      <c r="H498" s="206">
        <v>343</v>
      </c>
      <c r="I498" s="202">
        <f t="shared" si="7"/>
        <v>31248</v>
      </c>
      <c r="J498" s="205" t="s">
        <v>31</v>
      </c>
      <c r="K498" s="205" t="s">
        <v>29</v>
      </c>
      <c r="L498" s="201" t="s">
        <v>1042</v>
      </c>
      <c r="M498" s="205" t="s">
        <v>3325</v>
      </c>
      <c r="N498" s="201" t="s">
        <v>1030</v>
      </c>
      <c r="O498" s="205" t="s">
        <v>652</v>
      </c>
      <c r="P498" s="205" t="s">
        <v>652</v>
      </c>
      <c r="Q498" s="208" t="s">
        <v>653</v>
      </c>
      <c r="R498" s="208" t="s">
        <v>654</v>
      </c>
      <c r="S498" s="208" t="s">
        <v>3323</v>
      </c>
    </row>
    <row r="499" spans="1:19" s="205" customFormat="1" hidden="1" x14ac:dyDescent="0.2">
      <c r="A499" s="205" t="s">
        <v>401</v>
      </c>
      <c r="B499" s="205" t="s">
        <v>400</v>
      </c>
      <c r="C499" s="200" t="s">
        <v>3323</v>
      </c>
      <c r="D499" s="201" t="s">
        <v>152</v>
      </c>
      <c r="E499" s="201"/>
      <c r="F499" s="206">
        <v>133066</v>
      </c>
      <c r="G499" s="206">
        <v>13307</v>
      </c>
      <c r="H499" s="206">
        <v>665</v>
      </c>
      <c r="I499" s="202">
        <f t="shared" si="7"/>
        <v>120424</v>
      </c>
      <c r="J499" s="205" t="s">
        <v>356</v>
      </c>
      <c r="K499" s="205" t="s">
        <v>29</v>
      </c>
      <c r="L499" s="201" t="s">
        <v>1042</v>
      </c>
      <c r="M499" s="205" t="s">
        <v>3326</v>
      </c>
      <c r="N499" s="201" t="s">
        <v>1030</v>
      </c>
      <c r="O499" s="205" t="s">
        <v>652</v>
      </c>
      <c r="P499" s="205" t="s">
        <v>652</v>
      </c>
      <c r="Q499" s="208" t="s">
        <v>701</v>
      </c>
      <c r="R499" s="208" t="s">
        <v>702</v>
      </c>
      <c r="S499" s="208" t="s">
        <v>3323</v>
      </c>
    </row>
    <row r="500" spans="1:19" s="205" customFormat="1" hidden="1" x14ac:dyDescent="0.2">
      <c r="A500" s="205" t="s">
        <v>401</v>
      </c>
      <c r="B500" s="205" t="s">
        <v>400</v>
      </c>
      <c r="C500" s="200" t="s">
        <v>3323</v>
      </c>
      <c r="D500" s="201" t="s">
        <v>152</v>
      </c>
      <c r="E500" s="201"/>
      <c r="F500" s="206">
        <v>133066</v>
      </c>
      <c r="G500" s="206">
        <v>13307</v>
      </c>
      <c r="H500" s="206">
        <v>665</v>
      </c>
      <c r="I500" s="202">
        <f t="shared" si="7"/>
        <v>120424</v>
      </c>
      <c r="J500" s="205" t="s">
        <v>356</v>
      </c>
      <c r="K500" s="205" t="s">
        <v>29</v>
      </c>
      <c r="L500" s="201" t="s">
        <v>1042</v>
      </c>
      <c r="M500" s="205" t="s">
        <v>3326</v>
      </c>
      <c r="N500" s="201" t="s">
        <v>1030</v>
      </c>
      <c r="O500" s="205" t="s">
        <v>652</v>
      </c>
      <c r="P500" s="205" t="s">
        <v>652</v>
      </c>
      <c r="Q500" s="208" t="s">
        <v>701</v>
      </c>
      <c r="R500" s="208" t="s">
        <v>702</v>
      </c>
      <c r="S500" s="208" t="s">
        <v>3323</v>
      </c>
    </row>
    <row r="501" spans="1:19" s="205" customFormat="1" hidden="1" x14ac:dyDescent="0.2">
      <c r="A501" s="205" t="s">
        <v>401</v>
      </c>
      <c r="B501" s="205" t="s">
        <v>400</v>
      </c>
      <c r="C501" s="200" t="s">
        <v>3323</v>
      </c>
      <c r="D501" s="201" t="s">
        <v>152</v>
      </c>
      <c r="E501" s="201"/>
      <c r="F501" s="206">
        <v>-133066</v>
      </c>
      <c r="G501" s="206">
        <v>-13307</v>
      </c>
      <c r="H501" s="206">
        <v>665</v>
      </c>
      <c r="I501" s="202">
        <f t="shared" si="7"/>
        <v>-119094</v>
      </c>
      <c r="J501" s="205" t="s">
        <v>356</v>
      </c>
      <c r="K501" s="205" t="s">
        <v>29</v>
      </c>
      <c r="L501" s="201" t="s">
        <v>1042</v>
      </c>
      <c r="M501" s="205" t="s">
        <v>3326</v>
      </c>
      <c r="N501" s="201" t="s">
        <v>1030</v>
      </c>
      <c r="O501" s="205" t="s">
        <v>652</v>
      </c>
      <c r="P501" s="205" t="s">
        <v>652</v>
      </c>
      <c r="Q501" s="208" t="s">
        <v>701</v>
      </c>
      <c r="R501" s="208" t="s">
        <v>702</v>
      </c>
      <c r="S501" s="208" t="s">
        <v>3323</v>
      </c>
    </row>
    <row r="502" spans="1:19" s="205" customFormat="1" hidden="1" x14ac:dyDescent="0.2">
      <c r="A502" s="205" t="s">
        <v>3327</v>
      </c>
      <c r="B502" s="205" t="s">
        <v>3328</v>
      </c>
      <c r="C502" s="200" t="s">
        <v>3323</v>
      </c>
      <c r="D502" s="201" t="s">
        <v>152</v>
      </c>
      <c r="E502" s="201"/>
      <c r="F502" s="206">
        <v>33237</v>
      </c>
      <c r="G502" s="206">
        <v>3324</v>
      </c>
      <c r="H502" s="206">
        <v>332</v>
      </c>
      <c r="I502" s="202">
        <f t="shared" si="7"/>
        <v>30245</v>
      </c>
      <c r="J502" s="205" t="s">
        <v>935</v>
      </c>
      <c r="K502" s="205" t="s">
        <v>29</v>
      </c>
      <c r="L502" s="201" t="s">
        <v>1028</v>
      </c>
      <c r="M502" s="205" t="s">
        <v>3329</v>
      </c>
      <c r="N502" s="201" t="s">
        <v>1030</v>
      </c>
      <c r="O502" s="205" t="s">
        <v>652</v>
      </c>
      <c r="P502" s="205" t="s">
        <v>652</v>
      </c>
      <c r="Q502" s="208" t="s">
        <v>852</v>
      </c>
      <c r="R502" s="208" t="s">
        <v>3330</v>
      </c>
      <c r="S502" s="208" t="s">
        <v>3323</v>
      </c>
    </row>
    <row r="503" spans="1:19" s="205" customFormat="1" hidden="1" x14ac:dyDescent="0.2">
      <c r="A503" s="205" t="s">
        <v>45</v>
      </c>
      <c r="B503" s="205" t="s">
        <v>527</v>
      </c>
      <c r="C503" s="200" t="s">
        <v>3323</v>
      </c>
      <c r="D503" s="201" t="s">
        <v>152</v>
      </c>
      <c r="E503" s="201"/>
      <c r="F503" s="206">
        <v>34758</v>
      </c>
      <c r="G503" s="206">
        <v>3476</v>
      </c>
      <c r="H503" s="206">
        <v>348</v>
      </c>
      <c r="I503" s="202">
        <f t="shared" si="7"/>
        <v>31630</v>
      </c>
      <c r="J503" s="205" t="s">
        <v>28</v>
      </c>
      <c r="K503" s="205" t="s">
        <v>29</v>
      </c>
      <c r="L503" s="201" t="s">
        <v>1042</v>
      </c>
      <c r="M503" s="205" t="s">
        <v>3331</v>
      </c>
      <c r="N503" s="201" t="s">
        <v>1030</v>
      </c>
      <c r="O503" s="205" t="s">
        <v>652</v>
      </c>
      <c r="P503" s="205" t="s">
        <v>652</v>
      </c>
      <c r="Q503" s="208" t="s">
        <v>718</v>
      </c>
      <c r="R503" s="208" t="s">
        <v>719</v>
      </c>
      <c r="S503" s="208" t="s">
        <v>3323</v>
      </c>
    </row>
    <row r="504" spans="1:19" s="205" customFormat="1" hidden="1" x14ac:dyDescent="0.2">
      <c r="A504" s="205" t="s">
        <v>187</v>
      </c>
      <c r="B504" s="205" t="s">
        <v>961</v>
      </c>
      <c r="C504" s="200" t="s">
        <v>3323</v>
      </c>
      <c r="D504" s="199" t="s">
        <v>152</v>
      </c>
      <c r="E504" s="199"/>
      <c r="F504" s="206">
        <v>92965</v>
      </c>
      <c r="G504" s="206">
        <v>9297</v>
      </c>
      <c r="H504" s="206">
        <v>930</v>
      </c>
      <c r="I504" s="202">
        <f t="shared" si="7"/>
        <v>84598</v>
      </c>
      <c r="J504" s="205" t="s">
        <v>188</v>
      </c>
      <c r="K504" s="205" t="s">
        <v>29</v>
      </c>
      <c r="L504" s="201" t="s">
        <v>1141</v>
      </c>
      <c r="M504" s="205" t="s">
        <v>3332</v>
      </c>
      <c r="N504" s="201" t="s">
        <v>1030</v>
      </c>
      <c r="O504" s="205" t="s">
        <v>652</v>
      </c>
      <c r="P504" s="205" t="s">
        <v>652</v>
      </c>
      <c r="Q504" s="208" t="s">
        <v>691</v>
      </c>
      <c r="R504" s="208" t="s">
        <v>960</v>
      </c>
      <c r="S504" s="208" t="s">
        <v>3323</v>
      </c>
    </row>
    <row r="505" spans="1:19" s="205" customFormat="1" hidden="1" x14ac:dyDescent="0.2">
      <c r="A505" s="205" t="s">
        <v>187</v>
      </c>
      <c r="B505" s="205" t="s">
        <v>961</v>
      </c>
      <c r="C505" s="200" t="s">
        <v>3323</v>
      </c>
      <c r="D505" s="201" t="s">
        <v>152</v>
      </c>
      <c r="E505" s="201"/>
      <c r="F505" s="206">
        <v>36268</v>
      </c>
      <c r="G505" s="206">
        <v>3627</v>
      </c>
      <c r="H505" s="206">
        <v>363</v>
      </c>
      <c r="I505" s="202">
        <f t="shared" si="7"/>
        <v>33004</v>
      </c>
      <c r="J505" s="205" t="s">
        <v>188</v>
      </c>
      <c r="K505" s="205" t="s">
        <v>29</v>
      </c>
      <c r="L505" s="201" t="s">
        <v>1042</v>
      </c>
      <c r="M505" s="205" t="s">
        <v>3333</v>
      </c>
      <c r="N505" s="201" t="s">
        <v>1030</v>
      </c>
      <c r="O505" s="205" t="s">
        <v>652</v>
      </c>
      <c r="P505" s="205" t="s">
        <v>652</v>
      </c>
      <c r="Q505" s="208" t="s">
        <v>691</v>
      </c>
      <c r="R505" s="208" t="s">
        <v>960</v>
      </c>
      <c r="S505" s="208" t="s">
        <v>3323</v>
      </c>
    </row>
    <row r="506" spans="1:19" s="205" customFormat="1" hidden="1" x14ac:dyDescent="0.2">
      <c r="A506" s="205" t="s">
        <v>277</v>
      </c>
      <c r="B506" s="205" t="s">
        <v>3334</v>
      </c>
      <c r="C506" s="200" t="s">
        <v>3323</v>
      </c>
      <c r="D506" s="201" t="s">
        <v>166</v>
      </c>
      <c r="E506" s="201"/>
      <c r="F506" s="206">
        <v>-298081</v>
      </c>
      <c r="G506" s="206">
        <v>-29808</v>
      </c>
      <c r="H506" s="206">
        <v>-2981</v>
      </c>
      <c r="I506" s="202">
        <f t="shared" si="7"/>
        <v>-271254</v>
      </c>
      <c r="J506" s="205" t="s">
        <v>31</v>
      </c>
      <c r="K506" s="205" t="s">
        <v>29</v>
      </c>
      <c r="L506" s="201" t="s">
        <v>1068</v>
      </c>
      <c r="M506" s="205" t="s">
        <v>3335</v>
      </c>
      <c r="N506" s="201" t="s">
        <v>2041</v>
      </c>
      <c r="O506" s="205" t="s">
        <v>3336</v>
      </c>
      <c r="P506" s="205" t="s">
        <v>1061</v>
      </c>
      <c r="Q506" s="208" t="s">
        <v>724</v>
      </c>
      <c r="R506" s="208" t="s">
        <v>725</v>
      </c>
      <c r="S506" s="208" t="s">
        <v>3323</v>
      </c>
    </row>
    <row r="507" spans="1:19" s="205" customFormat="1" hidden="1" x14ac:dyDescent="0.2">
      <c r="A507" s="205" t="s">
        <v>480</v>
      </c>
      <c r="B507" s="205" t="s">
        <v>783</v>
      </c>
      <c r="C507" s="200" t="s">
        <v>3323</v>
      </c>
      <c r="D507" s="199" t="s">
        <v>152</v>
      </c>
      <c r="E507" s="199"/>
      <c r="F507" s="206">
        <v>21156</v>
      </c>
      <c r="G507" s="206">
        <v>2116</v>
      </c>
      <c r="H507" s="206">
        <v>212</v>
      </c>
      <c r="I507" s="202">
        <f t="shared" si="7"/>
        <v>19252</v>
      </c>
      <c r="J507" s="205" t="s">
        <v>784</v>
      </c>
      <c r="K507" s="205" t="s">
        <v>29</v>
      </c>
      <c r="L507" s="199" t="s">
        <v>1042</v>
      </c>
      <c r="M507" s="205" t="s">
        <v>3337</v>
      </c>
      <c r="N507" s="201" t="s">
        <v>1030</v>
      </c>
      <c r="O507" s="205" t="s">
        <v>3338</v>
      </c>
      <c r="P507" s="205" t="s">
        <v>1066</v>
      </c>
      <c r="Q507" s="208" t="s">
        <v>651</v>
      </c>
      <c r="R507" s="208" t="s">
        <v>673</v>
      </c>
      <c r="S507" s="208" t="s">
        <v>3323</v>
      </c>
    </row>
    <row r="508" spans="1:19" s="205" customFormat="1" hidden="1" x14ac:dyDescent="0.2">
      <c r="A508" s="205" t="s">
        <v>558</v>
      </c>
      <c r="B508" s="205" t="s">
        <v>559</v>
      </c>
      <c r="C508" s="200" t="s">
        <v>3323</v>
      </c>
      <c r="D508" s="199" t="s">
        <v>152</v>
      </c>
      <c r="E508" s="199"/>
      <c r="F508" s="206">
        <v>585413</v>
      </c>
      <c r="G508" s="206">
        <v>58541</v>
      </c>
      <c r="H508" s="206">
        <v>5854</v>
      </c>
      <c r="I508" s="202">
        <f t="shared" si="7"/>
        <v>532726</v>
      </c>
      <c r="J508" s="205" t="s">
        <v>31</v>
      </c>
      <c r="K508" s="205" t="s">
        <v>29</v>
      </c>
      <c r="L508" s="199" t="s">
        <v>1042</v>
      </c>
      <c r="M508" s="205" t="s">
        <v>3339</v>
      </c>
      <c r="N508" s="201" t="s">
        <v>1030</v>
      </c>
      <c r="O508" s="205" t="s">
        <v>1046</v>
      </c>
      <c r="P508" s="205" t="s">
        <v>1047</v>
      </c>
      <c r="Q508" s="208" t="s">
        <v>653</v>
      </c>
      <c r="R508" s="208" t="s">
        <v>654</v>
      </c>
      <c r="S508" s="208" t="s">
        <v>3323</v>
      </c>
    </row>
    <row r="509" spans="1:19" s="205" customFormat="1" hidden="1" x14ac:dyDescent="0.2">
      <c r="A509" s="205" t="s">
        <v>3340</v>
      </c>
      <c r="B509" s="205" t="s">
        <v>3341</v>
      </c>
      <c r="C509" s="200" t="s">
        <v>3323</v>
      </c>
      <c r="D509" s="199" t="s">
        <v>152</v>
      </c>
      <c r="E509" s="199"/>
      <c r="F509" s="206">
        <v>67314</v>
      </c>
      <c r="G509" s="206">
        <v>6731</v>
      </c>
      <c r="H509" s="206">
        <v>673</v>
      </c>
      <c r="I509" s="202">
        <f t="shared" si="7"/>
        <v>61256</v>
      </c>
      <c r="J509" s="205" t="s">
        <v>3342</v>
      </c>
      <c r="K509" s="205" t="s">
        <v>29</v>
      </c>
      <c r="L509" s="199" t="s">
        <v>1058</v>
      </c>
      <c r="M509" s="205" t="s">
        <v>3343</v>
      </c>
      <c r="N509" s="199" t="s">
        <v>1030</v>
      </c>
      <c r="O509" s="205" t="s">
        <v>652</v>
      </c>
      <c r="P509" s="205" t="s">
        <v>652</v>
      </c>
      <c r="Q509" s="208" t="s">
        <v>987</v>
      </c>
      <c r="R509" s="208" t="s">
        <v>988</v>
      </c>
      <c r="S509" s="208" t="s">
        <v>3323</v>
      </c>
    </row>
    <row r="510" spans="1:19" s="205" customFormat="1" hidden="1" x14ac:dyDescent="0.2">
      <c r="A510" s="205" t="s">
        <v>70</v>
      </c>
      <c r="B510" s="205" t="s">
        <v>606</v>
      </c>
      <c r="C510" s="200" t="s">
        <v>3323</v>
      </c>
      <c r="D510" s="199" t="s">
        <v>152</v>
      </c>
      <c r="E510" s="199"/>
      <c r="F510" s="206">
        <v>10649</v>
      </c>
      <c r="G510" s="206">
        <v>1065</v>
      </c>
      <c r="H510" s="206">
        <v>106</v>
      </c>
      <c r="I510" s="202">
        <f t="shared" si="7"/>
        <v>9690</v>
      </c>
      <c r="J510" s="205" t="s">
        <v>71</v>
      </c>
      <c r="K510" s="205" t="s">
        <v>29</v>
      </c>
      <c r="L510" s="199" t="s">
        <v>1042</v>
      </c>
      <c r="M510" s="205" t="s">
        <v>3344</v>
      </c>
      <c r="N510" s="201" t="s">
        <v>1030</v>
      </c>
      <c r="O510" s="205" t="s">
        <v>652</v>
      </c>
      <c r="P510" s="205" t="s">
        <v>652</v>
      </c>
      <c r="Q510" s="208" t="s">
        <v>653</v>
      </c>
      <c r="R510" s="208" t="s">
        <v>654</v>
      </c>
      <c r="S510" s="208" t="s">
        <v>3323</v>
      </c>
    </row>
    <row r="511" spans="1:19" s="205" customFormat="1" hidden="1" x14ac:dyDescent="0.2">
      <c r="A511" s="205" t="s">
        <v>102</v>
      </c>
      <c r="B511" s="205" t="s">
        <v>297</v>
      </c>
      <c r="C511" s="200" t="s">
        <v>3323</v>
      </c>
      <c r="D511" s="199" t="s">
        <v>152</v>
      </c>
      <c r="E511" s="199"/>
      <c r="F511" s="206">
        <v>3000</v>
      </c>
      <c r="G511" s="206">
        <v>300</v>
      </c>
      <c r="H511" s="206">
        <v>30</v>
      </c>
      <c r="I511" s="202">
        <f t="shared" si="7"/>
        <v>2730</v>
      </c>
      <c r="J511" s="205" t="s">
        <v>31</v>
      </c>
      <c r="K511" s="205" t="s">
        <v>29</v>
      </c>
      <c r="L511" s="199" t="s">
        <v>1042</v>
      </c>
      <c r="M511" s="205" t="s">
        <v>3345</v>
      </c>
      <c r="N511" s="201" t="s">
        <v>1030</v>
      </c>
      <c r="O511" s="205" t="s">
        <v>652</v>
      </c>
      <c r="P511" s="205" t="s">
        <v>652</v>
      </c>
      <c r="Q511" s="214" t="s">
        <v>724</v>
      </c>
      <c r="R511" s="214" t="s">
        <v>725</v>
      </c>
      <c r="S511" s="214" t="s">
        <v>3323</v>
      </c>
    </row>
    <row r="512" spans="1:19" s="205" customFormat="1" hidden="1" x14ac:dyDescent="0.2">
      <c r="A512" s="205" t="s">
        <v>455</v>
      </c>
      <c r="B512" s="205" t="s">
        <v>958</v>
      </c>
      <c r="C512" s="200" t="s">
        <v>3323</v>
      </c>
      <c r="D512" s="199" t="s">
        <v>152</v>
      </c>
      <c r="E512" s="199"/>
      <c r="F512" s="206">
        <v>108645</v>
      </c>
      <c r="G512" s="206">
        <v>10865</v>
      </c>
      <c r="H512" s="206">
        <v>1086</v>
      </c>
      <c r="I512" s="202">
        <f t="shared" si="7"/>
        <v>98866</v>
      </c>
      <c r="J512" s="205" t="s">
        <v>28</v>
      </c>
      <c r="K512" s="205" t="s">
        <v>29</v>
      </c>
      <c r="L512" s="199" t="s">
        <v>1141</v>
      </c>
      <c r="M512" s="205" t="s">
        <v>3346</v>
      </c>
      <c r="N512" s="201" t="s">
        <v>1030</v>
      </c>
      <c r="O512" s="205" t="s">
        <v>1488</v>
      </c>
      <c r="P512" s="205" t="s">
        <v>1191</v>
      </c>
      <c r="Q512" s="214" t="s">
        <v>877</v>
      </c>
      <c r="R512" s="214" t="s">
        <v>957</v>
      </c>
      <c r="S512" s="214" t="s">
        <v>3323</v>
      </c>
    </row>
    <row r="513" spans="1:24" s="205" customFormat="1" hidden="1" x14ac:dyDescent="0.2">
      <c r="A513" s="205" t="s">
        <v>36</v>
      </c>
      <c r="B513" s="205" t="s">
        <v>3347</v>
      </c>
      <c r="C513" s="200" t="s">
        <v>3323</v>
      </c>
      <c r="D513" s="201" t="s">
        <v>152</v>
      </c>
      <c r="E513" s="201"/>
      <c r="F513" s="206">
        <v>52204</v>
      </c>
      <c r="G513" s="206">
        <v>5220</v>
      </c>
      <c r="H513" s="206">
        <v>261</v>
      </c>
      <c r="I513" s="202">
        <f t="shared" si="7"/>
        <v>47245</v>
      </c>
      <c r="J513" s="205" t="s">
        <v>37</v>
      </c>
      <c r="K513" s="205" t="s">
        <v>23</v>
      </c>
      <c r="L513" s="201" t="s">
        <v>1028</v>
      </c>
      <c r="M513" s="205" t="s">
        <v>3348</v>
      </c>
      <c r="N513" s="201" t="s">
        <v>1030</v>
      </c>
      <c r="O513" s="205" t="s">
        <v>652</v>
      </c>
      <c r="P513" s="205" t="s">
        <v>652</v>
      </c>
      <c r="Q513" s="208" t="s">
        <v>992</v>
      </c>
      <c r="R513" s="208" t="s">
        <v>993</v>
      </c>
      <c r="S513" s="208" t="s">
        <v>3323</v>
      </c>
    </row>
    <row r="514" spans="1:24" s="205" customFormat="1" hidden="1" x14ac:dyDescent="0.2">
      <c r="A514" s="205" t="s">
        <v>36</v>
      </c>
      <c r="B514" s="205" t="s">
        <v>3349</v>
      </c>
      <c r="C514" s="200" t="s">
        <v>3323</v>
      </c>
      <c r="D514" s="201" t="s">
        <v>152</v>
      </c>
      <c r="E514" s="201"/>
      <c r="F514" s="206">
        <v>52204</v>
      </c>
      <c r="G514" s="206">
        <v>5220</v>
      </c>
      <c r="H514" s="206">
        <v>261</v>
      </c>
      <c r="I514" s="202">
        <f t="shared" si="7"/>
        <v>47245</v>
      </c>
      <c r="J514" s="205" t="s">
        <v>37</v>
      </c>
      <c r="K514" s="205" t="s">
        <v>23</v>
      </c>
      <c r="L514" s="201" t="s">
        <v>1028</v>
      </c>
      <c r="M514" s="205" t="s">
        <v>3350</v>
      </c>
      <c r="N514" s="201" t="s">
        <v>1030</v>
      </c>
      <c r="O514" s="205" t="s">
        <v>652</v>
      </c>
      <c r="P514" s="205" t="s">
        <v>652</v>
      </c>
      <c r="Q514" s="208" t="s">
        <v>2054</v>
      </c>
      <c r="R514" s="208" t="s">
        <v>2055</v>
      </c>
      <c r="S514" s="208" t="s">
        <v>3323</v>
      </c>
    </row>
    <row r="515" spans="1:24" s="205" customFormat="1" hidden="1" x14ac:dyDescent="0.2">
      <c r="A515" s="205" t="s">
        <v>36</v>
      </c>
      <c r="B515" s="205" t="s">
        <v>3351</v>
      </c>
      <c r="C515" s="200" t="s">
        <v>3323</v>
      </c>
      <c r="D515" s="201" t="s">
        <v>152</v>
      </c>
      <c r="E515" s="201"/>
      <c r="F515" s="206">
        <v>29327</v>
      </c>
      <c r="G515" s="206">
        <v>2933</v>
      </c>
      <c r="H515" s="206">
        <v>147</v>
      </c>
      <c r="I515" s="202">
        <f t="shared" ref="I515:I578" si="8">F515+H515-G515</f>
        <v>26541</v>
      </c>
      <c r="J515" s="205" t="s">
        <v>37</v>
      </c>
      <c r="K515" s="205" t="s">
        <v>23</v>
      </c>
      <c r="L515" s="201" t="s">
        <v>1028</v>
      </c>
      <c r="M515" s="205" t="s">
        <v>3352</v>
      </c>
      <c r="N515" s="201" t="s">
        <v>1030</v>
      </c>
      <c r="O515" s="205" t="s">
        <v>652</v>
      </c>
      <c r="P515" s="205" t="s">
        <v>652</v>
      </c>
      <c r="Q515" s="208" t="s">
        <v>2664</v>
      </c>
      <c r="R515" s="208" t="s">
        <v>2665</v>
      </c>
      <c r="S515" s="208" t="s">
        <v>3323</v>
      </c>
    </row>
    <row r="516" spans="1:24" s="205" customFormat="1" hidden="1" x14ac:dyDescent="0.2">
      <c r="A516" s="205" t="s">
        <v>83</v>
      </c>
      <c r="B516" s="205" t="s">
        <v>921</v>
      </c>
      <c r="C516" s="200" t="s">
        <v>3323</v>
      </c>
      <c r="D516" s="201" t="s">
        <v>152</v>
      </c>
      <c r="E516" s="201"/>
      <c r="F516" s="206">
        <v>15516</v>
      </c>
      <c r="G516" s="206">
        <v>1552</v>
      </c>
      <c r="H516" s="206">
        <v>78</v>
      </c>
      <c r="I516" s="202">
        <f t="shared" si="8"/>
        <v>14042</v>
      </c>
      <c r="J516" s="205" t="s">
        <v>44</v>
      </c>
      <c r="K516" s="205" t="s">
        <v>23</v>
      </c>
      <c r="L516" s="201" t="s">
        <v>1042</v>
      </c>
      <c r="M516" s="205" t="s">
        <v>3353</v>
      </c>
      <c r="N516" s="201" t="s">
        <v>1030</v>
      </c>
      <c r="O516" s="205" t="s">
        <v>652</v>
      </c>
      <c r="P516" s="205" t="s">
        <v>652</v>
      </c>
      <c r="Q516" s="208" t="s">
        <v>722</v>
      </c>
      <c r="R516" s="208" t="s">
        <v>723</v>
      </c>
      <c r="S516" s="208" t="s">
        <v>3323</v>
      </c>
    </row>
    <row r="517" spans="1:24" s="205" customFormat="1" hidden="1" x14ac:dyDescent="0.2">
      <c r="A517" s="205" t="s">
        <v>247</v>
      </c>
      <c r="B517" s="205" t="s">
        <v>3354</v>
      </c>
      <c r="C517" s="200" t="s">
        <v>3323</v>
      </c>
      <c r="D517" s="201" t="s">
        <v>152</v>
      </c>
      <c r="E517" s="201"/>
      <c r="F517" s="206">
        <v>57986</v>
      </c>
      <c r="G517" s="206">
        <v>5799</v>
      </c>
      <c r="H517" s="206">
        <v>290</v>
      </c>
      <c r="I517" s="202">
        <f t="shared" si="8"/>
        <v>52477</v>
      </c>
      <c r="J517" s="205" t="s">
        <v>489</v>
      </c>
      <c r="K517" s="205" t="s">
        <v>23</v>
      </c>
      <c r="L517" s="201" t="s">
        <v>1058</v>
      </c>
      <c r="M517" s="205" t="s">
        <v>3355</v>
      </c>
      <c r="N517" s="201" t="s">
        <v>1030</v>
      </c>
      <c r="O517" s="205" t="s">
        <v>652</v>
      </c>
      <c r="P517" s="205" t="s">
        <v>652</v>
      </c>
      <c r="Q517" s="208" t="s">
        <v>663</v>
      </c>
      <c r="R517" s="208" t="s">
        <v>723</v>
      </c>
      <c r="S517" s="208" t="s">
        <v>3323</v>
      </c>
    </row>
    <row r="518" spans="1:24" s="205" customFormat="1" hidden="1" x14ac:dyDescent="0.2">
      <c r="A518" s="205" t="s">
        <v>247</v>
      </c>
      <c r="B518" s="205" t="s">
        <v>3356</v>
      </c>
      <c r="C518" s="200" t="s">
        <v>3323</v>
      </c>
      <c r="D518" s="201" t="s">
        <v>152</v>
      </c>
      <c r="E518" s="201"/>
      <c r="F518" s="206">
        <v>46915</v>
      </c>
      <c r="G518" s="206">
        <v>4692</v>
      </c>
      <c r="H518" s="206">
        <v>235</v>
      </c>
      <c r="I518" s="202">
        <f t="shared" si="8"/>
        <v>42458</v>
      </c>
      <c r="J518" s="205" t="s">
        <v>489</v>
      </c>
      <c r="K518" s="205" t="s">
        <v>23</v>
      </c>
      <c r="L518" s="201" t="s">
        <v>1058</v>
      </c>
      <c r="M518" s="205" t="s">
        <v>3357</v>
      </c>
      <c r="N518" s="201" t="s">
        <v>1030</v>
      </c>
      <c r="O518" s="205" t="s">
        <v>652</v>
      </c>
      <c r="P518" s="205" t="s">
        <v>652</v>
      </c>
      <c r="Q518" s="208" t="s">
        <v>663</v>
      </c>
      <c r="R518" s="208" t="s">
        <v>723</v>
      </c>
      <c r="S518" s="208" t="s">
        <v>3323</v>
      </c>
    </row>
    <row r="519" spans="1:24" s="205" customFormat="1" hidden="1" x14ac:dyDescent="0.2">
      <c r="A519" s="205" t="s">
        <v>247</v>
      </c>
      <c r="B519" s="205" t="s">
        <v>3358</v>
      </c>
      <c r="C519" s="200" t="s">
        <v>3323</v>
      </c>
      <c r="D519" s="201" t="s">
        <v>152</v>
      </c>
      <c r="E519" s="201"/>
      <c r="F519" s="206">
        <v>42459</v>
      </c>
      <c r="G519" s="206">
        <v>4246</v>
      </c>
      <c r="H519" s="206">
        <v>212</v>
      </c>
      <c r="I519" s="202">
        <f t="shared" si="8"/>
        <v>38425</v>
      </c>
      <c r="J519" s="205" t="s">
        <v>489</v>
      </c>
      <c r="K519" s="205" t="s">
        <v>23</v>
      </c>
      <c r="L519" s="201" t="s">
        <v>1058</v>
      </c>
      <c r="M519" s="205" t="s">
        <v>3359</v>
      </c>
      <c r="N519" s="201" t="s">
        <v>1030</v>
      </c>
      <c r="O519" s="205" t="s">
        <v>652</v>
      </c>
      <c r="P519" s="205" t="s">
        <v>652</v>
      </c>
      <c r="Q519" s="208" t="s">
        <v>663</v>
      </c>
      <c r="R519" s="208" t="s">
        <v>723</v>
      </c>
      <c r="S519" s="208" t="s">
        <v>3323</v>
      </c>
    </row>
    <row r="520" spans="1:24" s="205" customFormat="1" hidden="1" x14ac:dyDescent="0.2">
      <c r="A520" s="205" t="s">
        <v>247</v>
      </c>
      <c r="B520" s="205" t="s">
        <v>3360</v>
      </c>
      <c r="C520" s="200" t="s">
        <v>3323</v>
      </c>
      <c r="D520" s="201" t="s">
        <v>152</v>
      </c>
      <c r="E520" s="201"/>
      <c r="F520" s="206">
        <v>42459</v>
      </c>
      <c r="G520" s="206">
        <v>4246</v>
      </c>
      <c r="H520" s="206">
        <v>212</v>
      </c>
      <c r="I520" s="202">
        <f t="shared" si="8"/>
        <v>38425</v>
      </c>
      <c r="J520" s="205" t="s">
        <v>489</v>
      </c>
      <c r="K520" s="205" t="s">
        <v>23</v>
      </c>
      <c r="L520" s="201" t="s">
        <v>1058</v>
      </c>
      <c r="M520" s="205" t="s">
        <v>3361</v>
      </c>
      <c r="N520" s="201" t="s">
        <v>1030</v>
      </c>
      <c r="O520" s="205" t="s">
        <v>652</v>
      </c>
      <c r="P520" s="205" t="s">
        <v>652</v>
      </c>
      <c r="Q520" s="208" t="s">
        <v>663</v>
      </c>
      <c r="R520" s="208" t="s">
        <v>723</v>
      </c>
      <c r="S520" s="208" t="s">
        <v>3323</v>
      </c>
    </row>
    <row r="521" spans="1:24" s="205" customFormat="1" hidden="1" x14ac:dyDescent="0.2">
      <c r="A521" s="205" t="s">
        <v>247</v>
      </c>
      <c r="B521" s="205" t="s">
        <v>3362</v>
      </c>
      <c r="C521" s="200" t="s">
        <v>3323</v>
      </c>
      <c r="D521" s="201" t="s">
        <v>152</v>
      </c>
      <c r="E521" s="201"/>
      <c r="F521" s="206">
        <v>80793</v>
      </c>
      <c r="G521" s="206">
        <v>8079</v>
      </c>
      <c r="H521" s="206">
        <v>404</v>
      </c>
      <c r="I521" s="202">
        <f t="shared" si="8"/>
        <v>73118</v>
      </c>
      <c r="J521" s="205" t="s">
        <v>489</v>
      </c>
      <c r="K521" s="205" t="s">
        <v>23</v>
      </c>
      <c r="L521" s="201" t="s">
        <v>1058</v>
      </c>
      <c r="M521" s="205" t="s">
        <v>3363</v>
      </c>
      <c r="N521" s="201" t="s">
        <v>1030</v>
      </c>
      <c r="O521" s="205" t="s">
        <v>652</v>
      </c>
      <c r="P521" s="205" t="s">
        <v>652</v>
      </c>
      <c r="Q521" s="208" t="s">
        <v>663</v>
      </c>
      <c r="R521" s="208" t="s">
        <v>723</v>
      </c>
      <c r="S521" s="208" t="s">
        <v>3323</v>
      </c>
    </row>
    <row r="522" spans="1:24" s="205" customFormat="1" hidden="1" x14ac:dyDescent="0.2">
      <c r="A522" s="205" t="s">
        <v>249</v>
      </c>
      <c r="B522" s="205" t="s">
        <v>3364</v>
      </c>
      <c r="C522" s="200" t="s">
        <v>3323</v>
      </c>
      <c r="D522" s="201" t="s">
        <v>152</v>
      </c>
      <c r="E522" s="201"/>
      <c r="F522" s="206">
        <v>85607</v>
      </c>
      <c r="G522" s="206">
        <v>8561</v>
      </c>
      <c r="H522" s="206">
        <v>428</v>
      </c>
      <c r="I522" s="202">
        <f t="shared" si="8"/>
        <v>77474</v>
      </c>
      <c r="J522" s="205" t="s">
        <v>489</v>
      </c>
      <c r="K522" s="205" t="s">
        <v>23</v>
      </c>
      <c r="L522" s="201" t="s">
        <v>1042</v>
      </c>
      <c r="M522" s="205" t="s">
        <v>3365</v>
      </c>
      <c r="N522" s="201" t="s">
        <v>1030</v>
      </c>
      <c r="O522" s="205" t="s">
        <v>652</v>
      </c>
      <c r="P522" s="205" t="s">
        <v>652</v>
      </c>
      <c r="Q522" s="208" t="s">
        <v>987</v>
      </c>
      <c r="R522" s="208" t="s">
        <v>988</v>
      </c>
      <c r="S522" s="208" t="s">
        <v>3323</v>
      </c>
    </row>
    <row r="523" spans="1:24" s="205" customFormat="1" hidden="1" x14ac:dyDescent="0.2">
      <c r="A523" s="205" t="s">
        <v>121</v>
      </c>
      <c r="B523" s="205" t="s">
        <v>339</v>
      </c>
      <c r="C523" s="200" t="s">
        <v>3323</v>
      </c>
      <c r="D523" s="199" t="s">
        <v>152</v>
      </c>
      <c r="E523" s="199"/>
      <c r="F523" s="206">
        <v>90582</v>
      </c>
      <c r="G523" s="206">
        <v>9058</v>
      </c>
      <c r="H523" s="206">
        <v>453</v>
      </c>
      <c r="I523" s="202">
        <f t="shared" si="8"/>
        <v>81977</v>
      </c>
      <c r="J523" s="205" t="s">
        <v>38</v>
      </c>
      <c r="K523" s="205" t="s">
        <v>23</v>
      </c>
      <c r="L523" s="199" t="s">
        <v>1042</v>
      </c>
      <c r="M523" s="205" t="s">
        <v>3366</v>
      </c>
      <c r="N523" s="201" t="s">
        <v>1030</v>
      </c>
      <c r="O523" s="205" t="s">
        <v>652</v>
      </c>
      <c r="P523" s="205" t="s">
        <v>652</v>
      </c>
      <c r="Q523" s="208" t="s">
        <v>696</v>
      </c>
      <c r="R523" s="208" t="s">
        <v>697</v>
      </c>
      <c r="S523" s="208" t="s">
        <v>3323</v>
      </c>
    </row>
    <row r="524" spans="1:24" s="205" customFormat="1" hidden="1" x14ac:dyDescent="0.2">
      <c r="A524" s="205" t="s">
        <v>121</v>
      </c>
      <c r="B524" s="205" t="s">
        <v>339</v>
      </c>
      <c r="C524" s="200" t="s">
        <v>3323</v>
      </c>
      <c r="D524" s="199" t="s">
        <v>152</v>
      </c>
      <c r="E524" s="199"/>
      <c r="F524" s="206">
        <v>3000</v>
      </c>
      <c r="G524" s="206">
        <v>300</v>
      </c>
      <c r="H524" s="206">
        <v>15</v>
      </c>
      <c r="I524" s="202">
        <f t="shared" si="8"/>
        <v>2715</v>
      </c>
      <c r="J524" s="205" t="s">
        <v>38</v>
      </c>
      <c r="K524" s="205" t="s">
        <v>23</v>
      </c>
      <c r="L524" s="199" t="s">
        <v>1042</v>
      </c>
      <c r="M524" s="205" t="s">
        <v>3367</v>
      </c>
      <c r="N524" s="201" t="s">
        <v>1030</v>
      </c>
      <c r="O524" s="205" t="s">
        <v>652</v>
      </c>
      <c r="P524" s="205" t="s">
        <v>652</v>
      </c>
      <c r="Q524" s="208" t="s">
        <v>696</v>
      </c>
      <c r="R524" s="208" t="s">
        <v>697</v>
      </c>
      <c r="S524" s="208" t="s">
        <v>3323</v>
      </c>
    </row>
    <row r="525" spans="1:24" s="205" customFormat="1" hidden="1" x14ac:dyDescent="0.2">
      <c r="A525" s="205" t="s">
        <v>3368</v>
      </c>
      <c r="B525" s="205" t="s">
        <v>3369</v>
      </c>
      <c r="C525" s="200" t="s">
        <v>3323</v>
      </c>
      <c r="D525" s="199" t="s">
        <v>152</v>
      </c>
      <c r="E525" s="199"/>
      <c r="F525" s="206">
        <v>105927</v>
      </c>
      <c r="G525" s="206">
        <v>10593</v>
      </c>
      <c r="H525" s="206">
        <v>530</v>
      </c>
      <c r="I525" s="202">
        <f t="shared" si="8"/>
        <v>95864</v>
      </c>
      <c r="J525" s="205" t="s">
        <v>52</v>
      </c>
      <c r="K525" s="205" t="s">
        <v>23</v>
      </c>
      <c r="L525" s="199" t="s">
        <v>1028</v>
      </c>
      <c r="M525" s="205" t="s">
        <v>3370</v>
      </c>
      <c r="N525" s="201" t="s">
        <v>1030</v>
      </c>
      <c r="O525" s="205" t="s">
        <v>652</v>
      </c>
      <c r="P525" s="205" t="s">
        <v>652</v>
      </c>
      <c r="Q525" s="208" t="s">
        <v>691</v>
      </c>
      <c r="R525" s="208" t="s">
        <v>960</v>
      </c>
      <c r="S525" s="208" t="s">
        <v>3323</v>
      </c>
    </row>
    <row r="526" spans="1:24" s="205" customFormat="1" hidden="1" x14ac:dyDescent="0.2">
      <c r="A526" s="205" t="s">
        <v>84</v>
      </c>
      <c r="B526" s="205" t="s">
        <v>540</v>
      </c>
      <c r="C526" s="200" t="s">
        <v>3323</v>
      </c>
      <c r="D526" s="199" t="s">
        <v>152</v>
      </c>
      <c r="E526" s="199"/>
      <c r="F526" s="206">
        <v>318282</v>
      </c>
      <c r="G526" s="206">
        <v>31828</v>
      </c>
      <c r="H526" s="206">
        <v>1591</v>
      </c>
      <c r="I526" s="202">
        <f t="shared" si="8"/>
        <v>288045</v>
      </c>
      <c r="J526" s="205" t="s">
        <v>66</v>
      </c>
      <c r="K526" s="205" t="s">
        <v>23</v>
      </c>
      <c r="L526" s="199" t="s">
        <v>1042</v>
      </c>
      <c r="M526" s="205" t="s">
        <v>3371</v>
      </c>
      <c r="N526" s="201" t="s">
        <v>1030</v>
      </c>
      <c r="O526" s="205" t="s">
        <v>652</v>
      </c>
      <c r="P526" s="205" t="s">
        <v>652</v>
      </c>
      <c r="Q526" s="214" t="s">
        <v>688</v>
      </c>
      <c r="R526" s="214" t="s">
        <v>689</v>
      </c>
      <c r="S526" s="214" t="s">
        <v>3323</v>
      </c>
    </row>
    <row r="527" spans="1:24" s="205" customFormat="1" hidden="1" x14ac:dyDescent="0.2">
      <c r="A527" s="209" t="s">
        <v>3372</v>
      </c>
      <c r="B527" s="209" t="s">
        <v>3373</v>
      </c>
      <c r="C527" s="234" t="s">
        <v>3323</v>
      </c>
      <c r="D527" s="201" t="s">
        <v>152</v>
      </c>
      <c r="E527" s="201"/>
      <c r="F527" s="211">
        <v>1731642</v>
      </c>
      <c r="G527" s="211">
        <v>173164</v>
      </c>
      <c r="H527" s="211">
        <v>8658</v>
      </c>
      <c r="I527" s="202">
        <f t="shared" si="8"/>
        <v>1567136</v>
      </c>
      <c r="J527" s="209" t="s">
        <v>101</v>
      </c>
      <c r="K527" s="209" t="s">
        <v>23</v>
      </c>
      <c r="L527" s="201" t="s">
        <v>1028</v>
      </c>
      <c r="M527" s="209" t="s">
        <v>3374</v>
      </c>
      <c r="N527" s="201" t="s">
        <v>1030</v>
      </c>
      <c r="O527" s="209" t="s">
        <v>652</v>
      </c>
      <c r="P527" s="209" t="s">
        <v>652</v>
      </c>
      <c r="Q527" s="213" t="s">
        <v>3226</v>
      </c>
      <c r="R527" s="213" t="s">
        <v>3375</v>
      </c>
      <c r="S527" s="213" t="s">
        <v>3323</v>
      </c>
      <c r="T527" s="209"/>
    </row>
    <row r="528" spans="1:24" s="205" customFormat="1" hidden="1" x14ac:dyDescent="0.2">
      <c r="A528" s="209" t="s">
        <v>63</v>
      </c>
      <c r="B528" s="209" t="s">
        <v>555</v>
      </c>
      <c r="C528" s="234" t="s">
        <v>3323</v>
      </c>
      <c r="D528" s="201" t="s">
        <v>152</v>
      </c>
      <c r="E528" s="201"/>
      <c r="F528" s="211">
        <v>999917</v>
      </c>
      <c r="G528" s="211">
        <v>99992</v>
      </c>
      <c r="H528" s="211">
        <v>5000</v>
      </c>
      <c r="I528" s="202">
        <f t="shared" si="8"/>
        <v>904925</v>
      </c>
      <c r="J528" s="209" t="s">
        <v>22</v>
      </c>
      <c r="K528" s="209" t="s">
        <v>23</v>
      </c>
      <c r="L528" s="201" t="s">
        <v>1042</v>
      </c>
      <c r="M528" s="209" t="s">
        <v>3376</v>
      </c>
      <c r="N528" s="201" t="s">
        <v>1030</v>
      </c>
      <c r="O528" s="209" t="s">
        <v>652</v>
      </c>
      <c r="P528" s="209" t="s">
        <v>652</v>
      </c>
      <c r="Q528" s="213" t="s">
        <v>858</v>
      </c>
      <c r="R528" s="213" t="s">
        <v>859</v>
      </c>
      <c r="S528" s="213" t="s">
        <v>3323</v>
      </c>
      <c r="T528" s="209"/>
      <c r="U528" s="209"/>
      <c r="V528" s="209"/>
      <c r="W528" s="209"/>
      <c r="X528" s="209"/>
    </row>
    <row r="529" spans="1:24" s="205" customFormat="1" hidden="1" x14ac:dyDescent="0.2">
      <c r="A529" s="209" t="s">
        <v>63</v>
      </c>
      <c r="B529" s="209" t="s">
        <v>555</v>
      </c>
      <c r="C529" s="234" t="s">
        <v>3323</v>
      </c>
      <c r="D529" s="201" t="s">
        <v>152</v>
      </c>
      <c r="E529" s="201"/>
      <c r="F529" s="211">
        <v>71088</v>
      </c>
      <c r="G529" s="211">
        <v>7109</v>
      </c>
      <c r="H529" s="211">
        <v>355</v>
      </c>
      <c r="I529" s="202">
        <f t="shared" si="8"/>
        <v>64334</v>
      </c>
      <c r="J529" s="209" t="s">
        <v>22</v>
      </c>
      <c r="K529" s="209" t="s">
        <v>23</v>
      </c>
      <c r="L529" s="201" t="s">
        <v>1141</v>
      </c>
      <c r="M529" s="209" t="s">
        <v>3377</v>
      </c>
      <c r="N529" s="201" t="s">
        <v>1030</v>
      </c>
      <c r="O529" s="209" t="s">
        <v>652</v>
      </c>
      <c r="P529" s="209" t="s">
        <v>652</v>
      </c>
      <c r="Q529" s="213" t="s">
        <v>858</v>
      </c>
      <c r="R529" s="213" t="s">
        <v>859</v>
      </c>
      <c r="S529" s="213" t="s">
        <v>3323</v>
      </c>
      <c r="T529" s="209"/>
      <c r="U529" s="209"/>
      <c r="V529" s="209"/>
      <c r="W529" s="209"/>
      <c r="X529" s="209"/>
    </row>
    <row r="530" spans="1:24" s="205" customFormat="1" hidden="1" x14ac:dyDescent="0.2">
      <c r="A530" s="205" t="s">
        <v>325</v>
      </c>
      <c r="B530" s="205" t="s">
        <v>326</v>
      </c>
      <c r="C530" s="200" t="s">
        <v>3323</v>
      </c>
      <c r="D530" s="201" t="s">
        <v>152</v>
      </c>
      <c r="E530" s="201"/>
      <c r="F530" s="206">
        <v>12775</v>
      </c>
      <c r="G530" s="206">
        <v>0</v>
      </c>
      <c r="H530" s="206">
        <v>0</v>
      </c>
      <c r="I530" s="202">
        <f t="shared" si="8"/>
        <v>12775</v>
      </c>
      <c r="J530" s="205" t="s">
        <v>25</v>
      </c>
      <c r="K530" s="205" t="s">
        <v>214</v>
      </c>
      <c r="L530" s="201" t="s">
        <v>1042</v>
      </c>
      <c r="M530" s="205" t="s">
        <v>3378</v>
      </c>
      <c r="N530" s="201" t="s">
        <v>1393</v>
      </c>
      <c r="O530" s="205" t="s">
        <v>1190</v>
      </c>
      <c r="P530" s="205" t="s">
        <v>1191</v>
      </c>
      <c r="Q530" s="208" t="s">
        <v>669</v>
      </c>
      <c r="R530" s="208" t="s">
        <v>670</v>
      </c>
      <c r="S530" s="208" t="s">
        <v>3323</v>
      </c>
      <c r="U530" s="209"/>
      <c r="V530" s="209"/>
      <c r="W530" s="209"/>
      <c r="X530" s="209"/>
    </row>
    <row r="531" spans="1:24" s="205" customFormat="1" hidden="1" x14ac:dyDescent="0.2">
      <c r="A531" s="205" t="s">
        <v>148</v>
      </c>
      <c r="B531" s="205" t="s">
        <v>2804</v>
      </c>
      <c r="C531" s="200" t="s">
        <v>3323</v>
      </c>
      <c r="D531" s="201" t="s">
        <v>152</v>
      </c>
      <c r="E531" s="201"/>
      <c r="F531" s="206">
        <v>189002</v>
      </c>
      <c r="G531" s="206">
        <v>0</v>
      </c>
      <c r="H531" s="206">
        <v>0</v>
      </c>
      <c r="I531" s="202">
        <f t="shared" si="8"/>
        <v>189002</v>
      </c>
      <c r="J531" s="205" t="s">
        <v>25</v>
      </c>
      <c r="K531" s="205" t="s">
        <v>214</v>
      </c>
      <c r="L531" s="201" t="s">
        <v>1042</v>
      </c>
      <c r="M531" s="205" t="s">
        <v>3379</v>
      </c>
      <c r="N531" s="201" t="s">
        <v>652</v>
      </c>
      <c r="O531" s="205" t="s">
        <v>652</v>
      </c>
      <c r="P531" s="205" t="s">
        <v>652</v>
      </c>
      <c r="Q531" s="208" t="s">
        <v>2191</v>
      </c>
      <c r="R531" s="208" t="s">
        <v>2192</v>
      </c>
      <c r="S531" s="208" t="s">
        <v>3323</v>
      </c>
      <c r="U531" s="209"/>
      <c r="V531" s="209"/>
      <c r="W531" s="209"/>
      <c r="X531" s="209"/>
    </row>
    <row r="532" spans="1:24" s="205" customFormat="1" hidden="1" x14ac:dyDescent="0.2">
      <c r="A532" s="205" t="s">
        <v>26</v>
      </c>
      <c r="B532" s="205" t="s">
        <v>3380</v>
      </c>
      <c r="C532" s="200" t="s">
        <v>3323</v>
      </c>
      <c r="D532" s="201" t="s">
        <v>152</v>
      </c>
      <c r="E532" s="201"/>
      <c r="F532" s="206">
        <v>607380</v>
      </c>
      <c r="G532" s="206">
        <v>0</v>
      </c>
      <c r="H532" s="206">
        <v>0</v>
      </c>
      <c r="I532" s="202">
        <f t="shared" si="8"/>
        <v>607380</v>
      </c>
      <c r="J532" s="205" t="s">
        <v>25</v>
      </c>
      <c r="K532" s="205" t="s">
        <v>214</v>
      </c>
      <c r="L532" s="201" t="s">
        <v>1042</v>
      </c>
      <c r="M532" s="205" t="s">
        <v>3381</v>
      </c>
      <c r="N532" s="201" t="s">
        <v>1030</v>
      </c>
      <c r="O532" s="205" t="s">
        <v>652</v>
      </c>
      <c r="P532" s="205" t="s">
        <v>652</v>
      </c>
      <c r="Q532" s="208" t="s">
        <v>893</v>
      </c>
      <c r="R532" s="208" t="s">
        <v>894</v>
      </c>
      <c r="S532" s="208" t="s">
        <v>3323</v>
      </c>
      <c r="U532" s="209"/>
      <c r="V532" s="209"/>
      <c r="W532" s="209"/>
      <c r="X532" s="209"/>
    </row>
    <row r="533" spans="1:24" s="205" customFormat="1" hidden="1" x14ac:dyDescent="0.2">
      <c r="A533" s="205" t="s">
        <v>161</v>
      </c>
      <c r="B533" s="205" t="s">
        <v>611</v>
      </c>
      <c r="C533" s="200" t="s">
        <v>3323</v>
      </c>
      <c r="D533" s="201" t="s">
        <v>166</v>
      </c>
      <c r="E533" s="201"/>
      <c r="F533" s="206">
        <v>-8203</v>
      </c>
      <c r="G533" s="206">
        <v>0</v>
      </c>
      <c r="H533" s="206">
        <v>0</v>
      </c>
      <c r="I533" s="202">
        <f t="shared" si="8"/>
        <v>-8203</v>
      </c>
      <c r="J533" s="205" t="s">
        <v>25</v>
      </c>
      <c r="K533" s="205" t="s">
        <v>214</v>
      </c>
      <c r="L533" s="201" t="s">
        <v>1151</v>
      </c>
      <c r="M533" s="205" t="s">
        <v>3382</v>
      </c>
      <c r="N533" s="201" t="s">
        <v>1030</v>
      </c>
      <c r="O533" s="205" t="s">
        <v>652</v>
      </c>
      <c r="P533" s="205" t="s">
        <v>652</v>
      </c>
      <c r="Q533" s="208" t="s">
        <v>653</v>
      </c>
      <c r="R533" s="208" t="s">
        <v>654</v>
      </c>
      <c r="S533" s="208" t="s">
        <v>3323</v>
      </c>
      <c r="U533" s="209"/>
      <c r="V533" s="209"/>
      <c r="W533" s="209"/>
      <c r="X533" s="209"/>
    </row>
    <row r="534" spans="1:24" s="205" customFormat="1" hidden="1" x14ac:dyDescent="0.2">
      <c r="A534" s="205" t="s">
        <v>161</v>
      </c>
      <c r="B534" s="205" t="s">
        <v>611</v>
      </c>
      <c r="C534" s="200" t="s">
        <v>3323</v>
      </c>
      <c r="D534" s="201" t="s">
        <v>166</v>
      </c>
      <c r="E534" s="201"/>
      <c r="F534" s="206">
        <v>-9134</v>
      </c>
      <c r="G534" s="206">
        <v>0</v>
      </c>
      <c r="H534" s="206">
        <v>0</v>
      </c>
      <c r="I534" s="202">
        <f t="shared" si="8"/>
        <v>-9134</v>
      </c>
      <c r="J534" s="205" t="s">
        <v>25</v>
      </c>
      <c r="K534" s="205" t="s">
        <v>214</v>
      </c>
      <c r="L534" s="201" t="s">
        <v>1151</v>
      </c>
      <c r="M534" s="205" t="s">
        <v>3383</v>
      </c>
      <c r="N534" s="201" t="s">
        <v>1030</v>
      </c>
      <c r="O534" s="205" t="s">
        <v>652</v>
      </c>
      <c r="P534" s="205" t="s">
        <v>652</v>
      </c>
      <c r="Q534" s="216" t="s">
        <v>653</v>
      </c>
      <c r="R534" s="216" t="s">
        <v>654</v>
      </c>
      <c r="S534" s="216" t="s">
        <v>3323</v>
      </c>
      <c r="U534" s="209"/>
      <c r="V534" s="209"/>
      <c r="W534" s="209"/>
      <c r="X534" s="209"/>
    </row>
    <row r="535" spans="1:24" s="205" customFormat="1" hidden="1" x14ac:dyDescent="0.2">
      <c r="A535" s="205" t="s">
        <v>1298</v>
      </c>
      <c r="B535" s="205" t="s">
        <v>1299</v>
      </c>
      <c r="C535" s="200" t="s">
        <v>3323</v>
      </c>
      <c r="D535" s="199" t="s">
        <v>152</v>
      </c>
      <c r="E535" s="199"/>
      <c r="F535" s="206">
        <v>140807</v>
      </c>
      <c r="G535" s="206">
        <v>0</v>
      </c>
      <c r="H535" s="206">
        <v>0</v>
      </c>
      <c r="I535" s="202">
        <f t="shared" si="8"/>
        <v>140807</v>
      </c>
      <c r="J535" s="205" t="s">
        <v>25</v>
      </c>
      <c r="K535" s="205" t="s">
        <v>214</v>
      </c>
      <c r="L535" s="199" t="s">
        <v>1042</v>
      </c>
      <c r="M535" s="205" t="s">
        <v>3384</v>
      </c>
      <c r="N535" s="201" t="s">
        <v>1301</v>
      </c>
      <c r="O535" s="205" t="s">
        <v>1302</v>
      </c>
      <c r="P535" s="205" t="s">
        <v>1066</v>
      </c>
      <c r="Q535" s="208" t="s">
        <v>866</v>
      </c>
      <c r="R535" s="208" t="s">
        <v>986</v>
      </c>
      <c r="S535" s="208" t="s">
        <v>3323</v>
      </c>
      <c r="U535" s="209"/>
      <c r="V535" s="209"/>
      <c r="W535" s="209"/>
      <c r="X535" s="209"/>
    </row>
    <row r="536" spans="1:24" s="205" customFormat="1" hidden="1" x14ac:dyDescent="0.2">
      <c r="A536" s="209" t="s">
        <v>155</v>
      </c>
      <c r="B536" s="209" t="s">
        <v>547</v>
      </c>
      <c r="C536" s="234" t="s">
        <v>3323</v>
      </c>
      <c r="D536" s="201" t="s">
        <v>152</v>
      </c>
      <c r="E536" s="201"/>
      <c r="F536" s="211">
        <v>20415</v>
      </c>
      <c r="G536" s="206">
        <v>0</v>
      </c>
      <c r="H536" s="206">
        <v>0</v>
      </c>
      <c r="I536" s="202">
        <f t="shared" si="8"/>
        <v>20415</v>
      </c>
      <c r="J536" s="209" t="s">
        <v>25</v>
      </c>
      <c r="K536" s="209" t="s">
        <v>214</v>
      </c>
      <c r="L536" s="201" t="s">
        <v>1151</v>
      </c>
      <c r="M536" s="209" t="s">
        <v>3385</v>
      </c>
      <c r="N536" s="201" t="s">
        <v>1030</v>
      </c>
      <c r="O536" s="209" t="s">
        <v>652</v>
      </c>
      <c r="P536" s="209" t="s">
        <v>652</v>
      </c>
      <c r="Q536" s="213" t="s">
        <v>801</v>
      </c>
      <c r="R536" s="213" t="s">
        <v>802</v>
      </c>
      <c r="S536" s="213" t="s">
        <v>3323</v>
      </c>
      <c r="T536" s="209"/>
      <c r="U536" s="209"/>
      <c r="V536" s="209"/>
      <c r="W536" s="209"/>
      <c r="X536" s="209"/>
    </row>
    <row r="537" spans="1:24" s="205" customFormat="1" hidden="1" x14ac:dyDescent="0.2">
      <c r="A537" s="205" t="s">
        <v>183</v>
      </c>
      <c r="B537" s="205" t="s">
        <v>298</v>
      </c>
      <c r="C537" s="200" t="s">
        <v>850</v>
      </c>
      <c r="D537" s="201" t="s">
        <v>166</v>
      </c>
      <c r="E537" s="201"/>
      <c r="F537" s="206">
        <v>-242404</v>
      </c>
      <c r="G537" s="206">
        <v>-24240</v>
      </c>
      <c r="H537" s="206">
        <v>-2424</v>
      </c>
      <c r="I537" s="202">
        <f t="shared" si="8"/>
        <v>-220588</v>
      </c>
      <c r="J537" s="205" t="s">
        <v>31</v>
      </c>
      <c r="K537" s="205" t="s">
        <v>29</v>
      </c>
      <c r="L537" s="201" t="s">
        <v>1068</v>
      </c>
      <c r="M537" s="205" t="s">
        <v>3386</v>
      </c>
      <c r="N537" s="201" t="s">
        <v>1030</v>
      </c>
      <c r="O537" s="205" t="s">
        <v>652</v>
      </c>
      <c r="P537" s="205" t="s">
        <v>652</v>
      </c>
      <c r="Q537" s="208" t="s">
        <v>724</v>
      </c>
      <c r="R537" s="208" t="s">
        <v>725</v>
      </c>
      <c r="S537" s="208" t="s">
        <v>850</v>
      </c>
    </row>
    <row r="538" spans="1:24" s="205" customFormat="1" hidden="1" x14ac:dyDescent="0.2">
      <c r="A538" s="205" t="s">
        <v>124</v>
      </c>
      <c r="B538" s="205" t="s">
        <v>402</v>
      </c>
      <c r="C538" s="200" t="s">
        <v>850</v>
      </c>
      <c r="D538" s="201" t="s">
        <v>152</v>
      </c>
      <c r="E538" s="201"/>
      <c r="F538" s="206">
        <v>36234</v>
      </c>
      <c r="G538" s="206">
        <v>3623</v>
      </c>
      <c r="H538" s="206">
        <v>362</v>
      </c>
      <c r="I538" s="202">
        <f t="shared" si="8"/>
        <v>32973</v>
      </c>
      <c r="J538" s="205" t="s">
        <v>235</v>
      </c>
      <c r="K538" s="205" t="s">
        <v>29</v>
      </c>
      <c r="L538" s="201" t="s">
        <v>1042</v>
      </c>
      <c r="M538" s="205" t="s">
        <v>3387</v>
      </c>
      <c r="N538" s="201" t="s">
        <v>1030</v>
      </c>
      <c r="O538" s="205" t="s">
        <v>652</v>
      </c>
      <c r="P538" s="205" t="s">
        <v>652</v>
      </c>
      <c r="Q538" s="208" t="s">
        <v>701</v>
      </c>
      <c r="R538" s="208" t="s">
        <v>702</v>
      </c>
      <c r="S538" s="208" t="s">
        <v>850</v>
      </c>
    </row>
    <row r="539" spans="1:24" s="205" customFormat="1" hidden="1" x14ac:dyDescent="0.2">
      <c r="A539" s="205" t="s">
        <v>332</v>
      </c>
      <c r="B539" s="205" t="s">
        <v>645</v>
      </c>
      <c r="C539" s="200" t="s">
        <v>850</v>
      </c>
      <c r="D539" s="199" t="s">
        <v>152</v>
      </c>
      <c r="E539" s="199"/>
      <c r="F539" s="206">
        <v>106185</v>
      </c>
      <c r="G539" s="206">
        <v>10619</v>
      </c>
      <c r="H539" s="206">
        <v>1062</v>
      </c>
      <c r="I539" s="202">
        <f t="shared" si="8"/>
        <v>96628</v>
      </c>
      <c r="J539" s="205" t="s">
        <v>109</v>
      </c>
      <c r="K539" s="205" t="s">
        <v>29</v>
      </c>
      <c r="L539" s="199" t="s">
        <v>1042</v>
      </c>
      <c r="M539" s="205" t="s">
        <v>3388</v>
      </c>
      <c r="N539" s="201" t="s">
        <v>1030</v>
      </c>
      <c r="O539" s="205" t="s">
        <v>652</v>
      </c>
      <c r="P539" s="205" t="s">
        <v>652</v>
      </c>
      <c r="Q539" s="208" t="s">
        <v>808</v>
      </c>
      <c r="R539" s="208" t="s">
        <v>809</v>
      </c>
      <c r="S539" s="208" t="s">
        <v>850</v>
      </c>
    </row>
    <row r="540" spans="1:24" s="205" customFormat="1" hidden="1" x14ac:dyDescent="0.2">
      <c r="A540" s="205" t="s">
        <v>3389</v>
      </c>
      <c r="B540" s="205" t="s">
        <v>3390</v>
      </c>
      <c r="C540" s="200" t="s">
        <v>850</v>
      </c>
      <c r="D540" s="199" t="s">
        <v>152</v>
      </c>
      <c r="E540" s="199"/>
      <c r="F540" s="206">
        <v>166415</v>
      </c>
      <c r="G540" s="206">
        <v>16642</v>
      </c>
      <c r="H540" s="206">
        <v>1664</v>
      </c>
      <c r="I540" s="202">
        <f t="shared" si="8"/>
        <v>151437</v>
      </c>
      <c r="J540" s="205" t="s">
        <v>3391</v>
      </c>
      <c r="K540" s="205" t="s">
        <v>29</v>
      </c>
      <c r="L540" s="199" t="s">
        <v>1028</v>
      </c>
      <c r="M540" s="205" t="s">
        <v>3392</v>
      </c>
      <c r="N540" s="201" t="s">
        <v>1030</v>
      </c>
      <c r="O540" s="205" t="s">
        <v>652</v>
      </c>
      <c r="P540" s="205" t="s">
        <v>652</v>
      </c>
      <c r="Q540" s="208" t="s">
        <v>651</v>
      </c>
      <c r="R540" s="208" t="s">
        <v>673</v>
      </c>
      <c r="S540" s="208" t="s">
        <v>850</v>
      </c>
    </row>
    <row r="541" spans="1:24" s="205" customFormat="1" hidden="1" x14ac:dyDescent="0.2">
      <c r="A541" s="205" t="s">
        <v>3393</v>
      </c>
      <c r="B541" s="205" t="s">
        <v>3394</v>
      </c>
      <c r="C541" s="200" t="s">
        <v>850</v>
      </c>
      <c r="D541" s="199" t="s">
        <v>152</v>
      </c>
      <c r="E541" s="199"/>
      <c r="F541" s="206">
        <v>68648</v>
      </c>
      <c r="G541" s="206">
        <v>6865</v>
      </c>
      <c r="H541" s="206">
        <v>687</v>
      </c>
      <c r="I541" s="202">
        <f t="shared" si="8"/>
        <v>62470</v>
      </c>
      <c r="J541" s="205" t="s">
        <v>935</v>
      </c>
      <c r="K541" s="205" t="s">
        <v>29</v>
      </c>
      <c r="L541" s="199" t="s">
        <v>1028</v>
      </c>
      <c r="M541" s="205" t="s">
        <v>3395</v>
      </c>
      <c r="N541" s="201" t="s">
        <v>1030</v>
      </c>
      <c r="O541" s="205" t="s">
        <v>652</v>
      </c>
      <c r="P541" s="205" t="s">
        <v>652</v>
      </c>
      <c r="Q541" s="208" t="s">
        <v>1980</v>
      </c>
      <c r="R541" s="208" t="s">
        <v>2046</v>
      </c>
      <c r="S541" s="208" t="s">
        <v>850</v>
      </c>
    </row>
    <row r="542" spans="1:24" s="205" customFormat="1" hidden="1" x14ac:dyDescent="0.2">
      <c r="A542" s="205" t="s">
        <v>144</v>
      </c>
      <c r="B542" s="205" t="s">
        <v>3396</v>
      </c>
      <c r="C542" s="200" t="s">
        <v>850</v>
      </c>
      <c r="D542" s="199" t="s">
        <v>152</v>
      </c>
      <c r="E542" s="199"/>
      <c r="F542" s="206">
        <v>7178112</v>
      </c>
      <c r="G542" s="206">
        <v>717811</v>
      </c>
      <c r="H542" s="206">
        <v>71781</v>
      </c>
      <c r="I542" s="202">
        <f t="shared" si="8"/>
        <v>6532082</v>
      </c>
      <c r="J542" s="205" t="s">
        <v>40</v>
      </c>
      <c r="K542" s="205" t="s">
        <v>29</v>
      </c>
      <c r="L542" s="199" t="s">
        <v>1028</v>
      </c>
      <c r="M542" s="205" t="s">
        <v>3397</v>
      </c>
      <c r="N542" s="201" t="s">
        <v>1030</v>
      </c>
      <c r="O542" s="205" t="s">
        <v>652</v>
      </c>
      <c r="P542" s="205" t="s">
        <v>652</v>
      </c>
      <c r="Q542" s="208" t="s">
        <v>2467</v>
      </c>
      <c r="R542" s="208" t="s">
        <v>2468</v>
      </c>
      <c r="S542" s="208" t="s">
        <v>850</v>
      </c>
    </row>
    <row r="543" spans="1:24" s="205" customFormat="1" hidden="1" x14ac:dyDescent="0.2">
      <c r="A543" s="209" t="s">
        <v>1271</v>
      </c>
      <c r="B543" s="209" t="s">
        <v>1272</v>
      </c>
      <c r="C543" s="210" t="s">
        <v>850</v>
      </c>
      <c r="D543" s="201" t="s">
        <v>152</v>
      </c>
      <c r="E543" s="201"/>
      <c r="F543" s="211">
        <v>23</v>
      </c>
      <c r="G543" s="211">
        <v>2</v>
      </c>
      <c r="H543" s="211">
        <v>0</v>
      </c>
      <c r="I543" s="202">
        <f t="shared" si="8"/>
        <v>21</v>
      </c>
      <c r="J543" s="209" t="s">
        <v>22</v>
      </c>
      <c r="K543" s="209" t="s">
        <v>23</v>
      </c>
      <c r="L543" s="201" t="s">
        <v>1151</v>
      </c>
      <c r="M543" s="209" t="s">
        <v>3398</v>
      </c>
      <c r="N543" s="201" t="s">
        <v>1030</v>
      </c>
      <c r="O543" s="209" t="s">
        <v>1274</v>
      </c>
      <c r="P543" s="209" t="s">
        <v>1111</v>
      </c>
      <c r="Q543" s="213" t="s">
        <v>987</v>
      </c>
      <c r="R543" s="213" t="s">
        <v>988</v>
      </c>
      <c r="S543" s="213" t="s">
        <v>850</v>
      </c>
    </row>
    <row r="544" spans="1:24" s="205" customFormat="1" hidden="1" x14ac:dyDescent="0.2">
      <c r="A544" s="205" t="s">
        <v>417</v>
      </c>
      <c r="B544" s="205" t="s">
        <v>3399</v>
      </c>
      <c r="C544" s="200" t="s">
        <v>850</v>
      </c>
      <c r="D544" s="201" t="s">
        <v>152</v>
      </c>
      <c r="E544" s="201"/>
      <c r="F544" s="206">
        <v>1673547</v>
      </c>
      <c r="G544" s="206">
        <v>167355</v>
      </c>
      <c r="H544" s="206">
        <v>8368</v>
      </c>
      <c r="I544" s="202">
        <f t="shared" si="8"/>
        <v>1514560</v>
      </c>
      <c r="J544" s="205" t="s">
        <v>54</v>
      </c>
      <c r="K544" s="205" t="s">
        <v>23</v>
      </c>
      <c r="L544" s="201" t="s">
        <v>1028</v>
      </c>
      <c r="M544" s="205" t="s">
        <v>3400</v>
      </c>
      <c r="N544" s="201" t="s">
        <v>1030</v>
      </c>
      <c r="O544" s="205" t="s">
        <v>652</v>
      </c>
      <c r="P544" s="205" t="s">
        <v>652</v>
      </c>
      <c r="Q544" s="208" t="s">
        <v>3226</v>
      </c>
      <c r="R544" s="208" t="s">
        <v>3375</v>
      </c>
      <c r="S544" s="208" t="s">
        <v>850</v>
      </c>
    </row>
    <row r="545" spans="1:19" s="205" customFormat="1" hidden="1" x14ac:dyDescent="0.2">
      <c r="A545" s="205" t="s">
        <v>537</v>
      </c>
      <c r="B545" s="205" t="s">
        <v>538</v>
      </c>
      <c r="C545" s="200" t="s">
        <v>850</v>
      </c>
      <c r="D545" s="201" t="s">
        <v>152</v>
      </c>
      <c r="E545" s="201"/>
      <c r="F545" s="206">
        <v>10380</v>
      </c>
      <c r="G545" s="206">
        <v>1038</v>
      </c>
      <c r="H545" s="206">
        <v>52</v>
      </c>
      <c r="I545" s="202">
        <f t="shared" si="8"/>
        <v>9394</v>
      </c>
      <c r="J545" s="205" t="s">
        <v>344</v>
      </c>
      <c r="K545" s="205" t="s">
        <v>23</v>
      </c>
      <c r="L545" s="201" t="s">
        <v>1042</v>
      </c>
      <c r="M545" s="205" t="s">
        <v>3401</v>
      </c>
      <c r="N545" s="201" t="s">
        <v>1030</v>
      </c>
      <c r="O545" s="205" t="s">
        <v>1065</v>
      </c>
      <c r="P545" s="205" t="s">
        <v>1066</v>
      </c>
      <c r="Q545" s="208" t="s">
        <v>688</v>
      </c>
      <c r="R545" s="208" t="s">
        <v>689</v>
      </c>
      <c r="S545" s="208" t="s">
        <v>850</v>
      </c>
    </row>
    <row r="546" spans="1:19" s="205" customFormat="1" hidden="1" x14ac:dyDescent="0.2">
      <c r="A546" s="205" t="s">
        <v>91</v>
      </c>
      <c r="B546" s="205" t="s">
        <v>396</v>
      </c>
      <c r="C546" s="200" t="s">
        <v>850</v>
      </c>
      <c r="D546" s="201" t="s">
        <v>152</v>
      </c>
      <c r="E546" s="201"/>
      <c r="F546" s="206">
        <v>25985</v>
      </c>
      <c r="G546" s="206">
        <v>2599</v>
      </c>
      <c r="H546" s="206">
        <v>130</v>
      </c>
      <c r="I546" s="202">
        <f t="shared" si="8"/>
        <v>23516</v>
      </c>
      <c r="J546" s="205" t="s">
        <v>92</v>
      </c>
      <c r="K546" s="205" t="s">
        <v>23</v>
      </c>
      <c r="L546" s="201" t="s">
        <v>1042</v>
      </c>
      <c r="M546" s="205" t="s">
        <v>3402</v>
      </c>
      <c r="N546" s="201" t="s">
        <v>1030</v>
      </c>
      <c r="O546" s="205" t="s">
        <v>652</v>
      </c>
      <c r="P546" s="205" t="s">
        <v>652</v>
      </c>
      <c r="Q546" s="208" t="s">
        <v>716</v>
      </c>
      <c r="R546" s="208" t="s">
        <v>717</v>
      </c>
      <c r="S546" s="208" t="s">
        <v>850</v>
      </c>
    </row>
    <row r="547" spans="1:19" s="205" customFormat="1" hidden="1" x14ac:dyDescent="0.2">
      <c r="A547" s="205" t="s">
        <v>244</v>
      </c>
      <c r="B547" s="205" t="s">
        <v>3403</v>
      </c>
      <c r="C547" s="200" t="s">
        <v>850</v>
      </c>
      <c r="D547" s="201" t="s">
        <v>152</v>
      </c>
      <c r="E547" s="201"/>
      <c r="F547" s="206">
        <v>112587</v>
      </c>
      <c r="G547" s="206">
        <v>11259</v>
      </c>
      <c r="H547" s="206">
        <v>563</v>
      </c>
      <c r="I547" s="202">
        <f t="shared" si="8"/>
        <v>101891</v>
      </c>
      <c r="J547" s="205" t="s">
        <v>38</v>
      </c>
      <c r="K547" s="205" t="s">
        <v>23</v>
      </c>
      <c r="L547" s="201" t="s">
        <v>1028</v>
      </c>
      <c r="M547" s="205" t="s">
        <v>3404</v>
      </c>
      <c r="N547" s="201" t="s">
        <v>1030</v>
      </c>
      <c r="O547" s="205" t="s">
        <v>652</v>
      </c>
      <c r="P547" s="205" t="s">
        <v>652</v>
      </c>
      <c r="Q547" s="208" t="s">
        <v>2191</v>
      </c>
      <c r="R547" s="208" t="s">
        <v>2192</v>
      </c>
      <c r="S547" s="208" t="s">
        <v>850</v>
      </c>
    </row>
    <row r="548" spans="1:19" s="205" customFormat="1" hidden="1" x14ac:dyDescent="0.2">
      <c r="A548" s="205" t="s">
        <v>245</v>
      </c>
      <c r="B548" s="205" t="s">
        <v>3405</v>
      </c>
      <c r="C548" s="200" t="s">
        <v>850</v>
      </c>
      <c r="D548" s="201" t="s">
        <v>152</v>
      </c>
      <c r="E548" s="201"/>
      <c r="F548" s="206">
        <v>31332</v>
      </c>
      <c r="G548" s="206">
        <v>3133</v>
      </c>
      <c r="H548" s="206">
        <v>157</v>
      </c>
      <c r="I548" s="202">
        <f t="shared" si="8"/>
        <v>28356</v>
      </c>
      <c r="J548" s="205" t="s">
        <v>489</v>
      </c>
      <c r="K548" s="205" t="s">
        <v>23</v>
      </c>
      <c r="L548" s="201" t="s">
        <v>1042</v>
      </c>
      <c r="M548" s="205" t="s">
        <v>3406</v>
      </c>
      <c r="N548" s="201" t="s">
        <v>1030</v>
      </c>
      <c r="O548" s="205" t="s">
        <v>652</v>
      </c>
      <c r="P548" s="205" t="s">
        <v>652</v>
      </c>
      <c r="Q548" s="208" t="s">
        <v>663</v>
      </c>
      <c r="R548" s="208" t="s">
        <v>723</v>
      </c>
      <c r="S548" s="208" t="s">
        <v>850</v>
      </c>
    </row>
    <row r="549" spans="1:19" s="205" customFormat="1" hidden="1" x14ac:dyDescent="0.2">
      <c r="A549" s="205" t="s">
        <v>245</v>
      </c>
      <c r="B549" s="205" t="s">
        <v>3407</v>
      </c>
      <c r="C549" s="200" t="s">
        <v>850</v>
      </c>
      <c r="D549" s="201" t="s">
        <v>152</v>
      </c>
      <c r="E549" s="201"/>
      <c r="F549" s="206">
        <v>22716</v>
      </c>
      <c r="G549" s="206">
        <v>2272</v>
      </c>
      <c r="H549" s="206">
        <v>114</v>
      </c>
      <c r="I549" s="202">
        <f t="shared" si="8"/>
        <v>20558</v>
      </c>
      <c r="J549" s="205" t="s">
        <v>489</v>
      </c>
      <c r="K549" s="205" t="s">
        <v>23</v>
      </c>
      <c r="L549" s="201" t="s">
        <v>1042</v>
      </c>
      <c r="M549" s="205" t="s">
        <v>3408</v>
      </c>
      <c r="N549" s="201" t="s">
        <v>1030</v>
      </c>
      <c r="O549" s="205" t="s">
        <v>652</v>
      </c>
      <c r="P549" s="205" t="s">
        <v>652</v>
      </c>
      <c r="Q549" s="208" t="s">
        <v>663</v>
      </c>
      <c r="R549" s="208" t="s">
        <v>723</v>
      </c>
      <c r="S549" s="208" t="s">
        <v>850</v>
      </c>
    </row>
    <row r="550" spans="1:19" s="205" customFormat="1" hidden="1" x14ac:dyDescent="0.2">
      <c r="A550" s="205" t="s">
        <v>245</v>
      </c>
      <c r="B550" s="205" t="s">
        <v>3409</v>
      </c>
      <c r="C550" s="200" t="s">
        <v>850</v>
      </c>
      <c r="D550" s="201" t="s">
        <v>152</v>
      </c>
      <c r="E550" s="201"/>
      <c r="F550" s="206">
        <v>31332</v>
      </c>
      <c r="G550" s="206">
        <v>3133</v>
      </c>
      <c r="H550" s="206">
        <v>157</v>
      </c>
      <c r="I550" s="202">
        <f t="shared" si="8"/>
        <v>28356</v>
      </c>
      <c r="J550" s="205" t="s">
        <v>489</v>
      </c>
      <c r="K550" s="205" t="s">
        <v>23</v>
      </c>
      <c r="L550" s="201" t="s">
        <v>1042</v>
      </c>
      <c r="M550" s="205" t="s">
        <v>3410</v>
      </c>
      <c r="N550" s="201" t="s">
        <v>1030</v>
      </c>
      <c r="O550" s="205" t="s">
        <v>652</v>
      </c>
      <c r="P550" s="205" t="s">
        <v>652</v>
      </c>
      <c r="Q550" s="208" t="s">
        <v>663</v>
      </c>
      <c r="R550" s="208" t="s">
        <v>723</v>
      </c>
      <c r="S550" s="208" t="s">
        <v>850</v>
      </c>
    </row>
    <row r="551" spans="1:19" s="205" customFormat="1" hidden="1" x14ac:dyDescent="0.2">
      <c r="A551" s="205" t="s">
        <v>245</v>
      </c>
      <c r="B551" s="205" t="s">
        <v>3411</v>
      </c>
      <c r="C551" s="200" t="s">
        <v>850</v>
      </c>
      <c r="D551" s="201" t="s">
        <v>152</v>
      </c>
      <c r="E551" s="201"/>
      <c r="F551" s="206">
        <v>31332</v>
      </c>
      <c r="G551" s="206">
        <v>3133</v>
      </c>
      <c r="H551" s="206">
        <v>157</v>
      </c>
      <c r="I551" s="202">
        <f t="shared" si="8"/>
        <v>28356</v>
      </c>
      <c r="J551" s="205" t="s">
        <v>489</v>
      </c>
      <c r="K551" s="205" t="s">
        <v>23</v>
      </c>
      <c r="L551" s="201" t="s">
        <v>1042</v>
      </c>
      <c r="M551" s="205" t="s">
        <v>3412</v>
      </c>
      <c r="N551" s="201" t="s">
        <v>1030</v>
      </c>
      <c r="O551" s="205" t="s">
        <v>652</v>
      </c>
      <c r="P551" s="205" t="s">
        <v>652</v>
      </c>
      <c r="Q551" s="208" t="s">
        <v>663</v>
      </c>
      <c r="R551" s="208" t="s">
        <v>723</v>
      </c>
      <c r="S551" s="208" t="s">
        <v>850</v>
      </c>
    </row>
    <row r="552" spans="1:19" s="205" customFormat="1" hidden="1" x14ac:dyDescent="0.2">
      <c r="A552" s="205" t="s">
        <v>245</v>
      </c>
      <c r="B552" s="205" t="s">
        <v>3413</v>
      </c>
      <c r="C552" s="200" t="s">
        <v>850</v>
      </c>
      <c r="D552" s="201" t="s">
        <v>152</v>
      </c>
      <c r="E552" s="201"/>
      <c r="F552" s="206">
        <v>38001</v>
      </c>
      <c r="G552" s="206">
        <v>3800</v>
      </c>
      <c r="H552" s="206">
        <v>190</v>
      </c>
      <c r="I552" s="202">
        <f t="shared" si="8"/>
        <v>34391</v>
      </c>
      <c r="J552" s="205" t="s">
        <v>489</v>
      </c>
      <c r="K552" s="205" t="s">
        <v>23</v>
      </c>
      <c r="L552" s="201" t="s">
        <v>1042</v>
      </c>
      <c r="M552" s="205" t="s">
        <v>3414</v>
      </c>
      <c r="N552" s="201" t="s">
        <v>1030</v>
      </c>
      <c r="O552" s="205" t="s">
        <v>652</v>
      </c>
      <c r="P552" s="205" t="s">
        <v>652</v>
      </c>
      <c r="Q552" s="208" t="s">
        <v>663</v>
      </c>
      <c r="R552" s="208" t="s">
        <v>723</v>
      </c>
      <c r="S552" s="208" t="s">
        <v>850</v>
      </c>
    </row>
    <row r="553" spans="1:19" s="205" customFormat="1" hidden="1" x14ac:dyDescent="0.2">
      <c r="A553" s="205" t="s">
        <v>245</v>
      </c>
      <c r="B553" s="205" t="s">
        <v>3415</v>
      </c>
      <c r="C553" s="200" t="s">
        <v>850</v>
      </c>
      <c r="D553" s="201" t="s">
        <v>152</v>
      </c>
      <c r="E553" s="201"/>
      <c r="F553" s="206">
        <v>44011</v>
      </c>
      <c r="G553" s="206">
        <v>4401</v>
      </c>
      <c r="H553" s="206">
        <v>220</v>
      </c>
      <c r="I553" s="202">
        <f t="shared" si="8"/>
        <v>39830</v>
      </c>
      <c r="J553" s="205" t="s">
        <v>489</v>
      </c>
      <c r="K553" s="205" t="s">
        <v>23</v>
      </c>
      <c r="L553" s="201" t="s">
        <v>1042</v>
      </c>
      <c r="M553" s="205" t="s">
        <v>3416</v>
      </c>
      <c r="N553" s="201" t="s">
        <v>1030</v>
      </c>
      <c r="O553" s="205" t="s">
        <v>652</v>
      </c>
      <c r="P553" s="205" t="s">
        <v>652</v>
      </c>
      <c r="Q553" s="208" t="s">
        <v>663</v>
      </c>
      <c r="R553" s="208" t="s">
        <v>723</v>
      </c>
      <c r="S553" s="208" t="s">
        <v>850</v>
      </c>
    </row>
    <row r="554" spans="1:19" s="205" customFormat="1" hidden="1" x14ac:dyDescent="0.2">
      <c r="A554" s="205" t="s">
        <v>245</v>
      </c>
      <c r="B554" s="205" t="s">
        <v>3417</v>
      </c>
      <c r="C554" s="200" t="s">
        <v>850</v>
      </c>
      <c r="D554" s="201" t="s">
        <v>152</v>
      </c>
      <c r="E554" s="201"/>
      <c r="F554" s="206">
        <v>31332</v>
      </c>
      <c r="G554" s="206">
        <v>3133</v>
      </c>
      <c r="H554" s="206">
        <v>157</v>
      </c>
      <c r="I554" s="202">
        <f t="shared" si="8"/>
        <v>28356</v>
      </c>
      <c r="J554" s="205" t="s">
        <v>489</v>
      </c>
      <c r="K554" s="205" t="s">
        <v>23</v>
      </c>
      <c r="L554" s="201" t="s">
        <v>1042</v>
      </c>
      <c r="M554" s="205" t="s">
        <v>3418</v>
      </c>
      <c r="N554" s="201" t="s">
        <v>1030</v>
      </c>
      <c r="O554" s="205" t="s">
        <v>652</v>
      </c>
      <c r="P554" s="205" t="s">
        <v>652</v>
      </c>
      <c r="Q554" s="208" t="s">
        <v>663</v>
      </c>
      <c r="R554" s="208" t="s">
        <v>723</v>
      </c>
      <c r="S554" s="208" t="s">
        <v>850</v>
      </c>
    </row>
    <row r="555" spans="1:19" s="205" customFormat="1" hidden="1" x14ac:dyDescent="0.2">
      <c r="A555" s="205" t="s">
        <v>245</v>
      </c>
      <c r="B555" s="205" t="s">
        <v>3419</v>
      </c>
      <c r="C555" s="200" t="s">
        <v>850</v>
      </c>
      <c r="D555" s="201" t="s">
        <v>152</v>
      </c>
      <c r="E555" s="201"/>
      <c r="F555" s="206">
        <v>31332</v>
      </c>
      <c r="G555" s="206">
        <v>3133</v>
      </c>
      <c r="H555" s="206">
        <v>157</v>
      </c>
      <c r="I555" s="202">
        <f t="shared" si="8"/>
        <v>28356</v>
      </c>
      <c r="J555" s="205" t="s">
        <v>489</v>
      </c>
      <c r="K555" s="205" t="s">
        <v>23</v>
      </c>
      <c r="L555" s="201" t="s">
        <v>1042</v>
      </c>
      <c r="M555" s="205" t="s">
        <v>3420</v>
      </c>
      <c r="N555" s="201" t="s">
        <v>1030</v>
      </c>
      <c r="O555" s="205" t="s">
        <v>652</v>
      </c>
      <c r="P555" s="205" t="s">
        <v>652</v>
      </c>
      <c r="Q555" s="208" t="s">
        <v>663</v>
      </c>
      <c r="R555" s="208" t="s">
        <v>723</v>
      </c>
      <c r="S555" s="208" t="s">
        <v>850</v>
      </c>
    </row>
    <row r="556" spans="1:19" s="205" customFormat="1" hidden="1" x14ac:dyDescent="0.2">
      <c r="A556" s="205" t="s">
        <v>245</v>
      </c>
      <c r="B556" s="205" t="s">
        <v>3421</v>
      </c>
      <c r="C556" s="200" t="s">
        <v>850</v>
      </c>
      <c r="D556" s="201" t="s">
        <v>152</v>
      </c>
      <c r="E556" s="201"/>
      <c r="F556" s="206">
        <v>31332</v>
      </c>
      <c r="G556" s="206">
        <v>3133</v>
      </c>
      <c r="H556" s="206">
        <v>157</v>
      </c>
      <c r="I556" s="202">
        <f t="shared" si="8"/>
        <v>28356</v>
      </c>
      <c r="J556" s="205" t="s">
        <v>489</v>
      </c>
      <c r="K556" s="205" t="s">
        <v>23</v>
      </c>
      <c r="L556" s="201" t="s">
        <v>1042</v>
      </c>
      <c r="M556" s="205" t="s">
        <v>3422</v>
      </c>
      <c r="N556" s="201" t="s">
        <v>1030</v>
      </c>
      <c r="O556" s="205" t="s">
        <v>652</v>
      </c>
      <c r="P556" s="205" t="s">
        <v>652</v>
      </c>
      <c r="Q556" s="208" t="s">
        <v>663</v>
      </c>
      <c r="R556" s="208" t="s">
        <v>723</v>
      </c>
      <c r="S556" s="208" t="s">
        <v>850</v>
      </c>
    </row>
    <row r="557" spans="1:19" s="205" customFormat="1" hidden="1" x14ac:dyDescent="0.2">
      <c r="A557" s="205" t="s">
        <v>245</v>
      </c>
      <c r="B557" s="205" t="s">
        <v>3423</v>
      </c>
      <c r="C557" s="200" t="s">
        <v>850</v>
      </c>
      <c r="D557" s="201" t="s">
        <v>152</v>
      </c>
      <c r="E557" s="201"/>
      <c r="F557" s="206">
        <v>22716</v>
      </c>
      <c r="G557" s="206">
        <v>2272</v>
      </c>
      <c r="H557" s="206">
        <v>114</v>
      </c>
      <c r="I557" s="202">
        <f t="shared" si="8"/>
        <v>20558</v>
      </c>
      <c r="J557" s="205" t="s">
        <v>489</v>
      </c>
      <c r="K557" s="205" t="s">
        <v>23</v>
      </c>
      <c r="L557" s="201" t="s">
        <v>1042</v>
      </c>
      <c r="M557" s="205" t="s">
        <v>3424</v>
      </c>
      <c r="N557" s="201" t="s">
        <v>1030</v>
      </c>
      <c r="O557" s="205" t="s">
        <v>652</v>
      </c>
      <c r="P557" s="205" t="s">
        <v>652</v>
      </c>
      <c r="Q557" s="208" t="s">
        <v>663</v>
      </c>
      <c r="R557" s="208" t="s">
        <v>723</v>
      </c>
      <c r="S557" s="208" t="s">
        <v>850</v>
      </c>
    </row>
    <row r="558" spans="1:19" s="205" customFormat="1" hidden="1" x14ac:dyDescent="0.2">
      <c r="A558" s="205" t="s">
        <v>245</v>
      </c>
      <c r="B558" s="205" t="s">
        <v>3425</v>
      </c>
      <c r="C558" s="200" t="s">
        <v>850</v>
      </c>
      <c r="D558" s="201" t="s">
        <v>152</v>
      </c>
      <c r="E558" s="201"/>
      <c r="F558" s="206">
        <v>44011</v>
      </c>
      <c r="G558" s="206">
        <v>4401</v>
      </c>
      <c r="H558" s="206">
        <v>220</v>
      </c>
      <c r="I558" s="202">
        <f t="shared" si="8"/>
        <v>39830</v>
      </c>
      <c r="J558" s="205" t="s">
        <v>489</v>
      </c>
      <c r="K558" s="205" t="s">
        <v>23</v>
      </c>
      <c r="L558" s="201" t="s">
        <v>1042</v>
      </c>
      <c r="M558" s="205" t="s">
        <v>3426</v>
      </c>
      <c r="N558" s="201" t="s">
        <v>1030</v>
      </c>
      <c r="O558" s="205" t="s">
        <v>652</v>
      </c>
      <c r="P558" s="205" t="s">
        <v>652</v>
      </c>
      <c r="Q558" s="208" t="s">
        <v>663</v>
      </c>
      <c r="R558" s="208" t="s">
        <v>723</v>
      </c>
      <c r="S558" s="208" t="s">
        <v>850</v>
      </c>
    </row>
    <row r="559" spans="1:19" s="205" customFormat="1" hidden="1" x14ac:dyDescent="0.2">
      <c r="A559" s="205" t="s">
        <v>245</v>
      </c>
      <c r="B559" s="205" t="s">
        <v>3427</v>
      </c>
      <c r="C559" s="200" t="s">
        <v>850</v>
      </c>
      <c r="D559" s="201" t="s">
        <v>152</v>
      </c>
      <c r="E559" s="201"/>
      <c r="F559" s="206">
        <v>34725</v>
      </c>
      <c r="G559" s="206">
        <v>3473</v>
      </c>
      <c r="H559" s="206">
        <v>174</v>
      </c>
      <c r="I559" s="202">
        <f t="shared" si="8"/>
        <v>31426</v>
      </c>
      <c r="J559" s="205" t="s">
        <v>489</v>
      </c>
      <c r="K559" s="205" t="s">
        <v>23</v>
      </c>
      <c r="L559" s="201" t="s">
        <v>1042</v>
      </c>
      <c r="M559" s="205" t="s">
        <v>3428</v>
      </c>
      <c r="N559" s="201" t="s">
        <v>1030</v>
      </c>
      <c r="O559" s="205" t="s">
        <v>652</v>
      </c>
      <c r="P559" s="205" t="s">
        <v>652</v>
      </c>
      <c r="Q559" s="208" t="s">
        <v>663</v>
      </c>
      <c r="R559" s="208" t="s">
        <v>723</v>
      </c>
      <c r="S559" s="208" t="s">
        <v>850</v>
      </c>
    </row>
    <row r="560" spans="1:19" s="205" customFormat="1" hidden="1" x14ac:dyDescent="0.2">
      <c r="A560" s="205" t="s">
        <v>245</v>
      </c>
      <c r="B560" s="205" t="s">
        <v>3429</v>
      </c>
      <c r="C560" s="200" t="s">
        <v>850</v>
      </c>
      <c r="D560" s="201" t="s">
        <v>152</v>
      </c>
      <c r="E560" s="201"/>
      <c r="F560" s="206">
        <v>42110</v>
      </c>
      <c r="G560" s="206">
        <v>4211</v>
      </c>
      <c r="H560" s="206">
        <v>211</v>
      </c>
      <c r="I560" s="202">
        <f t="shared" si="8"/>
        <v>38110</v>
      </c>
      <c r="J560" s="205" t="s">
        <v>489</v>
      </c>
      <c r="K560" s="205" t="s">
        <v>23</v>
      </c>
      <c r="L560" s="201" t="s">
        <v>1042</v>
      </c>
      <c r="M560" s="205" t="s">
        <v>3430</v>
      </c>
      <c r="N560" s="201" t="s">
        <v>1030</v>
      </c>
      <c r="O560" s="205" t="s">
        <v>652</v>
      </c>
      <c r="P560" s="205" t="s">
        <v>652</v>
      </c>
      <c r="Q560" s="208" t="s">
        <v>663</v>
      </c>
      <c r="R560" s="208" t="s">
        <v>723</v>
      </c>
      <c r="S560" s="208" t="s">
        <v>850</v>
      </c>
    </row>
    <row r="561" spans="1:19" s="205" customFormat="1" hidden="1" x14ac:dyDescent="0.2">
      <c r="A561" s="205" t="s">
        <v>245</v>
      </c>
      <c r="B561" s="205" t="s">
        <v>3431</v>
      </c>
      <c r="C561" s="200" t="s">
        <v>850</v>
      </c>
      <c r="D561" s="201" t="s">
        <v>152</v>
      </c>
      <c r="E561" s="201"/>
      <c r="F561" s="206">
        <v>38001</v>
      </c>
      <c r="G561" s="206">
        <v>3800</v>
      </c>
      <c r="H561" s="206">
        <v>190</v>
      </c>
      <c r="I561" s="202">
        <f t="shared" si="8"/>
        <v>34391</v>
      </c>
      <c r="J561" s="205" t="s">
        <v>489</v>
      </c>
      <c r="K561" s="205" t="s">
        <v>23</v>
      </c>
      <c r="L561" s="201" t="s">
        <v>1042</v>
      </c>
      <c r="M561" s="205" t="s">
        <v>3432</v>
      </c>
      <c r="N561" s="201" t="s">
        <v>1030</v>
      </c>
      <c r="O561" s="205" t="s">
        <v>652</v>
      </c>
      <c r="P561" s="205" t="s">
        <v>652</v>
      </c>
      <c r="Q561" s="208" t="s">
        <v>663</v>
      </c>
      <c r="R561" s="208" t="s">
        <v>723</v>
      </c>
      <c r="S561" s="208" t="s">
        <v>850</v>
      </c>
    </row>
    <row r="562" spans="1:19" s="205" customFormat="1" hidden="1" x14ac:dyDescent="0.2">
      <c r="A562" s="205" t="s">
        <v>245</v>
      </c>
      <c r="B562" s="205" t="s">
        <v>3433</v>
      </c>
      <c r="C562" s="200" t="s">
        <v>850</v>
      </c>
      <c r="D562" s="201" t="s">
        <v>152</v>
      </c>
      <c r="E562" s="201"/>
      <c r="F562" s="206">
        <v>44011</v>
      </c>
      <c r="G562" s="206">
        <v>4401</v>
      </c>
      <c r="H562" s="206">
        <v>220</v>
      </c>
      <c r="I562" s="202">
        <f t="shared" si="8"/>
        <v>39830</v>
      </c>
      <c r="J562" s="205" t="s">
        <v>489</v>
      </c>
      <c r="K562" s="205" t="s">
        <v>23</v>
      </c>
      <c r="L562" s="201" t="s">
        <v>1042</v>
      </c>
      <c r="M562" s="205" t="s">
        <v>3434</v>
      </c>
      <c r="N562" s="201" t="s">
        <v>1030</v>
      </c>
      <c r="O562" s="205" t="s">
        <v>652</v>
      </c>
      <c r="P562" s="205" t="s">
        <v>652</v>
      </c>
      <c r="Q562" s="208" t="s">
        <v>663</v>
      </c>
      <c r="R562" s="208" t="s">
        <v>723</v>
      </c>
      <c r="S562" s="208" t="s">
        <v>850</v>
      </c>
    </row>
    <row r="563" spans="1:19" s="205" customFormat="1" hidden="1" x14ac:dyDescent="0.2">
      <c r="A563" s="205" t="s">
        <v>245</v>
      </c>
      <c r="B563" s="205" t="s">
        <v>3435</v>
      </c>
      <c r="C563" s="200" t="s">
        <v>850</v>
      </c>
      <c r="D563" s="201" t="s">
        <v>152</v>
      </c>
      <c r="E563" s="201"/>
      <c r="F563" s="206">
        <v>22716</v>
      </c>
      <c r="G563" s="206">
        <v>2272</v>
      </c>
      <c r="H563" s="206">
        <v>114</v>
      </c>
      <c r="I563" s="202">
        <f t="shared" si="8"/>
        <v>20558</v>
      </c>
      <c r="J563" s="205" t="s">
        <v>489</v>
      </c>
      <c r="K563" s="205" t="s">
        <v>23</v>
      </c>
      <c r="L563" s="201" t="s">
        <v>1042</v>
      </c>
      <c r="M563" s="205" t="s">
        <v>3436</v>
      </c>
      <c r="N563" s="201" t="s">
        <v>1030</v>
      </c>
      <c r="O563" s="205" t="s">
        <v>652</v>
      </c>
      <c r="P563" s="205" t="s">
        <v>652</v>
      </c>
      <c r="Q563" s="208" t="s">
        <v>663</v>
      </c>
      <c r="R563" s="208" t="s">
        <v>723</v>
      </c>
      <c r="S563" s="208" t="s">
        <v>850</v>
      </c>
    </row>
    <row r="564" spans="1:19" s="205" customFormat="1" hidden="1" x14ac:dyDescent="0.2">
      <c r="A564" s="205" t="s">
        <v>245</v>
      </c>
      <c r="B564" s="205" t="s">
        <v>3437</v>
      </c>
      <c r="C564" s="200" t="s">
        <v>850</v>
      </c>
      <c r="D564" s="201" t="s">
        <v>152</v>
      </c>
      <c r="E564" s="201"/>
      <c r="F564" s="206">
        <v>22716</v>
      </c>
      <c r="G564" s="206">
        <v>2272</v>
      </c>
      <c r="H564" s="206">
        <v>114</v>
      </c>
      <c r="I564" s="202">
        <f t="shared" si="8"/>
        <v>20558</v>
      </c>
      <c r="J564" s="205" t="s">
        <v>489</v>
      </c>
      <c r="K564" s="205" t="s">
        <v>23</v>
      </c>
      <c r="L564" s="201" t="s">
        <v>1042</v>
      </c>
      <c r="M564" s="205" t="s">
        <v>3438</v>
      </c>
      <c r="N564" s="201" t="s">
        <v>1030</v>
      </c>
      <c r="O564" s="205" t="s">
        <v>652</v>
      </c>
      <c r="P564" s="205" t="s">
        <v>652</v>
      </c>
      <c r="Q564" s="208" t="s">
        <v>663</v>
      </c>
      <c r="R564" s="208" t="s">
        <v>723</v>
      </c>
      <c r="S564" s="208" t="s">
        <v>850</v>
      </c>
    </row>
    <row r="565" spans="1:19" s="205" customFormat="1" hidden="1" x14ac:dyDescent="0.2">
      <c r="A565" s="205" t="s">
        <v>245</v>
      </c>
      <c r="B565" s="205" t="s">
        <v>3439</v>
      </c>
      <c r="C565" s="200" t="s">
        <v>850</v>
      </c>
      <c r="D565" s="201" t="s">
        <v>152</v>
      </c>
      <c r="E565" s="201"/>
      <c r="F565" s="206">
        <v>38001</v>
      </c>
      <c r="G565" s="206">
        <v>3800</v>
      </c>
      <c r="H565" s="206">
        <v>190</v>
      </c>
      <c r="I565" s="202">
        <f t="shared" si="8"/>
        <v>34391</v>
      </c>
      <c r="J565" s="205" t="s">
        <v>489</v>
      </c>
      <c r="K565" s="205" t="s">
        <v>23</v>
      </c>
      <c r="L565" s="201" t="s">
        <v>1042</v>
      </c>
      <c r="M565" s="205" t="s">
        <v>3440</v>
      </c>
      <c r="N565" s="201" t="s">
        <v>1030</v>
      </c>
      <c r="O565" s="205" t="s">
        <v>652</v>
      </c>
      <c r="P565" s="205" t="s">
        <v>652</v>
      </c>
      <c r="Q565" s="208" t="s">
        <v>663</v>
      </c>
      <c r="R565" s="208" t="s">
        <v>723</v>
      </c>
      <c r="S565" s="208" t="s">
        <v>850</v>
      </c>
    </row>
    <row r="566" spans="1:19" s="205" customFormat="1" hidden="1" x14ac:dyDescent="0.2">
      <c r="A566" s="205" t="s">
        <v>245</v>
      </c>
      <c r="B566" s="205" t="s">
        <v>3441</v>
      </c>
      <c r="C566" s="200" t="s">
        <v>850</v>
      </c>
      <c r="D566" s="201" t="s">
        <v>152</v>
      </c>
      <c r="E566" s="201"/>
      <c r="F566" s="206">
        <v>31332</v>
      </c>
      <c r="G566" s="206">
        <v>3133</v>
      </c>
      <c r="H566" s="206">
        <v>157</v>
      </c>
      <c r="I566" s="202">
        <f t="shared" si="8"/>
        <v>28356</v>
      </c>
      <c r="J566" s="205" t="s">
        <v>489</v>
      </c>
      <c r="K566" s="205" t="s">
        <v>23</v>
      </c>
      <c r="L566" s="201" t="s">
        <v>1042</v>
      </c>
      <c r="M566" s="205" t="s">
        <v>3442</v>
      </c>
      <c r="N566" s="201" t="s">
        <v>1030</v>
      </c>
      <c r="O566" s="205" t="s">
        <v>652</v>
      </c>
      <c r="P566" s="205" t="s">
        <v>652</v>
      </c>
      <c r="Q566" s="208" t="s">
        <v>663</v>
      </c>
      <c r="R566" s="208" t="s">
        <v>723</v>
      </c>
      <c r="S566" s="208" t="s">
        <v>850</v>
      </c>
    </row>
    <row r="567" spans="1:19" s="205" customFormat="1" hidden="1" x14ac:dyDescent="0.2">
      <c r="A567" s="205" t="s">
        <v>245</v>
      </c>
      <c r="B567" s="205" t="s">
        <v>3443</v>
      </c>
      <c r="C567" s="200" t="s">
        <v>850</v>
      </c>
      <c r="D567" s="201" t="s">
        <v>152</v>
      </c>
      <c r="E567" s="201"/>
      <c r="F567" s="206">
        <v>22716</v>
      </c>
      <c r="G567" s="206">
        <v>2272</v>
      </c>
      <c r="H567" s="206">
        <v>114</v>
      </c>
      <c r="I567" s="202">
        <f t="shared" si="8"/>
        <v>20558</v>
      </c>
      <c r="J567" s="205" t="s">
        <v>489</v>
      </c>
      <c r="K567" s="205" t="s">
        <v>23</v>
      </c>
      <c r="L567" s="201" t="s">
        <v>1042</v>
      </c>
      <c r="M567" s="205" t="s">
        <v>3444</v>
      </c>
      <c r="N567" s="201" t="s">
        <v>1030</v>
      </c>
      <c r="O567" s="205" t="s">
        <v>652</v>
      </c>
      <c r="P567" s="205" t="s">
        <v>652</v>
      </c>
      <c r="Q567" s="208" t="s">
        <v>663</v>
      </c>
      <c r="R567" s="208" t="s">
        <v>723</v>
      </c>
      <c r="S567" s="208" t="s">
        <v>850</v>
      </c>
    </row>
    <row r="568" spans="1:19" s="205" customFormat="1" hidden="1" x14ac:dyDescent="0.2">
      <c r="A568" s="205" t="s">
        <v>245</v>
      </c>
      <c r="B568" s="205" t="s">
        <v>3445</v>
      </c>
      <c r="C568" s="200" t="s">
        <v>850</v>
      </c>
      <c r="D568" s="201" t="s">
        <v>152</v>
      </c>
      <c r="E568" s="201"/>
      <c r="F568" s="206">
        <v>31332</v>
      </c>
      <c r="G568" s="206">
        <v>3133</v>
      </c>
      <c r="H568" s="206">
        <v>157</v>
      </c>
      <c r="I568" s="202">
        <f t="shared" si="8"/>
        <v>28356</v>
      </c>
      <c r="J568" s="205" t="s">
        <v>489</v>
      </c>
      <c r="K568" s="205" t="s">
        <v>23</v>
      </c>
      <c r="L568" s="201" t="s">
        <v>1042</v>
      </c>
      <c r="M568" s="205" t="s">
        <v>3446</v>
      </c>
      <c r="N568" s="201" t="s">
        <v>1030</v>
      </c>
      <c r="O568" s="205" t="s">
        <v>652</v>
      </c>
      <c r="P568" s="205" t="s">
        <v>652</v>
      </c>
      <c r="Q568" s="208" t="s">
        <v>663</v>
      </c>
      <c r="R568" s="208" t="s">
        <v>723</v>
      </c>
      <c r="S568" s="208" t="s">
        <v>850</v>
      </c>
    </row>
    <row r="569" spans="1:19" s="205" customFormat="1" hidden="1" x14ac:dyDescent="0.2">
      <c r="A569" s="205" t="s">
        <v>245</v>
      </c>
      <c r="B569" s="205" t="s">
        <v>3447</v>
      </c>
      <c r="C569" s="200" t="s">
        <v>850</v>
      </c>
      <c r="D569" s="201" t="s">
        <v>152</v>
      </c>
      <c r="E569" s="201"/>
      <c r="F569" s="206">
        <v>38001</v>
      </c>
      <c r="G569" s="206">
        <v>3800</v>
      </c>
      <c r="H569" s="206">
        <v>190</v>
      </c>
      <c r="I569" s="202">
        <f t="shared" si="8"/>
        <v>34391</v>
      </c>
      <c r="J569" s="205" t="s">
        <v>489</v>
      </c>
      <c r="K569" s="205" t="s">
        <v>23</v>
      </c>
      <c r="L569" s="201" t="s">
        <v>1042</v>
      </c>
      <c r="M569" s="205" t="s">
        <v>3448</v>
      </c>
      <c r="N569" s="201" t="s">
        <v>1030</v>
      </c>
      <c r="O569" s="205" t="s">
        <v>652</v>
      </c>
      <c r="P569" s="205" t="s">
        <v>652</v>
      </c>
      <c r="Q569" s="208" t="s">
        <v>663</v>
      </c>
      <c r="R569" s="208" t="s">
        <v>723</v>
      </c>
      <c r="S569" s="208" t="s">
        <v>850</v>
      </c>
    </row>
    <row r="570" spans="1:19" s="205" customFormat="1" hidden="1" x14ac:dyDescent="0.2">
      <c r="A570" s="205" t="s">
        <v>245</v>
      </c>
      <c r="B570" s="205" t="s">
        <v>3449</v>
      </c>
      <c r="C570" s="200" t="s">
        <v>850</v>
      </c>
      <c r="D570" s="201" t="s">
        <v>152</v>
      </c>
      <c r="E570" s="201"/>
      <c r="F570" s="206">
        <v>38001</v>
      </c>
      <c r="G570" s="206">
        <v>3800</v>
      </c>
      <c r="H570" s="206">
        <v>190</v>
      </c>
      <c r="I570" s="202">
        <f t="shared" si="8"/>
        <v>34391</v>
      </c>
      <c r="J570" s="205" t="s">
        <v>489</v>
      </c>
      <c r="K570" s="205" t="s">
        <v>23</v>
      </c>
      <c r="L570" s="201" t="s">
        <v>1042</v>
      </c>
      <c r="M570" s="205" t="s">
        <v>3450</v>
      </c>
      <c r="N570" s="201" t="s">
        <v>1030</v>
      </c>
      <c r="O570" s="205" t="s">
        <v>652</v>
      </c>
      <c r="P570" s="205" t="s">
        <v>652</v>
      </c>
      <c r="Q570" s="208" t="s">
        <v>663</v>
      </c>
      <c r="R570" s="208" t="s">
        <v>723</v>
      </c>
      <c r="S570" s="208" t="s">
        <v>850</v>
      </c>
    </row>
    <row r="571" spans="1:19" s="205" customFormat="1" hidden="1" x14ac:dyDescent="0.2">
      <c r="A571" s="205" t="s">
        <v>245</v>
      </c>
      <c r="B571" s="205" t="s">
        <v>3451</v>
      </c>
      <c r="C571" s="200" t="s">
        <v>850</v>
      </c>
      <c r="D571" s="201" t="s">
        <v>152</v>
      </c>
      <c r="E571" s="201"/>
      <c r="F571" s="206">
        <v>22716</v>
      </c>
      <c r="G571" s="206">
        <v>2272</v>
      </c>
      <c r="H571" s="206">
        <v>114</v>
      </c>
      <c r="I571" s="202">
        <f t="shared" si="8"/>
        <v>20558</v>
      </c>
      <c r="J571" s="205" t="s">
        <v>489</v>
      </c>
      <c r="K571" s="205" t="s">
        <v>23</v>
      </c>
      <c r="L571" s="201" t="s">
        <v>1042</v>
      </c>
      <c r="M571" s="205" t="s">
        <v>3452</v>
      </c>
      <c r="N571" s="201" t="s">
        <v>1030</v>
      </c>
      <c r="O571" s="205" t="s">
        <v>652</v>
      </c>
      <c r="P571" s="205" t="s">
        <v>652</v>
      </c>
      <c r="Q571" s="208" t="s">
        <v>663</v>
      </c>
      <c r="R571" s="208" t="s">
        <v>723</v>
      </c>
      <c r="S571" s="208" t="s">
        <v>850</v>
      </c>
    </row>
    <row r="572" spans="1:19" s="205" customFormat="1" hidden="1" x14ac:dyDescent="0.2">
      <c r="A572" s="205" t="s">
        <v>245</v>
      </c>
      <c r="B572" s="205" t="s">
        <v>3453</v>
      </c>
      <c r="C572" s="200" t="s">
        <v>850</v>
      </c>
      <c r="D572" s="201" t="s">
        <v>152</v>
      </c>
      <c r="E572" s="201"/>
      <c r="F572" s="206">
        <v>44011</v>
      </c>
      <c r="G572" s="206">
        <v>4401</v>
      </c>
      <c r="H572" s="206">
        <v>220</v>
      </c>
      <c r="I572" s="202">
        <f t="shared" si="8"/>
        <v>39830</v>
      </c>
      <c r="J572" s="205" t="s">
        <v>489</v>
      </c>
      <c r="K572" s="205" t="s">
        <v>23</v>
      </c>
      <c r="L572" s="201" t="s">
        <v>1042</v>
      </c>
      <c r="M572" s="205" t="s">
        <v>3454</v>
      </c>
      <c r="N572" s="201" t="s">
        <v>1030</v>
      </c>
      <c r="O572" s="205" t="s">
        <v>652</v>
      </c>
      <c r="P572" s="205" t="s">
        <v>652</v>
      </c>
      <c r="Q572" s="208" t="s">
        <v>663</v>
      </c>
      <c r="R572" s="208" t="s">
        <v>723</v>
      </c>
      <c r="S572" s="208" t="s">
        <v>850</v>
      </c>
    </row>
    <row r="573" spans="1:19" s="205" customFormat="1" ht="12.75" hidden="1" customHeight="1" x14ac:dyDescent="0.2">
      <c r="A573" s="205" t="s">
        <v>245</v>
      </c>
      <c r="B573" s="205" t="s">
        <v>3455</v>
      </c>
      <c r="C573" s="200" t="s">
        <v>850</v>
      </c>
      <c r="D573" s="201" t="s">
        <v>152</v>
      </c>
      <c r="E573" s="201"/>
      <c r="F573" s="206">
        <v>38001</v>
      </c>
      <c r="G573" s="206">
        <v>3800</v>
      </c>
      <c r="H573" s="206">
        <v>190</v>
      </c>
      <c r="I573" s="202">
        <f t="shared" si="8"/>
        <v>34391</v>
      </c>
      <c r="J573" s="205" t="s">
        <v>489</v>
      </c>
      <c r="K573" s="205" t="s">
        <v>23</v>
      </c>
      <c r="L573" s="201" t="s">
        <v>1042</v>
      </c>
      <c r="M573" s="205" t="s">
        <v>3456</v>
      </c>
      <c r="N573" s="201" t="s">
        <v>1030</v>
      </c>
      <c r="O573" s="205" t="s">
        <v>652</v>
      </c>
      <c r="P573" s="205" t="s">
        <v>652</v>
      </c>
      <c r="Q573" s="208" t="s">
        <v>663</v>
      </c>
      <c r="R573" s="208" t="s">
        <v>723</v>
      </c>
      <c r="S573" s="208" t="s">
        <v>850</v>
      </c>
    </row>
    <row r="574" spans="1:19" s="205" customFormat="1" hidden="1" x14ac:dyDescent="0.2">
      <c r="A574" s="205" t="s">
        <v>245</v>
      </c>
      <c r="B574" s="205" t="s">
        <v>3457</v>
      </c>
      <c r="C574" s="200" t="s">
        <v>850</v>
      </c>
      <c r="D574" s="201" t="s">
        <v>152</v>
      </c>
      <c r="E574" s="201"/>
      <c r="F574" s="206">
        <v>22716</v>
      </c>
      <c r="G574" s="206">
        <v>2272</v>
      </c>
      <c r="H574" s="206">
        <v>114</v>
      </c>
      <c r="I574" s="202">
        <f t="shared" si="8"/>
        <v>20558</v>
      </c>
      <c r="J574" s="205" t="s">
        <v>489</v>
      </c>
      <c r="K574" s="205" t="s">
        <v>23</v>
      </c>
      <c r="L574" s="201" t="s">
        <v>1042</v>
      </c>
      <c r="M574" s="205" t="s">
        <v>3458</v>
      </c>
      <c r="N574" s="201" t="s">
        <v>1030</v>
      </c>
      <c r="O574" s="205" t="s">
        <v>652</v>
      </c>
      <c r="P574" s="205" t="s">
        <v>652</v>
      </c>
      <c r="Q574" s="208" t="s">
        <v>663</v>
      </c>
      <c r="R574" s="208" t="s">
        <v>723</v>
      </c>
      <c r="S574" s="208" t="s">
        <v>850</v>
      </c>
    </row>
    <row r="575" spans="1:19" s="205" customFormat="1" hidden="1" x14ac:dyDescent="0.2">
      <c r="A575" s="205" t="s">
        <v>245</v>
      </c>
      <c r="B575" s="205" t="s">
        <v>3459</v>
      </c>
      <c r="C575" s="200" t="s">
        <v>850</v>
      </c>
      <c r="D575" s="201" t="s">
        <v>152</v>
      </c>
      <c r="E575" s="201"/>
      <c r="F575" s="206">
        <v>44011</v>
      </c>
      <c r="G575" s="206">
        <v>4401</v>
      </c>
      <c r="H575" s="206">
        <v>220</v>
      </c>
      <c r="I575" s="202">
        <f t="shared" si="8"/>
        <v>39830</v>
      </c>
      <c r="J575" s="205" t="s">
        <v>489</v>
      </c>
      <c r="K575" s="205" t="s">
        <v>23</v>
      </c>
      <c r="L575" s="201" t="s">
        <v>1042</v>
      </c>
      <c r="M575" s="205" t="s">
        <v>3460</v>
      </c>
      <c r="N575" s="201" t="s">
        <v>1030</v>
      </c>
      <c r="O575" s="205" t="s">
        <v>652</v>
      </c>
      <c r="P575" s="205" t="s">
        <v>652</v>
      </c>
      <c r="Q575" s="208" t="s">
        <v>663</v>
      </c>
      <c r="R575" s="208" t="s">
        <v>723</v>
      </c>
      <c r="S575" s="208" t="s">
        <v>850</v>
      </c>
    </row>
    <row r="576" spans="1:19" s="205" customFormat="1" hidden="1" x14ac:dyDescent="0.2">
      <c r="A576" s="205" t="s">
        <v>245</v>
      </c>
      <c r="B576" s="205" t="s">
        <v>3461</v>
      </c>
      <c r="C576" s="200" t="s">
        <v>850</v>
      </c>
      <c r="D576" s="201" t="s">
        <v>152</v>
      </c>
      <c r="E576" s="201"/>
      <c r="F576" s="206">
        <v>38001</v>
      </c>
      <c r="G576" s="206">
        <v>3800</v>
      </c>
      <c r="H576" s="206">
        <v>190</v>
      </c>
      <c r="I576" s="202">
        <f t="shared" si="8"/>
        <v>34391</v>
      </c>
      <c r="J576" s="205" t="s">
        <v>489</v>
      </c>
      <c r="K576" s="205" t="s">
        <v>23</v>
      </c>
      <c r="L576" s="201" t="s">
        <v>1042</v>
      </c>
      <c r="M576" s="205" t="s">
        <v>3462</v>
      </c>
      <c r="N576" s="201" t="s">
        <v>1030</v>
      </c>
      <c r="O576" s="205" t="s">
        <v>652</v>
      </c>
      <c r="P576" s="205" t="s">
        <v>652</v>
      </c>
      <c r="Q576" s="208" t="s">
        <v>663</v>
      </c>
      <c r="R576" s="208" t="s">
        <v>723</v>
      </c>
      <c r="S576" s="208" t="s">
        <v>850</v>
      </c>
    </row>
    <row r="577" spans="1:19" s="205" customFormat="1" hidden="1" x14ac:dyDescent="0.2">
      <c r="A577" s="205" t="s">
        <v>245</v>
      </c>
      <c r="B577" s="205" t="s">
        <v>3463</v>
      </c>
      <c r="C577" s="200" t="s">
        <v>850</v>
      </c>
      <c r="D577" s="201" t="s">
        <v>152</v>
      </c>
      <c r="E577" s="201"/>
      <c r="F577" s="206">
        <v>38001</v>
      </c>
      <c r="G577" s="206">
        <v>3800</v>
      </c>
      <c r="H577" s="206">
        <v>190</v>
      </c>
      <c r="I577" s="202">
        <f t="shared" si="8"/>
        <v>34391</v>
      </c>
      <c r="J577" s="205" t="s">
        <v>489</v>
      </c>
      <c r="K577" s="205" t="s">
        <v>23</v>
      </c>
      <c r="L577" s="201" t="s">
        <v>1042</v>
      </c>
      <c r="M577" s="205" t="s">
        <v>3464</v>
      </c>
      <c r="N577" s="201" t="s">
        <v>1030</v>
      </c>
      <c r="O577" s="205" t="s">
        <v>652</v>
      </c>
      <c r="P577" s="205" t="s">
        <v>652</v>
      </c>
      <c r="Q577" s="208" t="s">
        <v>663</v>
      </c>
      <c r="R577" s="208" t="s">
        <v>723</v>
      </c>
      <c r="S577" s="208" t="s">
        <v>850</v>
      </c>
    </row>
    <row r="578" spans="1:19" s="205" customFormat="1" hidden="1" x14ac:dyDescent="0.2">
      <c r="A578" s="205" t="s">
        <v>245</v>
      </c>
      <c r="B578" s="205" t="s">
        <v>3465</v>
      </c>
      <c r="C578" s="200" t="s">
        <v>850</v>
      </c>
      <c r="D578" s="201" t="s">
        <v>152</v>
      </c>
      <c r="E578" s="201"/>
      <c r="F578" s="206">
        <v>34725</v>
      </c>
      <c r="G578" s="206">
        <v>3473</v>
      </c>
      <c r="H578" s="206">
        <v>174</v>
      </c>
      <c r="I578" s="202">
        <f t="shared" si="8"/>
        <v>31426</v>
      </c>
      <c r="J578" s="205" t="s">
        <v>489</v>
      </c>
      <c r="K578" s="205" t="s">
        <v>23</v>
      </c>
      <c r="L578" s="201" t="s">
        <v>1042</v>
      </c>
      <c r="M578" s="205" t="s">
        <v>3466</v>
      </c>
      <c r="N578" s="201" t="s">
        <v>1030</v>
      </c>
      <c r="O578" s="205" t="s">
        <v>652</v>
      </c>
      <c r="P578" s="205" t="s">
        <v>652</v>
      </c>
      <c r="Q578" s="208" t="s">
        <v>663</v>
      </c>
      <c r="R578" s="208" t="s">
        <v>723</v>
      </c>
      <c r="S578" s="208" t="s">
        <v>850</v>
      </c>
    </row>
    <row r="579" spans="1:19" s="205" customFormat="1" hidden="1" x14ac:dyDescent="0.2">
      <c r="A579" s="205" t="s">
        <v>245</v>
      </c>
      <c r="B579" s="205" t="s">
        <v>3467</v>
      </c>
      <c r="C579" s="200" t="s">
        <v>850</v>
      </c>
      <c r="D579" s="201" t="s">
        <v>152</v>
      </c>
      <c r="E579" s="201"/>
      <c r="F579" s="206">
        <v>22716</v>
      </c>
      <c r="G579" s="206">
        <v>2272</v>
      </c>
      <c r="H579" s="206">
        <v>114</v>
      </c>
      <c r="I579" s="202">
        <f t="shared" ref="I579:I642" si="9">F579+H579-G579</f>
        <v>20558</v>
      </c>
      <c r="J579" s="205" t="s">
        <v>489</v>
      </c>
      <c r="K579" s="205" t="s">
        <v>23</v>
      </c>
      <c r="L579" s="201" t="s">
        <v>1042</v>
      </c>
      <c r="M579" s="205" t="s">
        <v>3468</v>
      </c>
      <c r="N579" s="201" t="s">
        <v>1030</v>
      </c>
      <c r="O579" s="205" t="s">
        <v>652</v>
      </c>
      <c r="P579" s="205" t="s">
        <v>652</v>
      </c>
      <c r="Q579" s="208" t="s">
        <v>663</v>
      </c>
      <c r="R579" s="208" t="s">
        <v>723</v>
      </c>
      <c r="S579" s="208" t="s">
        <v>850</v>
      </c>
    </row>
    <row r="580" spans="1:19" s="205" customFormat="1" hidden="1" x14ac:dyDescent="0.2">
      <c r="A580" s="205" t="s">
        <v>245</v>
      </c>
      <c r="B580" s="205" t="s">
        <v>3469</v>
      </c>
      <c r="C580" s="200" t="s">
        <v>850</v>
      </c>
      <c r="D580" s="201" t="s">
        <v>152</v>
      </c>
      <c r="E580" s="201"/>
      <c r="F580" s="206">
        <v>22716</v>
      </c>
      <c r="G580" s="206">
        <v>2272</v>
      </c>
      <c r="H580" s="206">
        <v>114</v>
      </c>
      <c r="I580" s="202">
        <f t="shared" si="9"/>
        <v>20558</v>
      </c>
      <c r="J580" s="205" t="s">
        <v>489</v>
      </c>
      <c r="K580" s="205" t="s">
        <v>23</v>
      </c>
      <c r="L580" s="201" t="s">
        <v>1042</v>
      </c>
      <c r="M580" s="205" t="s">
        <v>3470</v>
      </c>
      <c r="N580" s="201" t="s">
        <v>1030</v>
      </c>
      <c r="O580" s="205" t="s">
        <v>652</v>
      </c>
      <c r="P580" s="205" t="s">
        <v>652</v>
      </c>
      <c r="Q580" s="208" t="s">
        <v>663</v>
      </c>
      <c r="R580" s="208" t="s">
        <v>723</v>
      </c>
      <c r="S580" s="208" t="s">
        <v>850</v>
      </c>
    </row>
    <row r="581" spans="1:19" s="205" customFormat="1" hidden="1" x14ac:dyDescent="0.2">
      <c r="A581" s="205" t="s">
        <v>247</v>
      </c>
      <c r="B581" s="205" t="s">
        <v>3471</v>
      </c>
      <c r="C581" s="200" t="s">
        <v>850</v>
      </c>
      <c r="D581" s="201" t="s">
        <v>152</v>
      </c>
      <c r="E581" s="201"/>
      <c r="F581" s="206">
        <v>69985</v>
      </c>
      <c r="G581" s="206">
        <v>6999</v>
      </c>
      <c r="H581" s="206">
        <v>350</v>
      </c>
      <c r="I581" s="202">
        <f t="shared" si="9"/>
        <v>63336</v>
      </c>
      <c r="J581" s="205" t="s">
        <v>489</v>
      </c>
      <c r="K581" s="205" t="s">
        <v>23</v>
      </c>
      <c r="L581" s="201" t="s">
        <v>1058</v>
      </c>
      <c r="M581" s="205" t="s">
        <v>3472</v>
      </c>
      <c r="N581" s="201" t="s">
        <v>1030</v>
      </c>
      <c r="O581" s="205" t="s">
        <v>652</v>
      </c>
      <c r="P581" s="205" t="s">
        <v>652</v>
      </c>
      <c r="Q581" s="208" t="s">
        <v>663</v>
      </c>
      <c r="R581" s="208" t="s">
        <v>723</v>
      </c>
      <c r="S581" s="208" t="s">
        <v>850</v>
      </c>
    </row>
    <row r="582" spans="1:19" s="205" customFormat="1" hidden="1" x14ac:dyDescent="0.2">
      <c r="A582" s="205" t="s">
        <v>247</v>
      </c>
      <c r="B582" s="205" t="s">
        <v>3473</v>
      </c>
      <c r="C582" s="200" t="s">
        <v>850</v>
      </c>
      <c r="D582" s="201" t="s">
        <v>152</v>
      </c>
      <c r="E582" s="201"/>
      <c r="F582" s="206">
        <v>57986</v>
      </c>
      <c r="G582" s="206">
        <v>5799</v>
      </c>
      <c r="H582" s="206">
        <v>290</v>
      </c>
      <c r="I582" s="202">
        <f t="shared" si="9"/>
        <v>52477</v>
      </c>
      <c r="J582" s="205" t="s">
        <v>489</v>
      </c>
      <c r="K582" s="205" t="s">
        <v>23</v>
      </c>
      <c r="L582" s="201" t="s">
        <v>1058</v>
      </c>
      <c r="M582" s="205" t="s">
        <v>3474</v>
      </c>
      <c r="N582" s="201" t="s">
        <v>1030</v>
      </c>
      <c r="O582" s="205" t="s">
        <v>652</v>
      </c>
      <c r="P582" s="205" t="s">
        <v>652</v>
      </c>
      <c r="Q582" s="208" t="s">
        <v>663</v>
      </c>
      <c r="R582" s="208" t="s">
        <v>723</v>
      </c>
      <c r="S582" s="208" t="s">
        <v>850</v>
      </c>
    </row>
    <row r="583" spans="1:19" s="205" customFormat="1" hidden="1" x14ac:dyDescent="0.2">
      <c r="A583" s="205" t="s">
        <v>247</v>
      </c>
      <c r="B583" s="205" t="s">
        <v>3475</v>
      </c>
      <c r="C583" s="200" t="s">
        <v>850</v>
      </c>
      <c r="D583" s="201" t="s">
        <v>152</v>
      </c>
      <c r="E583" s="201"/>
      <c r="F583" s="206">
        <v>80793</v>
      </c>
      <c r="G583" s="206">
        <v>8079</v>
      </c>
      <c r="H583" s="206">
        <v>404</v>
      </c>
      <c r="I583" s="202">
        <f t="shared" si="9"/>
        <v>73118</v>
      </c>
      <c r="J583" s="205" t="s">
        <v>489</v>
      </c>
      <c r="K583" s="205" t="s">
        <v>23</v>
      </c>
      <c r="L583" s="201" t="s">
        <v>1058</v>
      </c>
      <c r="M583" s="205" t="s">
        <v>3476</v>
      </c>
      <c r="N583" s="201" t="s">
        <v>1030</v>
      </c>
      <c r="O583" s="205" t="s">
        <v>652</v>
      </c>
      <c r="P583" s="205" t="s">
        <v>652</v>
      </c>
      <c r="Q583" s="216" t="s">
        <v>2191</v>
      </c>
      <c r="R583" s="216" t="s">
        <v>2192</v>
      </c>
      <c r="S583" s="216" t="s">
        <v>850</v>
      </c>
    </row>
    <row r="584" spans="1:19" s="205" customFormat="1" hidden="1" x14ac:dyDescent="0.2">
      <c r="A584" s="205" t="s">
        <v>247</v>
      </c>
      <c r="B584" s="205" t="s">
        <v>3477</v>
      </c>
      <c r="C584" s="200" t="s">
        <v>850</v>
      </c>
      <c r="D584" s="201" t="s">
        <v>152</v>
      </c>
      <c r="E584" s="201"/>
      <c r="F584" s="206">
        <v>42459</v>
      </c>
      <c r="G584" s="206">
        <v>4246</v>
      </c>
      <c r="H584" s="206">
        <v>212</v>
      </c>
      <c r="I584" s="202">
        <f t="shared" si="9"/>
        <v>38425</v>
      </c>
      <c r="J584" s="205" t="s">
        <v>489</v>
      </c>
      <c r="K584" s="205" t="s">
        <v>23</v>
      </c>
      <c r="L584" s="201" t="s">
        <v>1058</v>
      </c>
      <c r="M584" s="205" t="s">
        <v>3478</v>
      </c>
      <c r="N584" s="201" t="s">
        <v>1030</v>
      </c>
      <c r="O584" s="205" t="s">
        <v>652</v>
      </c>
      <c r="P584" s="205" t="s">
        <v>652</v>
      </c>
      <c r="Q584" s="216" t="s">
        <v>663</v>
      </c>
      <c r="R584" s="216" t="s">
        <v>723</v>
      </c>
      <c r="S584" s="216" t="s">
        <v>850</v>
      </c>
    </row>
    <row r="585" spans="1:19" s="205" customFormat="1" hidden="1" x14ac:dyDescent="0.2">
      <c r="A585" s="205" t="s">
        <v>247</v>
      </c>
      <c r="B585" s="205" t="s">
        <v>3479</v>
      </c>
      <c r="C585" s="200" t="s">
        <v>850</v>
      </c>
      <c r="D585" s="201" t="s">
        <v>152</v>
      </c>
      <c r="E585" s="201"/>
      <c r="F585" s="206">
        <v>69985</v>
      </c>
      <c r="G585" s="206">
        <v>6999</v>
      </c>
      <c r="H585" s="206">
        <v>350</v>
      </c>
      <c r="I585" s="202">
        <f t="shared" si="9"/>
        <v>63336</v>
      </c>
      <c r="J585" s="205" t="s">
        <v>489</v>
      </c>
      <c r="K585" s="205" t="s">
        <v>23</v>
      </c>
      <c r="L585" s="201" t="s">
        <v>1058</v>
      </c>
      <c r="M585" s="205" t="s">
        <v>3480</v>
      </c>
      <c r="N585" s="201" t="s">
        <v>1030</v>
      </c>
      <c r="O585" s="205" t="s">
        <v>652</v>
      </c>
      <c r="P585" s="205" t="s">
        <v>652</v>
      </c>
      <c r="Q585" s="208" t="s">
        <v>663</v>
      </c>
      <c r="R585" s="208" t="s">
        <v>723</v>
      </c>
      <c r="S585" s="208" t="s">
        <v>850</v>
      </c>
    </row>
    <row r="586" spans="1:19" s="205" customFormat="1" hidden="1" x14ac:dyDescent="0.2">
      <c r="A586" s="205" t="s">
        <v>247</v>
      </c>
      <c r="B586" s="205" t="s">
        <v>3481</v>
      </c>
      <c r="C586" s="200" t="s">
        <v>850</v>
      </c>
      <c r="D586" s="201" t="s">
        <v>152</v>
      </c>
      <c r="E586" s="201"/>
      <c r="F586" s="206">
        <v>42459</v>
      </c>
      <c r="G586" s="206">
        <v>4246</v>
      </c>
      <c r="H586" s="206">
        <v>212</v>
      </c>
      <c r="I586" s="202">
        <f t="shared" si="9"/>
        <v>38425</v>
      </c>
      <c r="J586" s="205" t="s">
        <v>489</v>
      </c>
      <c r="K586" s="205" t="s">
        <v>23</v>
      </c>
      <c r="L586" s="201" t="s">
        <v>1058</v>
      </c>
      <c r="M586" s="205" t="s">
        <v>3482</v>
      </c>
      <c r="N586" s="201" t="s">
        <v>1030</v>
      </c>
      <c r="O586" s="205" t="s">
        <v>652</v>
      </c>
      <c r="P586" s="205" t="s">
        <v>652</v>
      </c>
      <c r="Q586" s="208" t="s">
        <v>987</v>
      </c>
      <c r="R586" s="208" t="s">
        <v>988</v>
      </c>
      <c r="S586" s="208" t="s">
        <v>850</v>
      </c>
    </row>
    <row r="587" spans="1:19" s="205" customFormat="1" hidden="1" x14ac:dyDescent="0.2">
      <c r="A587" s="205" t="s">
        <v>247</v>
      </c>
      <c r="B587" s="205" t="s">
        <v>3483</v>
      </c>
      <c r="C587" s="200" t="s">
        <v>850</v>
      </c>
      <c r="D587" s="201" t="s">
        <v>152</v>
      </c>
      <c r="E587" s="201"/>
      <c r="F587" s="206">
        <v>80793</v>
      </c>
      <c r="G587" s="206">
        <v>8079</v>
      </c>
      <c r="H587" s="206">
        <v>404</v>
      </c>
      <c r="I587" s="202">
        <f t="shared" si="9"/>
        <v>73118</v>
      </c>
      <c r="J587" s="205" t="s">
        <v>489</v>
      </c>
      <c r="K587" s="205" t="s">
        <v>23</v>
      </c>
      <c r="L587" s="201" t="s">
        <v>1058</v>
      </c>
      <c r="M587" s="205" t="s">
        <v>3484</v>
      </c>
      <c r="N587" s="201" t="s">
        <v>1030</v>
      </c>
      <c r="O587" s="205" t="s">
        <v>652</v>
      </c>
      <c r="P587" s="205" t="s">
        <v>652</v>
      </c>
      <c r="Q587" s="208" t="s">
        <v>987</v>
      </c>
      <c r="R587" s="208" t="s">
        <v>988</v>
      </c>
      <c r="S587" s="208" t="s">
        <v>850</v>
      </c>
    </row>
    <row r="588" spans="1:19" s="205" customFormat="1" hidden="1" x14ac:dyDescent="0.2">
      <c r="A588" s="205" t="s">
        <v>247</v>
      </c>
      <c r="B588" s="205" t="s">
        <v>3485</v>
      </c>
      <c r="C588" s="200" t="s">
        <v>850</v>
      </c>
      <c r="D588" s="201" t="s">
        <v>152</v>
      </c>
      <c r="E588" s="201"/>
      <c r="F588" s="206">
        <v>57986</v>
      </c>
      <c r="G588" s="206">
        <v>5799</v>
      </c>
      <c r="H588" s="206">
        <v>290</v>
      </c>
      <c r="I588" s="202">
        <f t="shared" si="9"/>
        <v>52477</v>
      </c>
      <c r="J588" s="205" t="s">
        <v>489</v>
      </c>
      <c r="K588" s="205" t="s">
        <v>23</v>
      </c>
      <c r="L588" s="201" t="s">
        <v>1058</v>
      </c>
      <c r="M588" s="205" t="s">
        <v>3486</v>
      </c>
      <c r="N588" s="201" t="s">
        <v>1030</v>
      </c>
      <c r="O588" s="205" t="s">
        <v>652</v>
      </c>
      <c r="P588" s="205" t="s">
        <v>652</v>
      </c>
      <c r="Q588" s="208" t="s">
        <v>987</v>
      </c>
      <c r="R588" s="208" t="s">
        <v>988</v>
      </c>
      <c r="S588" s="208" t="s">
        <v>850</v>
      </c>
    </row>
    <row r="589" spans="1:19" s="205" customFormat="1" hidden="1" x14ac:dyDescent="0.2">
      <c r="A589" s="205" t="s">
        <v>247</v>
      </c>
      <c r="B589" s="205" t="s">
        <v>3487</v>
      </c>
      <c r="C589" s="200" t="s">
        <v>850</v>
      </c>
      <c r="D589" s="201" t="s">
        <v>152</v>
      </c>
      <c r="E589" s="201"/>
      <c r="F589" s="206">
        <v>57986</v>
      </c>
      <c r="G589" s="206">
        <v>5799</v>
      </c>
      <c r="H589" s="206">
        <v>290</v>
      </c>
      <c r="I589" s="202">
        <f t="shared" si="9"/>
        <v>52477</v>
      </c>
      <c r="J589" s="205" t="s">
        <v>489</v>
      </c>
      <c r="K589" s="205" t="s">
        <v>23</v>
      </c>
      <c r="L589" s="201" t="s">
        <v>1058</v>
      </c>
      <c r="M589" s="205" t="s">
        <v>3488</v>
      </c>
      <c r="N589" s="201" t="s">
        <v>1030</v>
      </c>
      <c r="O589" s="205" t="s">
        <v>652</v>
      </c>
      <c r="P589" s="205" t="s">
        <v>652</v>
      </c>
      <c r="Q589" s="208" t="s">
        <v>987</v>
      </c>
      <c r="R589" s="208" t="s">
        <v>988</v>
      </c>
      <c r="S589" s="208" t="s">
        <v>850</v>
      </c>
    </row>
    <row r="590" spans="1:19" s="205" customFormat="1" hidden="1" x14ac:dyDescent="0.2">
      <c r="A590" s="205" t="s">
        <v>247</v>
      </c>
      <c r="B590" s="205" t="s">
        <v>3489</v>
      </c>
      <c r="C590" s="200" t="s">
        <v>850</v>
      </c>
      <c r="D590" s="201" t="s">
        <v>152</v>
      </c>
      <c r="E590" s="201"/>
      <c r="F590" s="206">
        <v>42459</v>
      </c>
      <c r="G590" s="206">
        <v>4246</v>
      </c>
      <c r="H590" s="206">
        <v>212</v>
      </c>
      <c r="I590" s="202">
        <f t="shared" si="9"/>
        <v>38425</v>
      </c>
      <c r="J590" s="205" t="s">
        <v>489</v>
      </c>
      <c r="K590" s="205" t="s">
        <v>23</v>
      </c>
      <c r="L590" s="201" t="s">
        <v>1058</v>
      </c>
      <c r="M590" s="205" t="s">
        <v>3490</v>
      </c>
      <c r="N590" s="201" t="s">
        <v>1030</v>
      </c>
      <c r="O590" s="205" t="s">
        <v>652</v>
      </c>
      <c r="P590" s="205" t="s">
        <v>652</v>
      </c>
      <c r="Q590" s="208" t="s">
        <v>987</v>
      </c>
      <c r="R590" s="208" t="s">
        <v>988</v>
      </c>
      <c r="S590" s="208" t="s">
        <v>850</v>
      </c>
    </row>
    <row r="591" spans="1:19" s="205" customFormat="1" hidden="1" x14ac:dyDescent="0.2">
      <c r="A591" s="205" t="s">
        <v>247</v>
      </c>
      <c r="B591" s="205" t="s">
        <v>3491</v>
      </c>
      <c r="C591" s="200" t="s">
        <v>850</v>
      </c>
      <c r="D591" s="201" t="s">
        <v>152</v>
      </c>
      <c r="E591" s="201"/>
      <c r="F591" s="206">
        <v>69985</v>
      </c>
      <c r="G591" s="206">
        <v>6999</v>
      </c>
      <c r="H591" s="206">
        <v>350</v>
      </c>
      <c r="I591" s="202">
        <f t="shared" si="9"/>
        <v>63336</v>
      </c>
      <c r="J591" s="205" t="s">
        <v>489</v>
      </c>
      <c r="K591" s="205" t="s">
        <v>23</v>
      </c>
      <c r="L591" s="201" t="s">
        <v>1058</v>
      </c>
      <c r="M591" s="205" t="s">
        <v>3492</v>
      </c>
      <c r="N591" s="201" t="s">
        <v>1030</v>
      </c>
      <c r="O591" s="205" t="s">
        <v>652</v>
      </c>
      <c r="P591" s="205" t="s">
        <v>652</v>
      </c>
      <c r="Q591" s="208" t="s">
        <v>987</v>
      </c>
      <c r="R591" s="208" t="s">
        <v>988</v>
      </c>
      <c r="S591" s="208" t="s">
        <v>850</v>
      </c>
    </row>
    <row r="592" spans="1:19" s="205" customFormat="1" hidden="1" x14ac:dyDescent="0.2">
      <c r="A592" s="205" t="s">
        <v>247</v>
      </c>
      <c r="B592" s="205" t="s">
        <v>3493</v>
      </c>
      <c r="C592" s="200" t="s">
        <v>850</v>
      </c>
      <c r="D592" s="201" t="s">
        <v>152</v>
      </c>
      <c r="E592" s="201"/>
      <c r="F592" s="206">
        <v>42459</v>
      </c>
      <c r="G592" s="206">
        <v>4246</v>
      </c>
      <c r="H592" s="206">
        <v>212</v>
      </c>
      <c r="I592" s="202">
        <f t="shared" si="9"/>
        <v>38425</v>
      </c>
      <c r="J592" s="205" t="s">
        <v>489</v>
      </c>
      <c r="K592" s="205" t="s">
        <v>23</v>
      </c>
      <c r="L592" s="201" t="s">
        <v>1058</v>
      </c>
      <c r="M592" s="205" t="s">
        <v>3494</v>
      </c>
      <c r="N592" s="201" t="s">
        <v>1030</v>
      </c>
      <c r="O592" s="205" t="s">
        <v>652</v>
      </c>
      <c r="P592" s="205" t="s">
        <v>652</v>
      </c>
      <c r="Q592" s="208" t="s">
        <v>987</v>
      </c>
      <c r="R592" s="208" t="s">
        <v>988</v>
      </c>
      <c r="S592" s="208" t="s">
        <v>850</v>
      </c>
    </row>
    <row r="593" spans="1:19" s="205" customFormat="1" hidden="1" x14ac:dyDescent="0.2">
      <c r="A593" s="205" t="s">
        <v>247</v>
      </c>
      <c r="B593" s="205" t="s">
        <v>3495</v>
      </c>
      <c r="C593" s="200" t="s">
        <v>850</v>
      </c>
      <c r="D593" s="201" t="s">
        <v>152</v>
      </c>
      <c r="E593" s="201"/>
      <c r="F593" s="206">
        <v>42459</v>
      </c>
      <c r="G593" s="206">
        <v>4246</v>
      </c>
      <c r="H593" s="206">
        <v>212</v>
      </c>
      <c r="I593" s="202">
        <f t="shared" si="9"/>
        <v>38425</v>
      </c>
      <c r="J593" s="205" t="s">
        <v>489</v>
      </c>
      <c r="K593" s="205" t="s">
        <v>23</v>
      </c>
      <c r="L593" s="201" t="s">
        <v>1058</v>
      </c>
      <c r="M593" s="205" t="s">
        <v>3496</v>
      </c>
      <c r="N593" s="201" t="s">
        <v>1030</v>
      </c>
      <c r="O593" s="205" t="s">
        <v>652</v>
      </c>
      <c r="P593" s="205" t="s">
        <v>652</v>
      </c>
      <c r="Q593" s="208" t="s">
        <v>987</v>
      </c>
      <c r="R593" s="208" t="s">
        <v>988</v>
      </c>
      <c r="S593" s="208" t="s">
        <v>850</v>
      </c>
    </row>
    <row r="594" spans="1:19" s="205" customFormat="1" hidden="1" x14ac:dyDescent="0.2">
      <c r="A594" s="205" t="s">
        <v>247</v>
      </c>
      <c r="B594" s="205" t="s">
        <v>3497</v>
      </c>
      <c r="C594" s="200" t="s">
        <v>850</v>
      </c>
      <c r="D594" s="201" t="s">
        <v>152</v>
      </c>
      <c r="E594" s="201"/>
      <c r="F594" s="206">
        <v>42459</v>
      </c>
      <c r="G594" s="206">
        <v>4246</v>
      </c>
      <c r="H594" s="206">
        <v>212</v>
      </c>
      <c r="I594" s="202">
        <f t="shared" si="9"/>
        <v>38425</v>
      </c>
      <c r="J594" s="205" t="s">
        <v>489</v>
      </c>
      <c r="K594" s="205" t="s">
        <v>23</v>
      </c>
      <c r="L594" s="201" t="s">
        <v>1058</v>
      </c>
      <c r="M594" s="205" t="s">
        <v>3498</v>
      </c>
      <c r="N594" s="201" t="s">
        <v>1030</v>
      </c>
      <c r="O594" s="205" t="s">
        <v>652</v>
      </c>
      <c r="P594" s="205" t="s">
        <v>652</v>
      </c>
      <c r="Q594" s="208" t="s">
        <v>987</v>
      </c>
      <c r="R594" s="208" t="s">
        <v>988</v>
      </c>
      <c r="S594" s="208" t="s">
        <v>850</v>
      </c>
    </row>
    <row r="595" spans="1:19" s="205" customFormat="1" hidden="1" x14ac:dyDescent="0.2">
      <c r="A595" s="205" t="s">
        <v>247</v>
      </c>
      <c r="B595" s="205" t="s">
        <v>3499</v>
      </c>
      <c r="C595" s="200" t="s">
        <v>850</v>
      </c>
      <c r="D595" s="201" t="s">
        <v>152</v>
      </c>
      <c r="E595" s="201"/>
      <c r="F595" s="206">
        <v>93209</v>
      </c>
      <c r="G595" s="206">
        <v>9321</v>
      </c>
      <c r="H595" s="206">
        <v>466</v>
      </c>
      <c r="I595" s="202">
        <f t="shared" si="9"/>
        <v>84354</v>
      </c>
      <c r="J595" s="205" t="s">
        <v>489</v>
      </c>
      <c r="K595" s="205" t="s">
        <v>23</v>
      </c>
      <c r="L595" s="201" t="s">
        <v>1058</v>
      </c>
      <c r="M595" s="205" t="s">
        <v>3500</v>
      </c>
      <c r="N595" s="201" t="s">
        <v>1030</v>
      </c>
      <c r="O595" s="205" t="s">
        <v>652</v>
      </c>
      <c r="P595" s="205" t="s">
        <v>652</v>
      </c>
      <c r="Q595" s="208" t="s">
        <v>987</v>
      </c>
      <c r="R595" s="208" t="s">
        <v>988</v>
      </c>
      <c r="S595" s="208" t="s">
        <v>850</v>
      </c>
    </row>
    <row r="596" spans="1:19" s="205" customFormat="1" hidden="1" x14ac:dyDescent="0.2">
      <c r="A596" s="205" t="s">
        <v>247</v>
      </c>
      <c r="B596" s="205" t="s">
        <v>3501</v>
      </c>
      <c r="C596" s="200" t="s">
        <v>850</v>
      </c>
      <c r="D596" s="201" t="s">
        <v>152</v>
      </c>
      <c r="E596" s="201"/>
      <c r="F596" s="206">
        <v>80793</v>
      </c>
      <c r="G596" s="206">
        <v>8079</v>
      </c>
      <c r="H596" s="206">
        <v>404</v>
      </c>
      <c r="I596" s="202">
        <f t="shared" si="9"/>
        <v>73118</v>
      </c>
      <c r="J596" s="205" t="s">
        <v>489</v>
      </c>
      <c r="K596" s="205" t="s">
        <v>23</v>
      </c>
      <c r="L596" s="201" t="s">
        <v>1058</v>
      </c>
      <c r="M596" s="205" t="s">
        <v>3502</v>
      </c>
      <c r="N596" s="201" t="s">
        <v>1030</v>
      </c>
      <c r="O596" s="205" t="s">
        <v>652</v>
      </c>
      <c r="P596" s="205" t="s">
        <v>652</v>
      </c>
      <c r="Q596" s="208" t="s">
        <v>987</v>
      </c>
      <c r="R596" s="208" t="s">
        <v>988</v>
      </c>
      <c r="S596" s="208" t="s">
        <v>850</v>
      </c>
    </row>
    <row r="597" spans="1:19" s="205" customFormat="1" hidden="1" x14ac:dyDescent="0.2">
      <c r="A597" s="205" t="s">
        <v>247</v>
      </c>
      <c r="B597" s="205" t="s">
        <v>3503</v>
      </c>
      <c r="C597" s="200" t="s">
        <v>850</v>
      </c>
      <c r="D597" s="201" t="s">
        <v>152</v>
      </c>
      <c r="E597" s="201"/>
      <c r="F597" s="206">
        <v>42459</v>
      </c>
      <c r="G597" s="206">
        <v>4246</v>
      </c>
      <c r="H597" s="206">
        <v>212</v>
      </c>
      <c r="I597" s="202">
        <f t="shared" si="9"/>
        <v>38425</v>
      </c>
      <c r="J597" s="205" t="s">
        <v>489</v>
      </c>
      <c r="K597" s="205" t="s">
        <v>23</v>
      </c>
      <c r="L597" s="201" t="s">
        <v>1058</v>
      </c>
      <c r="M597" s="205" t="s">
        <v>3504</v>
      </c>
      <c r="N597" s="201" t="s">
        <v>1030</v>
      </c>
      <c r="O597" s="205" t="s">
        <v>652</v>
      </c>
      <c r="P597" s="205" t="s">
        <v>652</v>
      </c>
      <c r="Q597" s="208" t="s">
        <v>987</v>
      </c>
      <c r="R597" s="208" t="s">
        <v>988</v>
      </c>
      <c r="S597" s="208" t="s">
        <v>850</v>
      </c>
    </row>
    <row r="598" spans="1:19" s="205" customFormat="1" hidden="1" x14ac:dyDescent="0.2">
      <c r="A598" s="205" t="s">
        <v>247</v>
      </c>
      <c r="B598" s="205" t="s">
        <v>3505</v>
      </c>
      <c r="C598" s="200" t="s">
        <v>850</v>
      </c>
      <c r="D598" s="199" t="s">
        <v>152</v>
      </c>
      <c r="E598" s="199"/>
      <c r="F598" s="206">
        <v>80793</v>
      </c>
      <c r="G598" s="206">
        <v>8079</v>
      </c>
      <c r="H598" s="206">
        <v>404</v>
      </c>
      <c r="I598" s="202">
        <f t="shared" si="9"/>
        <v>73118</v>
      </c>
      <c r="J598" s="205" t="s">
        <v>489</v>
      </c>
      <c r="K598" s="205" t="s">
        <v>23</v>
      </c>
      <c r="L598" s="201" t="s">
        <v>1058</v>
      </c>
      <c r="M598" s="205" t="s">
        <v>3506</v>
      </c>
      <c r="N598" s="201" t="s">
        <v>1030</v>
      </c>
      <c r="O598" s="205" t="s">
        <v>652</v>
      </c>
      <c r="P598" s="205" t="s">
        <v>652</v>
      </c>
      <c r="Q598" s="208" t="s">
        <v>987</v>
      </c>
      <c r="R598" s="208" t="s">
        <v>988</v>
      </c>
      <c r="S598" s="208" t="s">
        <v>850</v>
      </c>
    </row>
    <row r="599" spans="1:19" s="205" customFormat="1" hidden="1" x14ac:dyDescent="0.2">
      <c r="A599" s="205" t="s">
        <v>247</v>
      </c>
      <c r="B599" s="205" t="s">
        <v>3507</v>
      </c>
      <c r="C599" s="200" t="s">
        <v>850</v>
      </c>
      <c r="D599" s="201" t="s">
        <v>152</v>
      </c>
      <c r="E599" s="201"/>
      <c r="F599" s="206">
        <v>80793</v>
      </c>
      <c r="G599" s="206">
        <v>8079</v>
      </c>
      <c r="H599" s="206">
        <v>404</v>
      </c>
      <c r="I599" s="202">
        <f t="shared" si="9"/>
        <v>73118</v>
      </c>
      <c r="J599" s="205" t="s">
        <v>489</v>
      </c>
      <c r="K599" s="205" t="s">
        <v>23</v>
      </c>
      <c r="L599" s="201" t="s">
        <v>1058</v>
      </c>
      <c r="M599" s="205" t="s">
        <v>3508</v>
      </c>
      <c r="N599" s="201" t="s">
        <v>1030</v>
      </c>
      <c r="O599" s="205" t="s">
        <v>652</v>
      </c>
      <c r="P599" s="205" t="s">
        <v>652</v>
      </c>
      <c r="Q599" s="208" t="s">
        <v>987</v>
      </c>
      <c r="R599" s="208" t="s">
        <v>988</v>
      </c>
      <c r="S599" s="208" t="s">
        <v>850</v>
      </c>
    </row>
    <row r="600" spans="1:19" s="205" customFormat="1" hidden="1" x14ac:dyDescent="0.2">
      <c r="A600" s="205" t="s">
        <v>247</v>
      </c>
      <c r="B600" s="205" t="s">
        <v>3509</v>
      </c>
      <c r="C600" s="200" t="s">
        <v>850</v>
      </c>
      <c r="D600" s="201" t="s">
        <v>152</v>
      </c>
      <c r="E600" s="201"/>
      <c r="F600" s="206">
        <v>64044</v>
      </c>
      <c r="G600" s="206">
        <v>6404</v>
      </c>
      <c r="H600" s="206">
        <v>320</v>
      </c>
      <c r="I600" s="202">
        <f t="shared" si="9"/>
        <v>57960</v>
      </c>
      <c r="J600" s="205" t="s">
        <v>489</v>
      </c>
      <c r="K600" s="205" t="s">
        <v>23</v>
      </c>
      <c r="L600" s="201" t="s">
        <v>1058</v>
      </c>
      <c r="M600" s="205" t="s">
        <v>3510</v>
      </c>
      <c r="N600" s="201" t="s">
        <v>1030</v>
      </c>
      <c r="O600" s="205" t="s">
        <v>652</v>
      </c>
      <c r="P600" s="205" t="s">
        <v>652</v>
      </c>
      <c r="Q600" s="208" t="s">
        <v>987</v>
      </c>
      <c r="R600" s="208" t="s">
        <v>988</v>
      </c>
      <c r="S600" s="208" t="s">
        <v>850</v>
      </c>
    </row>
    <row r="601" spans="1:19" s="205" customFormat="1" hidden="1" x14ac:dyDescent="0.2">
      <c r="A601" s="205" t="s">
        <v>762</v>
      </c>
      <c r="B601" s="205" t="s">
        <v>3511</v>
      </c>
      <c r="C601" s="200" t="s">
        <v>850</v>
      </c>
      <c r="D601" s="201" t="s">
        <v>152</v>
      </c>
      <c r="E601" s="201"/>
      <c r="F601" s="206">
        <v>55394</v>
      </c>
      <c r="G601" s="206">
        <v>5539</v>
      </c>
      <c r="H601" s="206">
        <v>277</v>
      </c>
      <c r="I601" s="202">
        <f t="shared" si="9"/>
        <v>50132</v>
      </c>
      <c r="J601" s="205" t="s">
        <v>489</v>
      </c>
      <c r="K601" s="205" t="s">
        <v>23</v>
      </c>
      <c r="L601" s="201" t="s">
        <v>1058</v>
      </c>
      <c r="M601" s="205" t="s">
        <v>3512</v>
      </c>
      <c r="N601" s="201" t="s">
        <v>1030</v>
      </c>
      <c r="O601" s="205" t="s">
        <v>652</v>
      </c>
      <c r="P601" s="205" t="s">
        <v>652</v>
      </c>
      <c r="Q601" s="208" t="s">
        <v>663</v>
      </c>
      <c r="R601" s="208" t="s">
        <v>723</v>
      </c>
      <c r="S601" s="208" t="s">
        <v>850</v>
      </c>
    </row>
    <row r="602" spans="1:19" s="205" customFormat="1" hidden="1" x14ac:dyDescent="0.2">
      <c r="A602" s="205" t="s">
        <v>762</v>
      </c>
      <c r="B602" s="205" t="s">
        <v>3513</v>
      </c>
      <c r="C602" s="200" t="s">
        <v>850</v>
      </c>
      <c r="D602" s="201" t="s">
        <v>152</v>
      </c>
      <c r="E602" s="201"/>
      <c r="F602" s="206">
        <v>55394</v>
      </c>
      <c r="G602" s="206">
        <v>5539</v>
      </c>
      <c r="H602" s="206">
        <v>277</v>
      </c>
      <c r="I602" s="202">
        <f t="shared" si="9"/>
        <v>50132</v>
      </c>
      <c r="J602" s="205" t="s">
        <v>489</v>
      </c>
      <c r="K602" s="205" t="s">
        <v>23</v>
      </c>
      <c r="L602" s="201" t="s">
        <v>1058</v>
      </c>
      <c r="M602" s="205" t="s">
        <v>3514</v>
      </c>
      <c r="N602" s="201" t="s">
        <v>1030</v>
      </c>
      <c r="O602" s="205" t="s">
        <v>652</v>
      </c>
      <c r="P602" s="205" t="s">
        <v>652</v>
      </c>
      <c r="Q602" s="208" t="s">
        <v>663</v>
      </c>
      <c r="R602" s="208" t="s">
        <v>723</v>
      </c>
      <c r="S602" s="208" t="s">
        <v>850</v>
      </c>
    </row>
    <row r="603" spans="1:19" s="205" customFormat="1" hidden="1" x14ac:dyDescent="0.2">
      <c r="A603" s="205" t="s">
        <v>762</v>
      </c>
      <c r="B603" s="205" t="s">
        <v>3515</v>
      </c>
      <c r="C603" s="200" t="s">
        <v>850</v>
      </c>
      <c r="D603" s="201" t="s">
        <v>152</v>
      </c>
      <c r="E603" s="201"/>
      <c r="F603" s="206">
        <v>55394</v>
      </c>
      <c r="G603" s="206">
        <v>5539</v>
      </c>
      <c r="H603" s="206">
        <v>277</v>
      </c>
      <c r="I603" s="202">
        <f t="shared" si="9"/>
        <v>50132</v>
      </c>
      <c r="J603" s="205" t="s">
        <v>489</v>
      </c>
      <c r="K603" s="205" t="s">
        <v>23</v>
      </c>
      <c r="L603" s="201" t="s">
        <v>1058</v>
      </c>
      <c r="M603" s="205" t="s">
        <v>3516</v>
      </c>
      <c r="N603" s="201" t="s">
        <v>1030</v>
      </c>
      <c r="O603" s="205" t="s">
        <v>652</v>
      </c>
      <c r="P603" s="205" t="s">
        <v>652</v>
      </c>
      <c r="Q603" s="208" t="s">
        <v>987</v>
      </c>
      <c r="R603" s="208" t="s">
        <v>988</v>
      </c>
      <c r="S603" s="208" t="s">
        <v>850</v>
      </c>
    </row>
    <row r="604" spans="1:19" s="205" customFormat="1" hidden="1" x14ac:dyDescent="0.2">
      <c r="A604" s="205" t="s">
        <v>281</v>
      </c>
      <c r="B604" s="205" t="s">
        <v>3517</v>
      </c>
      <c r="C604" s="200" t="s">
        <v>850</v>
      </c>
      <c r="D604" s="201" t="s">
        <v>152</v>
      </c>
      <c r="E604" s="201"/>
      <c r="F604" s="206">
        <v>60628</v>
      </c>
      <c r="G604" s="206">
        <v>6063</v>
      </c>
      <c r="H604" s="206">
        <v>303</v>
      </c>
      <c r="I604" s="202">
        <f t="shared" si="9"/>
        <v>54868</v>
      </c>
      <c r="J604" s="205" t="s">
        <v>489</v>
      </c>
      <c r="K604" s="205" t="s">
        <v>23</v>
      </c>
      <c r="L604" s="201" t="s">
        <v>1042</v>
      </c>
      <c r="M604" s="205" t="s">
        <v>3518</v>
      </c>
      <c r="N604" s="201" t="s">
        <v>1030</v>
      </c>
      <c r="O604" s="205" t="s">
        <v>652</v>
      </c>
      <c r="P604" s="205" t="s">
        <v>652</v>
      </c>
      <c r="Q604" s="208" t="s">
        <v>663</v>
      </c>
      <c r="R604" s="208" t="s">
        <v>723</v>
      </c>
      <c r="S604" s="208" t="s">
        <v>850</v>
      </c>
    </row>
    <row r="605" spans="1:19" s="205" customFormat="1" hidden="1" x14ac:dyDescent="0.2">
      <c r="A605" s="205" t="s">
        <v>281</v>
      </c>
      <c r="B605" s="205" t="s">
        <v>3519</v>
      </c>
      <c r="C605" s="200" t="s">
        <v>850</v>
      </c>
      <c r="D605" s="201" t="s">
        <v>152</v>
      </c>
      <c r="E605" s="201"/>
      <c r="F605" s="206">
        <v>60628</v>
      </c>
      <c r="G605" s="206">
        <v>6063</v>
      </c>
      <c r="H605" s="206">
        <v>303</v>
      </c>
      <c r="I605" s="202">
        <f t="shared" si="9"/>
        <v>54868</v>
      </c>
      <c r="J605" s="205" t="s">
        <v>489</v>
      </c>
      <c r="K605" s="205" t="s">
        <v>23</v>
      </c>
      <c r="L605" s="201" t="s">
        <v>1042</v>
      </c>
      <c r="M605" s="205" t="s">
        <v>3520</v>
      </c>
      <c r="N605" s="201" t="s">
        <v>1030</v>
      </c>
      <c r="O605" s="205" t="s">
        <v>652</v>
      </c>
      <c r="P605" s="205" t="s">
        <v>652</v>
      </c>
      <c r="Q605" s="208" t="s">
        <v>987</v>
      </c>
      <c r="R605" s="208" t="s">
        <v>988</v>
      </c>
      <c r="S605" s="208" t="s">
        <v>850</v>
      </c>
    </row>
    <row r="606" spans="1:19" s="205" customFormat="1" hidden="1" x14ac:dyDescent="0.2">
      <c r="A606" s="205" t="s">
        <v>281</v>
      </c>
      <c r="B606" s="205" t="s">
        <v>3521</v>
      </c>
      <c r="C606" s="200" t="s">
        <v>850</v>
      </c>
      <c r="D606" s="201" t="s">
        <v>152</v>
      </c>
      <c r="E606" s="201"/>
      <c r="F606" s="206">
        <v>82085</v>
      </c>
      <c r="G606" s="206">
        <v>8209</v>
      </c>
      <c r="H606" s="206">
        <v>410</v>
      </c>
      <c r="I606" s="202">
        <f t="shared" si="9"/>
        <v>74286</v>
      </c>
      <c r="J606" s="205" t="s">
        <v>489</v>
      </c>
      <c r="K606" s="205" t="s">
        <v>23</v>
      </c>
      <c r="L606" s="201" t="s">
        <v>1042</v>
      </c>
      <c r="M606" s="205" t="s">
        <v>3522</v>
      </c>
      <c r="N606" s="201" t="s">
        <v>1030</v>
      </c>
      <c r="O606" s="205" t="s">
        <v>652</v>
      </c>
      <c r="P606" s="205" t="s">
        <v>652</v>
      </c>
      <c r="Q606" s="208" t="s">
        <v>987</v>
      </c>
      <c r="R606" s="208" t="s">
        <v>988</v>
      </c>
      <c r="S606" s="208" t="s">
        <v>850</v>
      </c>
    </row>
    <row r="607" spans="1:19" s="205" customFormat="1" hidden="1" x14ac:dyDescent="0.2">
      <c r="A607" s="205" t="s">
        <v>281</v>
      </c>
      <c r="B607" s="205" t="s">
        <v>3523</v>
      </c>
      <c r="C607" s="200" t="s">
        <v>850</v>
      </c>
      <c r="D607" s="201" t="s">
        <v>152</v>
      </c>
      <c r="E607" s="201"/>
      <c r="F607" s="206">
        <v>82085</v>
      </c>
      <c r="G607" s="206">
        <v>8209</v>
      </c>
      <c r="H607" s="206">
        <v>410</v>
      </c>
      <c r="I607" s="202">
        <f t="shared" si="9"/>
        <v>74286</v>
      </c>
      <c r="J607" s="205" t="s">
        <v>489</v>
      </c>
      <c r="K607" s="205" t="s">
        <v>23</v>
      </c>
      <c r="L607" s="201" t="s">
        <v>1042</v>
      </c>
      <c r="M607" s="205" t="s">
        <v>3524</v>
      </c>
      <c r="N607" s="201" t="s">
        <v>1030</v>
      </c>
      <c r="O607" s="205" t="s">
        <v>652</v>
      </c>
      <c r="P607" s="205" t="s">
        <v>652</v>
      </c>
      <c r="Q607" s="208" t="s">
        <v>987</v>
      </c>
      <c r="R607" s="208" t="s">
        <v>988</v>
      </c>
      <c r="S607" s="208" t="s">
        <v>850</v>
      </c>
    </row>
    <row r="608" spans="1:19" s="205" customFormat="1" hidden="1" x14ac:dyDescent="0.2">
      <c r="A608" s="205" t="s">
        <v>281</v>
      </c>
      <c r="B608" s="205" t="s">
        <v>3525</v>
      </c>
      <c r="C608" s="200" t="s">
        <v>850</v>
      </c>
      <c r="D608" s="201" t="s">
        <v>152</v>
      </c>
      <c r="E608" s="201"/>
      <c r="F608" s="206">
        <v>60628</v>
      </c>
      <c r="G608" s="206">
        <v>6063</v>
      </c>
      <c r="H608" s="206">
        <v>303</v>
      </c>
      <c r="I608" s="202">
        <f t="shared" si="9"/>
        <v>54868</v>
      </c>
      <c r="J608" s="205" t="s">
        <v>489</v>
      </c>
      <c r="K608" s="205" t="s">
        <v>23</v>
      </c>
      <c r="L608" s="201" t="s">
        <v>1042</v>
      </c>
      <c r="M608" s="205" t="s">
        <v>3526</v>
      </c>
      <c r="N608" s="201" t="s">
        <v>1030</v>
      </c>
      <c r="O608" s="205" t="s">
        <v>652</v>
      </c>
      <c r="P608" s="205" t="s">
        <v>652</v>
      </c>
      <c r="Q608" s="208" t="s">
        <v>987</v>
      </c>
      <c r="R608" s="208" t="s">
        <v>988</v>
      </c>
      <c r="S608" s="208" t="s">
        <v>850</v>
      </c>
    </row>
    <row r="609" spans="1:19" s="205" customFormat="1" hidden="1" x14ac:dyDescent="0.2">
      <c r="A609" s="205" t="s">
        <v>281</v>
      </c>
      <c r="B609" s="205" t="s">
        <v>3527</v>
      </c>
      <c r="C609" s="200" t="s">
        <v>850</v>
      </c>
      <c r="D609" s="201" t="s">
        <v>152</v>
      </c>
      <c r="E609" s="201"/>
      <c r="F609" s="206">
        <v>106992</v>
      </c>
      <c r="G609" s="206">
        <v>10699</v>
      </c>
      <c r="H609" s="206">
        <v>535</v>
      </c>
      <c r="I609" s="202">
        <f t="shared" si="9"/>
        <v>96828</v>
      </c>
      <c r="J609" s="205" t="s">
        <v>489</v>
      </c>
      <c r="K609" s="205" t="s">
        <v>23</v>
      </c>
      <c r="L609" s="201" t="s">
        <v>1042</v>
      </c>
      <c r="M609" s="205" t="s">
        <v>3528</v>
      </c>
      <c r="N609" s="201" t="s">
        <v>1030</v>
      </c>
      <c r="O609" s="205" t="s">
        <v>652</v>
      </c>
      <c r="P609" s="205" t="s">
        <v>652</v>
      </c>
      <c r="Q609" s="208" t="s">
        <v>987</v>
      </c>
      <c r="R609" s="208" t="s">
        <v>988</v>
      </c>
      <c r="S609" s="208" t="s">
        <v>850</v>
      </c>
    </row>
    <row r="610" spans="1:19" s="205" customFormat="1" hidden="1" x14ac:dyDescent="0.2">
      <c r="A610" s="205" t="s">
        <v>249</v>
      </c>
      <c r="B610" s="205" t="s">
        <v>3529</v>
      </c>
      <c r="C610" s="200" t="s">
        <v>850</v>
      </c>
      <c r="D610" s="201" t="s">
        <v>152</v>
      </c>
      <c r="E610" s="201"/>
      <c r="F610" s="206">
        <v>85607</v>
      </c>
      <c r="G610" s="206">
        <v>8561</v>
      </c>
      <c r="H610" s="206">
        <v>428</v>
      </c>
      <c r="I610" s="202">
        <f t="shared" si="9"/>
        <v>77474</v>
      </c>
      <c r="J610" s="205" t="s">
        <v>489</v>
      </c>
      <c r="K610" s="205" t="s">
        <v>23</v>
      </c>
      <c r="L610" s="201" t="s">
        <v>1042</v>
      </c>
      <c r="M610" s="205" t="s">
        <v>3530</v>
      </c>
      <c r="N610" s="201" t="s">
        <v>1030</v>
      </c>
      <c r="O610" s="205" t="s">
        <v>652</v>
      </c>
      <c r="P610" s="205" t="s">
        <v>652</v>
      </c>
      <c r="Q610" s="208" t="s">
        <v>663</v>
      </c>
      <c r="R610" s="208" t="s">
        <v>723</v>
      </c>
      <c r="S610" s="208" t="s">
        <v>850</v>
      </c>
    </row>
    <row r="611" spans="1:19" s="205" customFormat="1" hidden="1" x14ac:dyDescent="0.2">
      <c r="A611" s="205" t="s">
        <v>249</v>
      </c>
      <c r="B611" s="205" t="s">
        <v>3531</v>
      </c>
      <c r="C611" s="200" t="s">
        <v>850</v>
      </c>
      <c r="D611" s="201" t="s">
        <v>152</v>
      </c>
      <c r="E611" s="201"/>
      <c r="F611" s="206">
        <v>85607</v>
      </c>
      <c r="G611" s="206">
        <v>8561</v>
      </c>
      <c r="H611" s="206">
        <v>428</v>
      </c>
      <c r="I611" s="202">
        <f t="shared" si="9"/>
        <v>77474</v>
      </c>
      <c r="J611" s="205" t="s">
        <v>489</v>
      </c>
      <c r="K611" s="205" t="s">
        <v>23</v>
      </c>
      <c r="L611" s="201" t="s">
        <v>1042</v>
      </c>
      <c r="M611" s="205" t="s">
        <v>3532</v>
      </c>
      <c r="N611" s="201" t="s">
        <v>1030</v>
      </c>
      <c r="O611" s="205" t="s">
        <v>652</v>
      </c>
      <c r="P611" s="205" t="s">
        <v>652</v>
      </c>
      <c r="Q611" s="208" t="s">
        <v>663</v>
      </c>
      <c r="R611" s="208" t="s">
        <v>723</v>
      </c>
      <c r="S611" s="208" t="s">
        <v>850</v>
      </c>
    </row>
    <row r="612" spans="1:19" s="205" customFormat="1" hidden="1" x14ac:dyDescent="0.2">
      <c r="A612" s="205" t="s">
        <v>249</v>
      </c>
      <c r="B612" s="205" t="s">
        <v>3533</v>
      </c>
      <c r="C612" s="200" t="s">
        <v>850</v>
      </c>
      <c r="D612" s="201" t="s">
        <v>152</v>
      </c>
      <c r="E612" s="201"/>
      <c r="F612" s="206">
        <v>133312</v>
      </c>
      <c r="G612" s="206">
        <v>13331</v>
      </c>
      <c r="H612" s="206">
        <v>667</v>
      </c>
      <c r="I612" s="202">
        <f t="shared" si="9"/>
        <v>120648</v>
      </c>
      <c r="J612" s="205" t="s">
        <v>489</v>
      </c>
      <c r="K612" s="205" t="s">
        <v>23</v>
      </c>
      <c r="L612" s="201" t="s">
        <v>1042</v>
      </c>
      <c r="M612" s="205" t="s">
        <v>3534</v>
      </c>
      <c r="N612" s="201" t="s">
        <v>1030</v>
      </c>
      <c r="O612" s="205" t="s">
        <v>652</v>
      </c>
      <c r="P612" s="205" t="s">
        <v>652</v>
      </c>
      <c r="Q612" s="208" t="s">
        <v>663</v>
      </c>
      <c r="R612" s="208" t="s">
        <v>723</v>
      </c>
      <c r="S612" s="208" t="s">
        <v>850</v>
      </c>
    </row>
    <row r="613" spans="1:19" s="205" customFormat="1" hidden="1" x14ac:dyDescent="0.2">
      <c r="A613" s="205" t="s">
        <v>249</v>
      </c>
      <c r="B613" s="205" t="s">
        <v>3535</v>
      </c>
      <c r="C613" s="200" t="s">
        <v>850</v>
      </c>
      <c r="D613" s="201" t="s">
        <v>152</v>
      </c>
      <c r="E613" s="201"/>
      <c r="F613" s="206">
        <v>133312</v>
      </c>
      <c r="G613" s="206">
        <v>13331</v>
      </c>
      <c r="H613" s="206">
        <v>667</v>
      </c>
      <c r="I613" s="202">
        <f t="shared" si="9"/>
        <v>120648</v>
      </c>
      <c r="J613" s="205" t="s">
        <v>489</v>
      </c>
      <c r="K613" s="205" t="s">
        <v>23</v>
      </c>
      <c r="L613" s="201" t="s">
        <v>1042</v>
      </c>
      <c r="M613" s="205" t="s">
        <v>3536</v>
      </c>
      <c r="N613" s="201" t="s">
        <v>1030</v>
      </c>
      <c r="O613" s="205" t="s">
        <v>652</v>
      </c>
      <c r="P613" s="205" t="s">
        <v>652</v>
      </c>
      <c r="Q613" s="208" t="s">
        <v>663</v>
      </c>
      <c r="R613" s="208" t="s">
        <v>723</v>
      </c>
      <c r="S613" s="208" t="s">
        <v>850</v>
      </c>
    </row>
    <row r="614" spans="1:19" s="205" customFormat="1" hidden="1" x14ac:dyDescent="0.2">
      <c r="A614" s="205" t="s">
        <v>249</v>
      </c>
      <c r="B614" s="205" t="s">
        <v>3537</v>
      </c>
      <c r="C614" s="200" t="s">
        <v>850</v>
      </c>
      <c r="D614" s="199" t="s">
        <v>152</v>
      </c>
      <c r="E614" s="199"/>
      <c r="F614" s="206">
        <v>85607</v>
      </c>
      <c r="G614" s="206">
        <v>8561</v>
      </c>
      <c r="H614" s="206">
        <v>428</v>
      </c>
      <c r="I614" s="202">
        <f t="shared" si="9"/>
        <v>77474</v>
      </c>
      <c r="J614" s="205" t="s">
        <v>489</v>
      </c>
      <c r="K614" s="205" t="s">
        <v>23</v>
      </c>
      <c r="L614" s="201" t="s">
        <v>1042</v>
      </c>
      <c r="M614" s="205" t="s">
        <v>3538</v>
      </c>
      <c r="N614" s="201" t="s">
        <v>1030</v>
      </c>
      <c r="O614" s="205" t="s">
        <v>652</v>
      </c>
      <c r="P614" s="205" t="s">
        <v>652</v>
      </c>
      <c r="Q614" s="208" t="s">
        <v>663</v>
      </c>
      <c r="R614" s="208" t="s">
        <v>723</v>
      </c>
      <c r="S614" s="208" t="s">
        <v>850</v>
      </c>
    </row>
    <row r="615" spans="1:19" s="205" customFormat="1" hidden="1" x14ac:dyDescent="0.2">
      <c r="A615" s="205" t="s">
        <v>249</v>
      </c>
      <c r="B615" s="205" t="s">
        <v>3539</v>
      </c>
      <c r="C615" s="200" t="s">
        <v>850</v>
      </c>
      <c r="D615" s="201" t="s">
        <v>152</v>
      </c>
      <c r="E615" s="201"/>
      <c r="F615" s="206">
        <v>85607</v>
      </c>
      <c r="G615" s="206">
        <v>8561</v>
      </c>
      <c r="H615" s="206">
        <v>428</v>
      </c>
      <c r="I615" s="202">
        <f t="shared" si="9"/>
        <v>77474</v>
      </c>
      <c r="J615" s="205" t="s">
        <v>489</v>
      </c>
      <c r="K615" s="205" t="s">
        <v>23</v>
      </c>
      <c r="L615" s="201" t="s">
        <v>1042</v>
      </c>
      <c r="M615" s="205" t="s">
        <v>3540</v>
      </c>
      <c r="N615" s="201" t="s">
        <v>1030</v>
      </c>
      <c r="O615" s="205" t="s">
        <v>652</v>
      </c>
      <c r="P615" s="205" t="s">
        <v>652</v>
      </c>
      <c r="Q615" s="208" t="s">
        <v>663</v>
      </c>
      <c r="R615" s="208" t="s">
        <v>723</v>
      </c>
      <c r="S615" s="208" t="s">
        <v>850</v>
      </c>
    </row>
    <row r="616" spans="1:19" s="205" customFormat="1" hidden="1" x14ac:dyDescent="0.2">
      <c r="A616" s="205" t="s">
        <v>249</v>
      </c>
      <c r="B616" s="205" t="s">
        <v>3541</v>
      </c>
      <c r="C616" s="200" t="s">
        <v>850</v>
      </c>
      <c r="D616" s="201" t="s">
        <v>152</v>
      </c>
      <c r="E616" s="201"/>
      <c r="F616" s="206">
        <v>85607</v>
      </c>
      <c r="G616" s="206">
        <v>8561</v>
      </c>
      <c r="H616" s="206">
        <v>428</v>
      </c>
      <c r="I616" s="202">
        <f t="shared" si="9"/>
        <v>77474</v>
      </c>
      <c r="J616" s="205" t="s">
        <v>489</v>
      </c>
      <c r="K616" s="205" t="s">
        <v>23</v>
      </c>
      <c r="L616" s="201" t="s">
        <v>1042</v>
      </c>
      <c r="M616" s="205" t="s">
        <v>3542</v>
      </c>
      <c r="N616" s="201" t="s">
        <v>1030</v>
      </c>
      <c r="O616" s="205" t="s">
        <v>652</v>
      </c>
      <c r="P616" s="205" t="s">
        <v>652</v>
      </c>
      <c r="Q616" s="208" t="s">
        <v>663</v>
      </c>
      <c r="R616" s="208" t="s">
        <v>723</v>
      </c>
      <c r="S616" s="208" t="s">
        <v>850</v>
      </c>
    </row>
    <row r="617" spans="1:19" s="205" customFormat="1" hidden="1" x14ac:dyDescent="0.2">
      <c r="A617" s="205" t="s">
        <v>249</v>
      </c>
      <c r="B617" s="205" t="s">
        <v>3543</v>
      </c>
      <c r="C617" s="200" t="s">
        <v>850</v>
      </c>
      <c r="D617" s="201" t="s">
        <v>152</v>
      </c>
      <c r="E617" s="201"/>
      <c r="F617" s="206">
        <v>85607</v>
      </c>
      <c r="G617" s="206">
        <v>8561</v>
      </c>
      <c r="H617" s="206">
        <v>428</v>
      </c>
      <c r="I617" s="202">
        <f t="shared" si="9"/>
        <v>77474</v>
      </c>
      <c r="J617" s="205" t="s">
        <v>489</v>
      </c>
      <c r="K617" s="205" t="s">
        <v>23</v>
      </c>
      <c r="L617" s="201" t="s">
        <v>1042</v>
      </c>
      <c r="M617" s="205" t="s">
        <v>3544</v>
      </c>
      <c r="N617" s="201" t="s">
        <v>1030</v>
      </c>
      <c r="O617" s="205" t="s">
        <v>652</v>
      </c>
      <c r="P617" s="205" t="s">
        <v>652</v>
      </c>
      <c r="Q617" s="208" t="s">
        <v>663</v>
      </c>
      <c r="R617" s="208" t="s">
        <v>723</v>
      </c>
      <c r="S617" s="208" t="s">
        <v>850</v>
      </c>
    </row>
    <row r="618" spans="1:19" s="205" customFormat="1" hidden="1" x14ac:dyDescent="0.2">
      <c r="A618" s="205" t="s">
        <v>249</v>
      </c>
      <c r="B618" s="205" t="s">
        <v>3545</v>
      </c>
      <c r="C618" s="200" t="s">
        <v>850</v>
      </c>
      <c r="D618" s="201" t="s">
        <v>152</v>
      </c>
      <c r="E618" s="201"/>
      <c r="F618" s="206">
        <v>94377</v>
      </c>
      <c r="G618" s="206">
        <v>9438</v>
      </c>
      <c r="H618" s="206">
        <v>472</v>
      </c>
      <c r="I618" s="202">
        <f t="shared" si="9"/>
        <v>85411</v>
      </c>
      <c r="J618" s="205" t="s">
        <v>489</v>
      </c>
      <c r="K618" s="205" t="s">
        <v>23</v>
      </c>
      <c r="L618" s="201" t="s">
        <v>1042</v>
      </c>
      <c r="M618" s="205" t="s">
        <v>3546</v>
      </c>
      <c r="N618" s="201" t="s">
        <v>1030</v>
      </c>
      <c r="O618" s="205" t="s">
        <v>652</v>
      </c>
      <c r="P618" s="205" t="s">
        <v>652</v>
      </c>
      <c r="Q618" s="208" t="s">
        <v>663</v>
      </c>
      <c r="R618" s="208" t="s">
        <v>723</v>
      </c>
      <c r="S618" s="208" t="s">
        <v>850</v>
      </c>
    </row>
    <row r="619" spans="1:19" s="205" customFormat="1" hidden="1" x14ac:dyDescent="0.2">
      <c r="A619" s="205" t="s">
        <v>249</v>
      </c>
      <c r="B619" s="205" t="s">
        <v>3547</v>
      </c>
      <c r="C619" s="200" t="s">
        <v>850</v>
      </c>
      <c r="D619" s="201" t="s">
        <v>152</v>
      </c>
      <c r="E619" s="201"/>
      <c r="F619" s="206">
        <v>85607</v>
      </c>
      <c r="G619" s="206">
        <v>8561</v>
      </c>
      <c r="H619" s="206">
        <v>428</v>
      </c>
      <c r="I619" s="202">
        <f t="shared" si="9"/>
        <v>77474</v>
      </c>
      <c r="J619" s="205" t="s">
        <v>489</v>
      </c>
      <c r="K619" s="205" t="s">
        <v>23</v>
      </c>
      <c r="L619" s="201" t="s">
        <v>1042</v>
      </c>
      <c r="M619" s="205" t="s">
        <v>3548</v>
      </c>
      <c r="N619" s="201" t="s">
        <v>1030</v>
      </c>
      <c r="O619" s="205" t="s">
        <v>652</v>
      </c>
      <c r="P619" s="205" t="s">
        <v>652</v>
      </c>
      <c r="Q619" s="208" t="s">
        <v>663</v>
      </c>
      <c r="R619" s="208" t="s">
        <v>723</v>
      </c>
      <c r="S619" s="208" t="s">
        <v>850</v>
      </c>
    </row>
    <row r="620" spans="1:19" s="205" customFormat="1" hidden="1" x14ac:dyDescent="0.2">
      <c r="A620" s="205" t="s">
        <v>249</v>
      </c>
      <c r="B620" s="205" t="s">
        <v>3549</v>
      </c>
      <c r="C620" s="200" t="s">
        <v>850</v>
      </c>
      <c r="D620" s="201" t="s">
        <v>152</v>
      </c>
      <c r="E620" s="201"/>
      <c r="F620" s="206">
        <v>85607</v>
      </c>
      <c r="G620" s="206">
        <v>8561</v>
      </c>
      <c r="H620" s="206">
        <v>428</v>
      </c>
      <c r="I620" s="202">
        <f t="shared" si="9"/>
        <v>77474</v>
      </c>
      <c r="J620" s="205" t="s">
        <v>489</v>
      </c>
      <c r="K620" s="205" t="s">
        <v>23</v>
      </c>
      <c r="L620" s="201" t="s">
        <v>1042</v>
      </c>
      <c r="M620" s="205" t="s">
        <v>3550</v>
      </c>
      <c r="N620" s="201" t="s">
        <v>1030</v>
      </c>
      <c r="O620" s="205" t="s">
        <v>652</v>
      </c>
      <c r="P620" s="205" t="s">
        <v>652</v>
      </c>
      <c r="Q620" s="208" t="s">
        <v>663</v>
      </c>
      <c r="R620" s="208" t="s">
        <v>723</v>
      </c>
      <c r="S620" s="208" t="s">
        <v>850</v>
      </c>
    </row>
    <row r="621" spans="1:19" s="205" customFormat="1" hidden="1" x14ac:dyDescent="0.2">
      <c r="A621" s="205" t="s">
        <v>249</v>
      </c>
      <c r="B621" s="205" t="s">
        <v>829</v>
      </c>
      <c r="C621" s="200" t="s">
        <v>850</v>
      </c>
      <c r="D621" s="201" t="s">
        <v>152</v>
      </c>
      <c r="E621" s="201"/>
      <c r="F621" s="206">
        <v>85607</v>
      </c>
      <c r="G621" s="206">
        <v>8561</v>
      </c>
      <c r="H621" s="206">
        <v>428</v>
      </c>
      <c r="I621" s="202">
        <f t="shared" si="9"/>
        <v>77474</v>
      </c>
      <c r="J621" s="205" t="s">
        <v>489</v>
      </c>
      <c r="K621" s="205" t="s">
        <v>23</v>
      </c>
      <c r="L621" s="201" t="s">
        <v>1042</v>
      </c>
      <c r="M621" s="205" t="s">
        <v>3551</v>
      </c>
      <c r="N621" s="201" t="s">
        <v>1030</v>
      </c>
      <c r="O621" s="205" t="s">
        <v>652</v>
      </c>
      <c r="P621" s="205" t="s">
        <v>652</v>
      </c>
      <c r="Q621" s="208" t="s">
        <v>722</v>
      </c>
      <c r="R621" s="208" t="s">
        <v>723</v>
      </c>
      <c r="S621" s="208" t="s">
        <v>850</v>
      </c>
    </row>
    <row r="622" spans="1:19" s="205" customFormat="1" hidden="1" x14ac:dyDescent="0.2">
      <c r="A622" s="205" t="s">
        <v>249</v>
      </c>
      <c r="B622" s="205" t="s">
        <v>3552</v>
      </c>
      <c r="C622" s="200" t="s">
        <v>850</v>
      </c>
      <c r="D622" s="201" t="s">
        <v>152</v>
      </c>
      <c r="E622" s="201"/>
      <c r="F622" s="206">
        <v>120957</v>
      </c>
      <c r="G622" s="206">
        <v>12096</v>
      </c>
      <c r="H622" s="206">
        <v>605</v>
      </c>
      <c r="I622" s="202">
        <f t="shared" si="9"/>
        <v>109466</v>
      </c>
      <c r="J622" s="205" t="s">
        <v>489</v>
      </c>
      <c r="K622" s="205" t="s">
        <v>23</v>
      </c>
      <c r="L622" s="201" t="s">
        <v>1042</v>
      </c>
      <c r="M622" s="205" t="s">
        <v>3553</v>
      </c>
      <c r="N622" s="201" t="s">
        <v>1030</v>
      </c>
      <c r="O622" s="205" t="s">
        <v>652</v>
      </c>
      <c r="P622" s="205" t="s">
        <v>652</v>
      </c>
      <c r="Q622" s="208" t="s">
        <v>987</v>
      </c>
      <c r="R622" s="208" t="s">
        <v>988</v>
      </c>
      <c r="S622" s="208" t="s">
        <v>850</v>
      </c>
    </row>
    <row r="623" spans="1:19" s="205" customFormat="1" hidden="1" x14ac:dyDescent="0.2">
      <c r="A623" s="205" t="s">
        <v>249</v>
      </c>
      <c r="B623" s="205" t="s">
        <v>3554</v>
      </c>
      <c r="C623" s="200" t="s">
        <v>850</v>
      </c>
      <c r="D623" s="201" t="s">
        <v>152</v>
      </c>
      <c r="E623" s="201"/>
      <c r="F623" s="206">
        <v>133312</v>
      </c>
      <c r="G623" s="206">
        <v>13331</v>
      </c>
      <c r="H623" s="206">
        <v>667</v>
      </c>
      <c r="I623" s="202">
        <f t="shared" si="9"/>
        <v>120648</v>
      </c>
      <c r="J623" s="205" t="s">
        <v>489</v>
      </c>
      <c r="K623" s="205" t="s">
        <v>23</v>
      </c>
      <c r="L623" s="201" t="s">
        <v>1042</v>
      </c>
      <c r="M623" s="205" t="s">
        <v>3555</v>
      </c>
      <c r="N623" s="201" t="s">
        <v>1030</v>
      </c>
      <c r="O623" s="205" t="s">
        <v>652</v>
      </c>
      <c r="P623" s="205" t="s">
        <v>652</v>
      </c>
      <c r="Q623" s="208" t="s">
        <v>987</v>
      </c>
      <c r="R623" s="208" t="s">
        <v>988</v>
      </c>
      <c r="S623" s="208" t="s">
        <v>850</v>
      </c>
    </row>
    <row r="624" spans="1:19" s="205" customFormat="1" hidden="1" x14ac:dyDescent="0.2">
      <c r="A624" s="205" t="s">
        <v>249</v>
      </c>
      <c r="B624" s="205" t="s">
        <v>3556</v>
      </c>
      <c r="C624" s="200" t="s">
        <v>850</v>
      </c>
      <c r="D624" s="201" t="s">
        <v>152</v>
      </c>
      <c r="E624" s="201"/>
      <c r="F624" s="206">
        <v>120957</v>
      </c>
      <c r="G624" s="206">
        <v>12096</v>
      </c>
      <c r="H624" s="206">
        <v>605</v>
      </c>
      <c r="I624" s="202">
        <f t="shared" si="9"/>
        <v>109466</v>
      </c>
      <c r="J624" s="205" t="s">
        <v>489</v>
      </c>
      <c r="K624" s="205" t="s">
        <v>23</v>
      </c>
      <c r="L624" s="201" t="s">
        <v>1042</v>
      </c>
      <c r="M624" s="205" t="s">
        <v>3557</v>
      </c>
      <c r="N624" s="201" t="s">
        <v>1030</v>
      </c>
      <c r="O624" s="205" t="s">
        <v>652</v>
      </c>
      <c r="P624" s="205" t="s">
        <v>652</v>
      </c>
      <c r="Q624" s="208" t="s">
        <v>987</v>
      </c>
      <c r="R624" s="208" t="s">
        <v>988</v>
      </c>
      <c r="S624" s="208" t="s">
        <v>850</v>
      </c>
    </row>
    <row r="625" spans="1:19" s="205" customFormat="1" hidden="1" x14ac:dyDescent="0.2">
      <c r="A625" s="205" t="s">
        <v>249</v>
      </c>
      <c r="B625" s="205" t="s">
        <v>3558</v>
      </c>
      <c r="C625" s="200" t="s">
        <v>850</v>
      </c>
      <c r="D625" s="201" t="s">
        <v>152</v>
      </c>
      <c r="E625" s="201"/>
      <c r="F625" s="206">
        <v>94377</v>
      </c>
      <c r="G625" s="206">
        <v>9438</v>
      </c>
      <c r="H625" s="206">
        <v>472</v>
      </c>
      <c r="I625" s="202">
        <f t="shared" si="9"/>
        <v>85411</v>
      </c>
      <c r="J625" s="205" t="s">
        <v>489</v>
      </c>
      <c r="K625" s="205" t="s">
        <v>23</v>
      </c>
      <c r="L625" s="201" t="s">
        <v>1042</v>
      </c>
      <c r="M625" s="205" t="s">
        <v>3559</v>
      </c>
      <c r="N625" s="201" t="s">
        <v>1030</v>
      </c>
      <c r="O625" s="205" t="s">
        <v>652</v>
      </c>
      <c r="P625" s="205" t="s">
        <v>652</v>
      </c>
      <c r="Q625" s="208" t="s">
        <v>987</v>
      </c>
      <c r="R625" s="208" t="s">
        <v>988</v>
      </c>
      <c r="S625" s="208" t="s">
        <v>850</v>
      </c>
    </row>
    <row r="626" spans="1:19" s="205" customFormat="1" hidden="1" x14ac:dyDescent="0.2">
      <c r="A626" s="205" t="s">
        <v>249</v>
      </c>
      <c r="B626" s="205" t="s">
        <v>3560</v>
      </c>
      <c r="C626" s="200" t="s">
        <v>850</v>
      </c>
      <c r="D626" s="201" t="s">
        <v>152</v>
      </c>
      <c r="E626" s="201"/>
      <c r="F626" s="206">
        <v>85607</v>
      </c>
      <c r="G626" s="206">
        <v>8561</v>
      </c>
      <c r="H626" s="206">
        <v>428</v>
      </c>
      <c r="I626" s="202">
        <f t="shared" si="9"/>
        <v>77474</v>
      </c>
      <c r="J626" s="205" t="s">
        <v>489</v>
      </c>
      <c r="K626" s="205" t="s">
        <v>23</v>
      </c>
      <c r="L626" s="201" t="s">
        <v>1042</v>
      </c>
      <c r="M626" s="205" t="s">
        <v>3561</v>
      </c>
      <c r="N626" s="201" t="s">
        <v>1030</v>
      </c>
      <c r="O626" s="205" t="s">
        <v>652</v>
      </c>
      <c r="P626" s="205" t="s">
        <v>652</v>
      </c>
      <c r="Q626" s="208" t="s">
        <v>987</v>
      </c>
      <c r="R626" s="208" t="s">
        <v>988</v>
      </c>
      <c r="S626" s="208" t="s">
        <v>850</v>
      </c>
    </row>
    <row r="627" spans="1:19" s="205" customFormat="1" hidden="1" x14ac:dyDescent="0.2">
      <c r="A627" s="205" t="s">
        <v>249</v>
      </c>
      <c r="B627" s="205" t="s">
        <v>3562</v>
      </c>
      <c r="C627" s="200" t="s">
        <v>850</v>
      </c>
      <c r="D627" s="201" t="s">
        <v>152</v>
      </c>
      <c r="E627" s="201"/>
      <c r="F627" s="206">
        <v>85607</v>
      </c>
      <c r="G627" s="206">
        <v>8561</v>
      </c>
      <c r="H627" s="206">
        <v>428</v>
      </c>
      <c r="I627" s="202">
        <f t="shared" si="9"/>
        <v>77474</v>
      </c>
      <c r="J627" s="205" t="s">
        <v>489</v>
      </c>
      <c r="K627" s="205" t="s">
        <v>23</v>
      </c>
      <c r="L627" s="201" t="s">
        <v>1042</v>
      </c>
      <c r="M627" s="205" t="s">
        <v>3563</v>
      </c>
      <c r="N627" s="201" t="s">
        <v>1030</v>
      </c>
      <c r="O627" s="205" t="s">
        <v>652</v>
      </c>
      <c r="P627" s="205" t="s">
        <v>652</v>
      </c>
      <c r="Q627" s="208" t="s">
        <v>987</v>
      </c>
      <c r="R627" s="208" t="s">
        <v>988</v>
      </c>
      <c r="S627" s="208" t="s">
        <v>850</v>
      </c>
    </row>
    <row r="628" spans="1:19" s="205" customFormat="1" hidden="1" x14ac:dyDescent="0.2">
      <c r="A628" s="205" t="s">
        <v>249</v>
      </c>
      <c r="B628" s="205" t="s">
        <v>3564</v>
      </c>
      <c r="C628" s="200" t="s">
        <v>850</v>
      </c>
      <c r="D628" s="201" t="s">
        <v>152</v>
      </c>
      <c r="E628" s="201"/>
      <c r="F628" s="206">
        <v>85607</v>
      </c>
      <c r="G628" s="206">
        <v>8561</v>
      </c>
      <c r="H628" s="206">
        <v>428</v>
      </c>
      <c r="I628" s="202">
        <f t="shared" si="9"/>
        <v>77474</v>
      </c>
      <c r="J628" s="205" t="s">
        <v>489</v>
      </c>
      <c r="K628" s="205" t="s">
        <v>23</v>
      </c>
      <c r="L628" s="201" t="s">
        <v>1042</v>
      </c>
      <c r="M628" s="205" t="s">
        <v>3565</v>
      </c>
      <c r="N628" s="201" t="s">
        <v>1030</v>
      </c>
      <c r="O628" s="205" t="s">
        <v>652</v>
      </c>
      <c r="P628" s="205" t="s">
        <v>652</v>
      </c>
      <c r="Q628" s="208" t="s">
        <v>987</v>
      </c>
      <c r="R628" s="208" t="s">
        <v>988</v>
      </c>
      <c r="S628" s="208" t="s">
        <v>850</v>
      </c>
    </row>
    <row r="629" spans="1:19" s="205" customFormat="1" hidden="1" x14ac:dyDescent="0.2">
      <c r="A629" s="205" t="s">
        <v>249</v>
      </c>
      <c r="B629" s="205" t="s">
        <v>3566</v>
      </c>
      <c r="C629" s="200" t="s">
        <v>850</v>
      </c>
      <c r="D629" s="201" t="s">
        <v>152</v>
      </c>
      <c r="E629" s="201"/>
      <c r="F629" s="206">
        <v>85607</v>
      </c>
      <c r="G629" s="206">
        <v>8561</v>
      </c>
      <c r="H629" s="206">
        <v>428</v>
      </c>
      <c r="I629" s="202">
        <f t="shared" si="9"/>
        <v>77474</v>
      </c>
      <c r="J629" s="205" t="s">
        <v>489</v>
      </c>
      <c r="K629" s="205" t="s">
        <v>23</v>
      </c>
      <c r="L629" s="201" t="s">
        <v>1042</v>
      </c>
      <c r="M629" s="205" t="s">
        <v>3567</v>
      </c>
      <c r="N629" s="201" t="s">
        <v>1030</v>
      </c>
      <c r="O629" s="205" t="s">
        <v>652</v>
      </c>
      <c r="P629" s="205" t="s">
        <v>652</v>
      </c>
      <c r="Q629" s="208" t="s">
        <v>987</v>
      </c>
      <c r="R629" s="208" t="s">
        <v>988</v>
      </c>
      <c r="S629" s="208" t="s">
        <v>850</v>
      </c>
    </row>
    <row r="630" spans="1:19" s="205" customFormat="1" hidden="1" x14ac:dyDescent="0.2">
      <c r="A630" s="205" t="s">
        <v>249</v>
      </c>
      <c r="B630" s="205" t="s">
        <v>3568</v>
      </c>
      <c r="C630" s="200" t="s">
        <v>850</v>
      </c>
      <c r="D630" s="201" t="s">
        <v>152</v>
      </c>
      <c r="E630" s="201"/>
      <c r="F630" s="206">
        <v>94377</v>
      </c>
      <c r="G630" s="206">
        <v>9438</v>
      </c>
      <c r="H630" s="206">
        <v>472</v>
      </c>
      <c r="I630" s="202">
        <f t="shared" si="9"/>
        <v>85411</v>
      </c>
      <c r="J630" s="205" t="s">
        <v>489</v>
      </c>
      <c r="K630" s="205" t="s">
        <v>23</v>
      </c>
      <c r="L630" s="201" t="s">
        <v>1042</v>
      </c>
      <c r="M630" s="205" t="s">
        <v>3569</v>
      </c>
      <c r="N630" s="201" t="s">
        <v>1030</v>
      </c>
      <c r="O630" s="205" t="s">
        <v>652</v>
      </c>
      <c r="P630" s="205" t="s">
        <v>652</v>
      </c>
      <c r="Q630" s="216" t="s">
        <v>987</v>
      </c>
      <c r="R630" s="216" t="s">
        <v>988</v>
      </c>
      <c r="S630" s="216" t="s">
        <v>850</v>
      </c>
    </row>
    <row r="631" spans="1:19" s="205" customFormat="1" hidden="1" x14ac:dyDescent="0.2">
      <c r="A631" s="205" t="s">
        <v>249</v>
      </c>
      <c r="B631" s="205" t="s">
        <v>3570</v>
      </c>
      <c r="C631" s="200" t="s">
        <v>850</v>
      </c>
      <c r="D631" s="201" t="s">
        <v>152</v>
      </c>
      <c r="E631" s="201"/>
      <c r="F631" s="206">
        <v>120957</v>
      </c>
      <c r="G631" s="206">
        <v>12096</v>
      </c>
      <c r="H631" s="206">
        <v>605</v>
      </c>
      <c r="I631" s="202">
        <f t="shared" si="9"/>
        <v>109466</v>
      </c>
      <c r="J631" s="205" t="s">
        <v>489</v>
      </c>
      <c r="K631" s="205" t="s">
        <v>23</v>
      </c>
      <c r="L631" s="201" t="s">
        <v>1042</v>
      </c>
      <c r="M631" s="205" t="s">
        <v>3571</v>
      </c>
      <c r="N631" s="201" t="s">
        <v>1030</v>
      </c>
      <c r="O631" s="205" t="s">
        <v>652</v>
      </c>
      <c r="P631" s="205" t="s">
        <v>652</v>
      </c>
      <c r="Q631" s="208" t="s">
        <v>987</v>
      </c>
      <c r="R631" s="208" t="s">
        <v>988</v>
      </c>
      <c r="S631" s="208" t="s">
        <v>850</v>
      </c>
    </row>
    <row r="632" spans="1:19" s="205" customFormat="1" hidden="1" x14ac:dyDescent="0.2">
      <c r="A632" s="205" t="s">
        <v>249</v>
      </c>
      <c r="B632" s="205" t="s">
        <v>3572</v>
      </c>
      <c r="C632" s="200" t="s">
        <v>850</v>
      </c>
      <c r="D632" s="201" t="s">
        <v>152</v>
      </c>
      <c r="E632" s="201"/>
      <c r="F632" s="206">
        <v>85607</v>
      </c>
      <c r="G632" s="206">
        <v>8561</v>
      </c>
      <c r="H632" s="206">
        <v>428</v>
      </c>
      <c r="I632" s="202">
        <f t="shared" si="9"/>
        <v>77474</v>
      </c>
      <c r="J632" s="205" t="s">
        <v>489</v>
      </c>
      <c r="K632" s="205" t="s">
        <v>23</v>
      </c>
      <c r="L632" s="201" t="s">
        <v>1042</v>
      </c>
      <c r="M632" s="205" t="s">
        <v>3573</v>
      </c>
      <c r="N632" s="201" t="s">
        <v>1030</v>
      </c>
      <c r="O632" s="205" t="s">
        <v>652</v>
      </c>
      <c r="P632" s="205" t="s">
        <v>652</v>
      </c>
      <c r="Q632" s="208" t="s">
        <v>987</v>
      </c>
      <c r="R632" s="208" t="s">
        <v>988</v>
      </c>
      <c r="S632" s="208" t="s">
        <v>850</v>
      </c>
    </row>
    <row r="633" spans="1:19" s="205" customFormat="1" hidden="1" x14ac:dyDescent="0.2">
      <c r="A633" s="205" t="s">
        <v>249</v>
      </c>
      <c r="B633" s="205" t="s">
        <v>3574</v>
      </c>
      <c r="C633" s="200" t="s">
        <v>850</v>
      </c>
      <c r="D633" s="201" t="s">
        <v>152</v>
      </c>
      <c r="E633" s="201"/>
      <c r="F633" s="206">
        <v>85607</v>
      </c>
      <c r="G633" s="206">
        <v>8561</v>
      </c>
      <c r="H633" s="206">
        <v>428</v>
      </c>
      <c r="I633" s="202">
        <f t="shared" si="9"/>
        <v>77474</v>
      </c>
      <c r="J633" s="205" t="s">
        <v>489</v>
      </c>
      <c r="K633" s="205" t="s">
        <v>23</v>
      </c>
      <c r="L633" s="201" t="s">
        <v>1042</v>
      </c>
      <c r="M633" s="205" t="s">
        <v>3575</v>
      </c>
      <c r="N633" s="201" t="s">
        <v>1030</v>
      </c>
      <c r="O633" s="205" t="s">
        <v>652</v>
      </c>
      <c r="P633" s="205" t="s">
        <v>652</v>
      </c>
      <c r="Q633" s="208" t="s">
        <v>987</v>
      </c>
      <c r="R633" s="208" t="s">
        <v>988</v>
      </c>
      <c r="S633" s="208" t="s">
        <v>850</v>
      </c>
    </row>
    <row r="634" spans="1:19" s="205" customFormat="1" hidden="1" x14ac:dyDescent="0.2">
      <c r="A634" s="205" t="s">
        <v>249</v>
      </c>
      <c r="B634" s="205" t="s">
        <v>3576</v>
      </c>
      <c r="C634" s="200" t="s">
        <v>850</v>
      </c>
      <c r="D634" s="199" t="s">
        <v>152</v>
      </c>
      <c r="E634" s="199"/>
      <c r="F634" s="206">
        <v>120957</v>
      </c>
      <c r="G634" s="206">
        <v>12096</v>
      </c>
      <c r="H634" s="206">
        <v>605</v>
      </c>
      <c r="I634" s="202">
        <f t="shared" si="9"/>
        <v>109466</v>
      </c>
      <c r="J634" s="205" t="s">
        <v>489</v>
      </c>
      <c r="K634" s="205" t="s">
        <v>23</v>
      </c>
      <c r="L634" s="201" t="s">
        <v>1042</v>
      </c>
      <c r="M634" s="205" t="s">
        <v>3577</v>
      </c>
      <c r="N634" s="201" t="s">
        <v>1030</v>
      </c>
      <c r="O634" s="205" t="s">
        <v>652</v>
      </c>
      <c r="P634" s="205" t="s">
        <v>652</v>
      </c>
      <c r="Q634" s="208" t="s">
        <v>987</v>
      </c>
      <c r="R634" s="208" t="s">
        <v>988</v>
      </c>
      <c r="S634" s="208" t="s">
        <v>850</v>
      </c>
    </row>
    <row r="635" spans="1:19" s="205" customFormat="1" hidden="1" x14ac:dyDescent="0.2">
      <c r="A635" s="205" t="s">
        <v>249</v>
      </c>
      <c r="B635" s="205" t="s">
        <v>3578</v>
      </c>
      <c r="C635" s="200" t="s">
        <v>850</v>
      </c>
      <c r="D635" s="201" t="s">
        <v>152</v>
      </c>
      <c r="E635" s="201"/>
      <c r="F635" s="206">
        <v>85607</v>
      </c>
      <c r="G635" s="206">
        <v>8561</v>
      </c>
      <c r="H635" s="206">
        <v>428</v>
      </c>
      <c r="I635" s="202">
        <f t="shared" si="9"/>
        <v>77474</v>
      </c>
      <c r="J635" s="205" t="s">
        <v>489</v>
      </c>
      <c r="K635" s="205" t="s">
        <v>23</v>
      </c>
      <c r="L635" s="201" t="s">
        <v>1042</v>
      </c>
      <c r="M635" s="205" t="s">
        <v>3579</v>
      </c>
      <c r="N635" s="201" t="s">
        <v>1030</v>
      </c>
      <c r="O635" s="205" t="s">
        <v>652</v>
      </c>
      <c r="P635" s="205" t="s">
        <v>652</v>
      </c>
      <c r="Q635" s="208" t="s">
        <v>987</v>
      </c>
      <c r="R635" s="208" t="s">
        <v>988</v>
      </c>
      <c r="S635" s="208" t="s">
        <v>850</v>
      </c>
    </row>
    <row r="636" spans="1:19" s="205" customFormat="1" hidden="1" x14ac:dyDescent="0.2">
      <c r="A636" s="205" t="s">
        <v>249</v>
      </c>
      <c r="B636" s="205" t="s">
        <v>3580</v>
      </c>
      <c r="C636" s="200" t="s">
        <v>850</v>
      </c>
      <c r="D636" s="201" t="s">
        <v>152</v>
      </c>
      <c r="E636" s="201"/>
      <c r="F636" s="206">
        <v>85607</v>
      </c>
      <c r="G636" s="206">
        <v>8561</v>
      </c>
      <c r="H636" s="206">
        <v>428</v>
      </c>
      <c r="I636" s="202">
        <f t="shared" si="9"/>
        <v>77474</v>
      </c>
      <c r="J636" s="205" t="s">
        <v>489</v>
      </c>
      <c r="K636" s="205" t="s">
        <v>23</v>
      </c>
      <c r="L636" s="201" t="s">
        <v>1042</v>
      </c>
      <c r="M636" s="205" t="s">
        <v>3581</v>
      </c>
      <c r="N636" s="201" t="s">
        <v>1030</v>
      </c>
      <c r="O636" s="205" t="s">
        <v>652</v>
      </c>
      <c r="P636" s="205" t="s">
        <v>652</v>
      </c>
      <c r="Q636" s="208" t="s">
        <v>987</v>
      </c>
      <c r="R636" s="208" t="s">
        <v>988</v>
      </c>
      <c r="S636" s="208" t="s">
        <v>850</v>
      </c>
    </row>
    <row r="637" spans="1:19" s="205" customFormat="1" hidden="1" x14ac:dyDescent="0.2">
      <c r="A637" s="205" t="s">
        <v>249</v>
      </c>
      <c r="B637" s="205" t="s">
        <v>3582</v>
      </c>
      <c r="C637" s="200" t="s">
        <v>850</v>
      </c>
      <c r="D637" s="201" t="s">
        <v>152</v>
      </c>
      <c r="E637" s="201"/>
      <c r="F637" s="206">
        <v>120957</v>
      </c>
      <c r="G637" s="206">
        <v>12096</v>
      </c>
      <c r="H637" s="206">
        <v>605</v>
      </c>
      <c r="I637" s="202">
        <f t="shared" si="9"/>
        <v>109466</v>
      </c>
      <c r="J637" s="205" t="s">
        <v>489</v>
      </c>
      <c r="K637" s="205" t="s">
        <v>23</v>
      </c>
      <c r="L637" s="201" t="s">
        <v>1042</v>
      </c>
      <c r="M637" s="205" t="s">
        <v>3583</v>
      </c>
      <c r="N637" s="201" t="s">
        <v>1030</v>
      </c>
      <c r="O637" s="205" t="s">
        <v>652</v>
      </c>
      <c r="P637" s="205" t="s">
        <v>652</v>
      </c>
      <c r="Q637" s="208" t="s">
        <v>987</v>
      </c>
      <c r="R637" s="208" t="s">
        <v>988</v>
      </c>
      <c r="S637" s="216" t="s">
        <v>850</v>
      </c>
    </row>
    <row r="638" spans="1:19" s="205" customFormat="1" hidden="1" x14ac:dyDescent="0.2">
      <c r="A638" s="205" t="s">
        <v>249</v>
      </c>
      <c r="B638" s="205" t="s">
        <v>3584</v>
      </c>
      <c r="C638" s="200" t="s">
        <v>850</v>
      </c>
      <c r="D638" s="201" t="s">
        <v>152</v>
      </c>
      <c r="E638" s="201"/>
      <c r="F638" s="206">
        <v>120957</v>
      </c>
      <c r="G638" s="206">
        <v>12096</v>
      </c>
      <c r="H638" s="206">
        <v>605</v>
      </c>
      <c r="I638" s="202">
        <f t="shared" si="9"/>
        <v>109466</v>
      </c>
      <c r="J638" s="205" t="s">
        <v>489</v>
      </c>
      <c r="K638" s="205" t="s">
        <v>23</v>
      </c>
      <c r="L638" s="201" t="s">
        <v>1042</v>
      </c>
      <c r="M638" s="205" t="s">
        <v>3585</v>
      </c>
      <c r="N638" s="201" t="s">
        <v>1030</v>
      </c>
      <c r="O638" s="205" t="s">
        <v>652</v>
      </c>
      <c r="P638" s="205" t="s">
        <v>652</v>
      </c>
      <c r="Q638" s="208" t="s">
        <v>987</v>
      </c>
      <c r="R638" s="208" t="s">
        <v>988</v>
      </c>
      <c r="S638" s="208" t="s">
        <v>850</v>
      </c>
    </row>
    <row r="639" spans="1:19" s="205" customFormat="1" hidden="1" x14ac:dyDescent="0.2">
      <c r="A639" s="205" t="s">
        <v>249</v>
      </c>
      <c r="B639" s="205" t="s">
        <v>3586</v>
      </c>
      <c r="C639" s="200" t="s">
        <v>850</v>
      </c>
      <c r="D639" s="201" t="s">
        <v>152</v>
      </c>
      <c r="E639" s="201"/>
      <c r="F639" s="206">
        <v>85607</v>
      </c>
      <c r="G639" s="206">
        <v>8561</v>
      </c>
      <c r="H639" s="206">
        <v>428</v>
      </c>
      <c r="I639" s="202">
        <f t="shared" si="9"/>
        <v>77474</v>
      </c>
      <c r="J639" s="205" t="s">
        <v>489</v>
      </c>
      <c r="K639" s="205" t="s">
        <v>23</v>
      </c>
      <c r="L639" s="201" t="s">
        <v>1042</v>
      </c>
      <c r="M639" s="205" t="s">
        <v>3587</v>
      </c>
      <c r="N639" s="201" t="s">
        <v>1030</v>
      </c>
      <c r="O639" s="205" t="s">
        <v>652</v>
      </c>
      <c r="P639" s="205" t="s">
        <v>652</v>
      </c>
      <c r="Q639" s="208" t="s">
        <v>987</v>
      </c>
      <c r="R639" s="208" t="s">
        <v>988</v>
      </c>
      <c r="S639" s="208" t="s">
        <v>850</v>
      </c>
    </row>
    <row r="640" spans="1:19" s="205" customFormat="1" hidden="1" x14ac:dyDescent="0.2">
      <c r="A640" s="205" t="s">
        <v>249</v>
      </c>
      <c r="B640" s="205" t="s">
        <v>3588</v>
      </c>
      <c r="C640" s="200" t="s">
        <v>850</v>
      </c>
      <c r="D640" s="201" t="s">
        <v>152</v>
      </c>
      <c r="E640" s="201"/>
      <c r="F640" s="206">
        <v>94377</v>
      </c>
      <c r="G640" s="206">
        <v>9438</v>
      </c>
      <c r="H640" s="206">
        <v>472</v>
      </c>
      <c r="I640" s="202">
        <f t="shared" si="9"/>
        <v>85411</v>
      </c>
      <c r="J640" s="205" t="s">
        <v>489</v>
      </c>
      <c r="K640" s="205" t="s">
        <v>23</v>
      </c>
      <c r="L640" s="201" t="s">
        <v>1042</v>
      </c>
      <c r="M640" s="205" t="s">
        <v>3589</v>
      </c>
      <c r="N640" s="201" t="s">
        <v>1030</v>
      </c>
      <c r="O640" s="205" t="s">
        <v>652</v>
      </c>
      <c r="P640" s="205" t="s">
        <v>652</v>
      </c>
      <c r="Q640" s="208" t="s">
        <v>987</v>
      </c>
      <c r="R640" s="208" t="s">
        <v>988</v>
      </c>
      <c r="S640" s="216" t="s">
        <v>850</v>
      </c>
    </row>
    <row r="641" spans="1:24" s="205" customFormat="1" hidden="1" x14ac:dyDescent="0.2">
      <c r="A641" s="205" t="s">
        <v>249</v>
      </c>
      <c r="B641" s="205" t="s">
        <v>3590</v>
      </c>
      <c r="C641" s="200" t="s">
        <v>850</v>
      </c>
      <c r="D641" s="201" t="s">
        <v>152</v>
      </c>
      <c r="E641" s="201"/>
      <c r="F641" s="206">
        <v>85607</v>
      </c>
      <c r="G641" s="206">
        <v>8561</v>
      </c>
      <c r="H641" s="206">
        <v>428</v>
      </c>
      <c r="I641" s="202">
        <f t="shared" si="9"/>
        <v>77474</v>
      </c>
      <c r="J641" s="205" t="s">
        <v>489</v>
      </c>
      <c r="K641" s="205" t="s">
        <v>23</v>
      </c>
      <c r="L641" s="201" t="s">
        <v>1042</v>
      </c>
      <c r="M641" s="205" t="s">
        <v>3591</v>
      </c>
      <c r="N641" s="201" t="s">
        <v>1030</v>
      </c>
      <c r="O641" s="205" t="s">
        <v>652</v>
      </c>
      <c r="P641" s="205" t="s">
        <v>652</v>
      </c>
      <c r="Q641" s="208" t="s">
        <v>987</v>
      </c>
      <c r="R641" s="208" t="s">
        <v>988</v>
      </c>
      <c r="S641" s="208" t="s">
        <v>850</v>
      </c>
    </row>
    <row r="642" spans="1:24" s="205" customFormat="1" hidden="1" x14ac:dyDescent="0.2">
      <c r="A642" s="205" t="s">
        <v>249</v>
      </c>
      <c r="B642" s="205" t="s">
        <v>3592</v>
      </c>
      <c r="C642" s="200" t="s">
        <v>850</v>
      </c>
      <c r="D642" s="209" t="s">
        <v>152</v>
      </c>
      <c r="E642" s="209"/>
      <c r="F642" s="206">
        <v>120957</v>
      </c>
      <c r="G642" s="206">
        <v>12096</v>
      </c>
      <c r="H642" s="206">
        <v>605</v>
      </c>
      <c r="I642" s="202">
        <f t="shared" si="9"/>
        <v>109466</v>
      </c>
      <c r="J642" s="205" t="s">
        <v>489</v>
      </c>
      <c r="K642" s="205" t="s">
        <v>23</v>
      </c>
      <c r="L642" s="201" t="s">
        <v>1042</v>
      </c>
      <c r="M642" s="205" t="s">
        <v>3593</v>
      </c>
      <c r="N642" s="201" t="s">
        <v>1030</v>
      </c>
      <c r="O642" s="205" t="s">
        <v>652</v>
      </c>
      <c r="P642" s="205" t="s">
        <v>652</v>
      </c>
      <c r="Q642" s="208" t="s">
        <v>987</v>
      </c>
      <c r="R642" s="208" t="s">
        <v>988</v>
      </c>
      <c r="S642" s="208" t="s">
        <v>850</v>
      </c>
    </row>
    <row r="643" spans="1:24" s="205" customFormat="1" hidden="1" x14ac:dyDescent="0.2">
      <c r="A643" s="205" t="s">
        <v>283</v>
      </c>
      <c r="B643" s="205" t="s">
        <v>3594</v>
      </c>
      <c r="C643" s="200" t="s">
        <v>850</v>
      </c>
      <c r="D643" s="209" t="s">
        <v>152</v>
      </c>
      <c r="E643" s="209"/>
      <c r="F643" s="206">
        <v>94377</v>
      </c>
      <c r="G643" s="206">
        <v>9438</v>
      </c>
      <c r="H643" s="206">
        <v>472</v>
      </c>
      <c r="I643" s="202">
        <f t="shared" ref="I643:I706" si="10">F643+H643-G643</f>
        <v>85411</v>
      </c>
      <c r="J643" s="205" t="s">
        <v>489</v>
      </c>
      <c r="K643" s="205" t="s">
        <v>23</v>
      </c>
      <c r="L643" s="201" t="s">
        <v>1058</v>
      </c>
      <c r="M643" s="205" t="s">
        <v>3595</v>
      </c>
      <c r="N643" s="201" t="s">
        <v>1030</v>
      </c>
      <c r="O643" s="205" t="s">
        <v>652</v>
      </c>
      <c r="P643" s="205" t="s">
        <v>652</v>
      </c>
      <c r="Q643" s="208" t="s">
        <v>663</v>
      </c>
      <c r="R643" s="208" t="s">
        <v>723</v>
      </c>
      <c r="S643" s="208" t="s">
        <v>850</v>
      </c>
    </row>
    <row r="644" spans="1:24" s="205" customFormat="1" hidden="1" x14ac:dyDescent="0.2">
      <c r="A644" s="205" t="s">
        <v>283</v>
      </c>
      <c r="B644" s="205" t="s">
        <v>3596</v>
      </c>
      <c r="C644" s="200" t="s">
        <v>850</v>
      </c>
      <c r="D644" s="209" t="s">
        <v>152</v>
      </c>
      <c r="E644" s="209"/>
      <c r="F644" s="206">
        <v>94377</v>
      </c>
      <c r="G644" s="206">
        <v>9438</v>
      </c>
      <c r="H644" s="206">
        <v>472</v>
      </c>
      <c r="I644" s="202">
        <f t="shared" si="10"/>
        <v>85411</v>
      </c>
      <c r="J644" s="205" t="s">
        <v>489</v>
      </c>
      <c r="K644" s="205" t="s">
        <v>23</v>
      </c>
      <c r="L644" s="201" t="s">
        <v>1058</v>
      </c>
      <c r="M644" s="205" t="s">
        <v>3597</v>
      </c>
      <c r="N644" s="201" t="s">
        <v>1030</v>
      </c>
      <c r="O644" s="205" t="s">
        <v>652</v>
      </c>
      <c r="P644" s="205" t="s">
        <v>652</v>
      </c>
      <c r="Q644" s="208" t="s">
        <v>663</v>
      </c>
      <c r="R644" s="208" t="s">
        <v>723</v>
      </c>
      <c r="S644" s="208" t="s">
        <v>850</v>
      </c>
    </row>
    <row r="645" spans="1:24" s="205" customFormat="1" hidden="1" x14ac:dyDescent="0.2">
      <c r="A645" s="205" t="s">
        <v>283</v>
      </c>
      <c r="B645" s="205" t="s">
        <v>3598</v>
      </c>
      <c r="C645" s="200" t="s">
        <v>850</v>
      </c>
      <c r="D645" s="209" t="s">
        <v>152</v>
      </c>
      <c r="E645" s="209"/>
      <c r="F645" s="206">
        <v>94377</v>
      </c>
      <c r="G645" s="206">
        <v>9438</v>
      </c>
      <c r="H645" s="206">
        <v>472</v>
      </c>
      <c r="I645" s="202">
        <f t="shared" si="10"/>
        <v>85411</v>
      </c>
      <c r="J645" s="205" t="s">
        <v>489</v>
      </c>
      <c r="K645" s="205" t="s">
        <v>23</v>
      </c>
      <c r="L645" s="201" t="s">
        <v>1058</v>
      </c>
      <c r="M645" s="205" t="s">
        <v>3599</v>
      </c>
      <c r="N645" s="201" t="s">
        <v>1030</v>
      </c>
      <c r="O645" s="205" t="s">
        <v>652</v>
      </c>
      <c r="P645" s="205" t="s">
        <v>652</v>
      </c>
      <c r="Q645" s="208" t="s">
        <v>663</v>
      </c>
      <c r="R645" s="208" t="s">
        <v>723</v>
      </c>
      <c r="S645" s="208" t="s">
        <v>850</v>
      </c>
    </row>
    <row r="646" spans="1:24" s="205" customFormat="1" hidden="1" x14ac:dyDescent="0.2">
      <c r="A646" s="205" t="s">
        <v>283</v>
      </c>
      <c r="B646" s="205" t="s">
        <v>3600</v>
      </c>
      <c r="C646" s="200" t="s">
        <v>850</v>
      </c>
      <c r="D646" s="209" t="s">
        <v>152</v>
      </c>
      <c r="E646" s="209"/>
      <c r="F646" s="206">
        <v>94377</v>
      </c>
      <c r="G646" s="206">
        <v>9438</v>
      </c>
      <c r="H646" s="206">
        <v>472</v>
      </c>
      <c r="I646" s="202">
        <f t="shared" si="10"/>
        <v>85411</v>
      </c>
      <c r="J646" s="205" t="s">
        <v>489</v>
      </c>
      <c r="K646" s="205" t="s">
        <v>23</v>
      </c>
      <c r="L646" s="201" t="s">
        <v>1058</v>
      </c>
      <c r="M646" s="205" t="s">
        <v>3601</v>
      </c>
      <c r="N646" s="201" t="s">
        <v>1030</v>
      </c>
      <c r="O646" s="205" t="s">
        <v>652</v>
      </c>
      <c r="P646" s="205" t="s">
        <v>652</v>
      </c>
      <c r="Q646" s="216" t="s">
        <v>663</v>
      </c>
      <c r="R646" s="216" t="s">
        <v>723</v>
      </c>
      <c r="S646" s="216" t="s">
        <v>850</v>
      </c>
    </row>
    <row r="647" spans="1:24" s="205" customFormat="1" hidden="1" x14ac:dyDescent="0.2">
      <c r="A647" s="205" t="s">
        <v>283</v>
      </c>
      <c r="B647" s="205" t="s">
        <v>3602</v>
      </c>
      <c r="C647" s="200" t="s">
        <v>850</v>
      </c>
      <c r="D647" s="205" t="s">
        <v>152</v>
      </c>
      <c r="F647" s="206">
        <v>127646</v>
      </c>
      <c r="G647" s="206">
        <v>12765</v>
      </c>
      <c r="H647" s="206">
        <v>638</v>
      </c>
      <c r="I647" s="202">
        <f t="shared" si="10"/>
        <v>115519</v>
      </c>
      <c r="J647" s="205" t="s">
        <v>489</v>
      </c>
      <c r="K647" s="205" t="s">
        <v>23</v>
      </c>
      <c r="L647" s="201" t="s">
        <v>1058</v>
      </c>
      <c r="M647" s="205" t="s">
        <v>3603</v>
      </c>
      <c r="N647" s="201" t="s">
        <v>1030</v>
      </c>
      <c r="O647" s="205" t="s">
        <v>652</v>
      </c>
      <c r="P647" s="205" t="s">
        <v>652</v>
      </c>
      <c r="Q647" s="216" t="s">
        <v>663</v>
      </c>
      <c r="R647" s="216" t="s">
        <v>723</v>
      </c>
      <c r="S647" s="216" t="s">
        <v>850</v>
      </c>
    </row>
    <row r="648" spans="1:24" s="205" customFormat="1" hidden="1" x14ac:dyDescent="0.2">
      <c r="A648" s="205" t="s">
        <v>283</v>
      </c>
      <c r="B648" s="205" t="s">
        <v>3604</v>
      </c>
      <c r="C648" s="200" t="s">
        <v>850</v>
      </c>
      <c r="D648" s="205" t="s">
        <v>152</v>
      </c>
      <c r="F648" s="206">
        <v>104025</v>
      </c>
      <c r="G648" s="206">
        <v>10403</v>
      </c>
      <c r="H648" s="206">
        <v>520</v>
      </c>
      <c r="I648" s="202">
        <f t="shared" si="10"/>
        <v>94142</v>
      </c>
      <c r="J648" s="205" t="s">
        <v>489</v>
      </c>
      <c r="K648" s="205" t="s">
        <v>23</v>
      </c>
      <c r="L648" s="201" t="s">
        <v>1058</v>
      </c>
      <c r="M648" s="205" t="s">
        <v>3605</v>
      </c>
      <c r="N648" s="201" t="s">
        <v>1030</v>
      </c>
      <c r="O648" s="205" t="s">
        <v>652</v>
      </c>
      <c r="P648" s="205" t="s">
        <v>652</v>
      </c>
      <c r="Q648" s="208" t="s">
        <v>987</v>
      </c>
      <c r="R648" s="208" t="s">
        <v>988</v>
      </c>
      <c r="S648" s="208" t="s">
        <v>850</v>
      </c>
    </row>
    <row r="649" spans="1:24" s="205" customFormat="1" hidden="1" x14ac:dyDescent="0.2">
      <c r="A649" s="205" t="s">
        <v>283</v>
      </c>
      <c r="B649" s="205" t="s">
        <v>3606</v>
      </c>
      <c r="C649" s="200" t="s">
        <v>850</v>
      </c>
      <c r="D649" s="209" t="s">
        <v>152</v>
      </c>
      <c r="E649" s="209"/>
      <c r="F649" s="206">
        <v>127646</v>
      </c>
      <c r="G649" s="206">
        <v>12765</v>
      </c>
      <c r="H649" s="206">
        <v>638</v>
      </c>
      <c r="I649" s="202">
        <f t="shared" si="10"/>
        <v>115519</v>
      </c>
      <c r="J649" s="205" t="s">
        <v>489</v>
      </c>
      <c r="K649" s="205" t="s">
        <v>23</v>
      </c>
      <c r="L649" s="201" t="s">
        <v>1058</v>
      </c>
      <c r="M649" s="205" t="s">
        <v>3607</v>
      </c>
      <c r="N649" s="201" t="s">
        <v>1030</v>
      </c>
      <c r="O649" s="205" t="s">
        <v>652</v>
      </c>
      <c r="P649" s="205" t="s">
        <v>652</v>
      </c>
      <c r="Q649" s="208" t="s">
        <v>987</v>
      </c>
      <c r="R649" s="208" t="s">
        <v>988</v>
      </c>
      <c r="S649" s="208" t="s">
        <v>850</v>
      </c>
    </row>
    <row r="650" spans="1:24" s="205" customFormat="1" hidden="1" x14ac:dyDescent="0.2">
      <c r="A650" s="205" t="s">
        <v>438</v>
      </c>
      <c r="B650" s="205" t="s">
        <v>598</v>
      </c>
      <c r="C650" s="200" t="s">
        <v>850</v>
      </c>
      <c r="D650" s="205" t="s">
        <v>152</v>
      </c>
      <c r="F650" s="206">
        <v>4838</v>
      </c>
      <c r="G650" s="206">
        <v>484</v>
      </c>
      <c r="H650" s="206">
        <v>24</v>
      </c>
      <c r="I650" s="202">
        <f t="shared" si="10"/>
        <v>4378</v>
      </c>
      <c r="J650" s="205" t="s">
        <v>52</v>
      </c>
      <c r="K650" s="205" t="s">
        <v>23</v>
      </c>
      <c r="L650" s="199" t="s">
        <v>1042</v>
      </c>
      <c r="M650" s="205" t="s">
        <v>3608</v>
      </c>
      <c r="N650" s="201" t="s">
        <v>1030</v>
      </c>
      <c r="O650" s="205" t="s">
        <v>652</v>
      </c>
      <c r="P650" s="205" t="s">
        <v>652</v>
      </c>
      <c r="Q650" s="208" t="s">
        <v>653</v>
      </c>
      <c r="R650" s="208" t="s">
        <v>654</v>
      </c>
      <c r="S650" s="208" t="s">
        <v>850</v>
      </c>
    </row>
    <row r="651" spans="1:24" s="205" customFormat="1" hidden="1" x14ac:dyDescent="0.2">
      <c r="A651" s="205" t="s">
        <v>96</v>
      </c>
      <c r="B651" s="205" t="s">
        <v>588</v>
      </c>
      <c r="C651" s="200" t="s">
        <v>850</v>
      </c>
      <c r="D651" s="205" t="s">
        <v>152</v>
      </c>
      <c r="F651" s="206">
        <v>24562</v>
      </c>
      <c r="G651" s="206">
        <v>2456</v>
      </c>
      <c r="H651" s="206">
        <v>123</v>
      </c>
      <c r="I651" s="202">
        <f t="shared" si="10"/>
        <v>22229</v>
      </c>
      <c r="J651" s="205" t="s">
        <v>38</v>
      </c>
      <c r="K651" s="205" t="s">
        <v>23</v>
      </c>
      <c r="L651" s="199" t="s">
        <v>1042</v>
      </c>
      <c r="M651" s="205" t="s">
        <v>3609</v>
      </c>
      <c r="N651" s="201" t="s">
        <v>1030</v>
      </c>
      <c r="O651" s="205" t="s">
        <v>652</v>
      </c>
      <c r="P651" s="205" t="s">
        <v>652</v>
      </c>
      <c r="Q651" s="214" t="s">
        <v>653</v>
      </c>
      <c r="R651" s="214" t="s">
        <v>654</v>
      </c>
      <c r="S651" s="214" t="s">
        <v>850</v>
      </c>
    </row>
    <row r="652" spans="1:24" s="205" customFormat="1" hidden="1" x14ac:dyDescent="0.2">
      <c r="A652" s="205" t="s">
        <v>368</v>
      </c>
      <c r="B652" s="205" t="s">
        <v>1501</v>
      </c>
      <c r="C652" s="200" t="s">
        <v>850</v>
      </c>
      <c r="D652" s="205" t="s">
        <v>152</v>
      </c>
      <c r="F652" s="206">
        <v>34374</v>
      </c>
      <c r="G652" s="206">
        <v>3437</v>
      </c>
      <c r="H652" s="206">
        <v>172</v>
      </c>
      <c r="I652" s="202">
        <f t="shared" si="10"/>
        <v>31109</v>
      </c>
      <c r="J652" s="205" t="s">
        <v>787</v>
      </c>
      <c r="K652" s="205" t="s">
        <v>23</v>
      </c>
      <c r="L652" s="199" t="s">
        <v>1042</v>
      </c>
      <c r="M652" s="205" t="s">
        <v>3610</v>
      </c>
      <c r="N652" s="201" t="s">
        <v>1030</v>
      </c>
      <c r="O652" s="205" t="s">
        <v>652</v>
      </c>
      <c r="P652" s="205" t="s">
        <v>652</v>
      </c>
      <c r="Q652" s="214" t="s">
        <v>498</v>
      </c>
      <c r="R652" s="214" t="s">
        <v>828</v>
      </c>
      <c r="S652" s="214" t="s">
        <v>850</v>
      </c>
    </row>
    <row r="653" spans="1:24" s="205" customFormat="1" hidden="1" x14ac:dyDescent="0.2">
      <c r="A653" s="209" t="s">
        <v>430</v>
      </c>
      <c r="B653" s="209" t="s">
        <v>469</v>
      </c>
      <c r="C653" s="234" t="s">
        <v>850</v>
      </c>
      <c r="D653" s="209" t="s">
        <v>152</v>
      </c>
      <c r="E653" s="209"/>
      <c r="F653" s="211">
        <v>24995</v>
      </c>
      <c r="G653" s="211">
        <v>2500</v>
      </c>
      <c r="H653" s="211">
        <v>125</v>
      </c>
      <c r="I653" s="202">
        <f t="shared" si="10"/>
        <v>22620</v>
      </c>
      <c r="J653" s="209" t="s">
        <v>22</v>
      </c>
      <c r="K653" s="209" t="s">
        <v>23</v>
      </c>
      <c r="L653" s="201" t="s">
        <v>1042</v>
      </c>
      <c r="M653" s="209" t="s">
        <v>3611</v>
      </c>
      <c r="N653" s="201" t="s">
        <v>1030</v>
      </c>
      <c r="O653" s="209" t="s">
        <v>652</v>
      </c>
      <c r="P653" s="209" t="s">
        <v>652</v>
      </c>
      <c r="Q653" s="213" t="s">
        <v>885</v>
      </c>
      <c r="R653" s="213" t="s">
        <v>886</v>
      </c>
      <c r="S653" s="213" t="s">
        <v>850</v>
      </c>
      <c r="T653" s="209"/>
    </row>
    <row r="654" spans="1:24" s="205" customFormat="1" hidden="1" x14ac:dyDescent="0.2">
      <c r="A654" s="205" t="s">
        <v>161</v>
      </c>
      <c r="B654" s="205" t="s">
        <v>611</v>
      </c>
      <c r="C654" s="200" t="s">
        <v>850</v>
      </c>
      <c r="D654" s="209" t="s">
        <v>152</v>
      </c>
      <c r="E654" s="209"/>
      <c r="F654" s="206">
        <v>16668</v>
      </c>
      <c r="G654" s="206">
        <v>0</v>
      </c>
      <c r="H654" s="206">
        <v>0</v>
      </c>
      <c r="I654" s="202">
        <f t="shared" si="10"/>
        <v>16668</v>
      </c>
      <c r="J654" s="205" t="s">
        <v>25</v>
      </c>
      <c r="K654" s="205" t="s">
        <v>214</v>
      </c>
      <c r="L654" s="201" t="s">
        <v>1151</v>
      </c>
      <c r="M654" s="205" t="s">
        <v>3612</v>
      </c>
      <c r="N654" s="201" t="s">
        <v>1030</v>
      </c>
      <c r="O654" s="205" t="s">
        <v>652</v>
      </c>
      <c r="P654" s="205" t="s">
        <v>652</v>
      </c>
      <c r="Q654" s="208" t="s">
        <v>653</v>
      </c>
      <c r="R654" s="208" t="s">
        <v>654</v>
      </c>
      <c r="S654" s="208" t="s">
        <v>850</v>
      </c>
      <c r="U654" s="209"/>
      <c r="V654" s="209"/>
      <c r="W654" s="209"/>
      <c r="X654" s="209"/>
    </row>
    <row r="655" spans="1:24" s="205" customFormat="1" hidden="1" x14ac:dyDescent="0.2">
      <c r="A655" s="205" t="s">
        <v>161</v>
      </c>
      <c r="B655" s="205" t="s">
        <v>611</v>
      </c>
      <c r="C655" s="200" t="s">
        <v>850</v>
      </c>
      <c r="D655" s="209" t="s">
        <v>152</v>
      </c>
      <c r="E655" s="209"/>
      <c r="F655" s="206">
        <v>5118</v>
      </c>
      <c r="G655" s="206">
        <v>0</v>
      </c>
      <c r="H655" s="206">
        <v>0</v>
      </c>
      <c r="I655" s="202">
        <f t="shared" si="10"/>
        <v>5118</v>
      </c>
      <c r="J655" s="205" t="s">
        <v>25</v>
      </c>
      <c r="K655" s="205" t="s">
        <v>214</v>
      </c>
      <c r="L655" s="201" t="s">
        <v>1151</v>
      </c>
      <c r="M655" s="205" t="s">
        <v>3613</v>
      </c>
      <c r="N655" s="201" t="s">
        <v>1030</v>
      </c>
      <c r="O655" s="205" t="s">
        <v>652</v>
      </c>
      <c r="P655" s="205" t="s">
        <v>652</v>
      </c>
      <c r="Q655" s="216" t="s">
        <v>653</v>
      </c>
      <c r="R655" s="216" t="s">
        <v>654</v>
      </c>
      <c r="S655" s="216" t="s">
        <v>850</v>
      </c>
      <c r="U655" s="209"/>
      <c r="V655" s="209"/>
      <c r="W655" s="209"/>
      <c r="X655" s="209"/>
    </row>
    <row r="656" spans="1:24" s="205" customFormat="1" hidden="1" x14ac:dyDescent="0.2">
      <c r="A656" s="205" t="s">
        <v>161</v>
      </c>
      <c r="B656" s="205" t="s">
        <v>611</v>
      </c>
      <c r="C656" s="200" t="s">
        <v>850</v>
      </c>
      <c r="D656" s="209" t="s">
        <v>166</v>
      </c>
      <c r="E656" s="209"/>
      <c r="F656" s="206">
        <v>-8676</v>
      </c>
      <c r="G656" s="206">
        <v>0</v>
      </c>
      <c r="H656" s="206">
        <v>0</v>
      </c>
      <c r="I656" s="202">
        <f t="shared" si="10"/>
        <v>-8676</v>
      </c>
      <c r="J656" s="205" t="s">
        <v>25</v>
      </c>
      <c r="K656" s="205" t="s">
        <v>214</v>
      </c>
      <c r="L656" s="201" t="s">
        <v>1151</v>
      </c>
      <c r="M656" s="205" t="s">
        <v>3614</v>
      </c>
      <c r="N656" s="201" t="s">
        <v>1030</v>
      </c>
      <c r="O656" s="205" t="s">
        <v>652</v>
      </c>
      <c r="P656" s="205" t="s">
        <v>652</v>
      </c>
      <c r="Q656" s="208" t="s">
        <v>653</v>
      </c>
      <c r="R656" s="208" t="s">
        <v>654</v>
      </c>
      <c r="S656" s="208" t="s">
        <v>850</v>
      </c>
      <c r="U656" s="209"/>
      <c r="V656" s="209"/>
      <c r="W656" s="209"/>
      <c r="X656" s="209"/>
    </row>
    <row r="657" spans="1:24" s="205" customFormat="1" hidden="1" x14ac:dyDescent="0.2">
      <c r="A657" s="205" t="s">
        <v>946</v>
      </c>
      <c r="B657" s="205" t="s">
        <v>947</v>
      </c>
      <c r="C657" s="200" t="s">
        <v>850</v>
      </c>
      <c r="D657" s="209" t="s">
        <v>152</v>
      </c>
      <c r="E657" s="209"/>
      <c r="F657" s="206">
        <v>32310</v>
      </c>
      <c r="G657" s="206">
        <v>0</v>
      </c>
      <c r="H657" s="206">
        <v>0</v>
      </c>
      <c r="I657" s="202">
        <f t="shared" si="10"/>
        <v>32310</v>
      </c>
      <c r="J657" s="205" t="s">
        <v>25</v>
      </c>
      <c r="K657" s="205" t="s">
        <v>214</v>
      </c>
      <c r="L657" s="201" t="s">
        <v>1042</v>
      </c>
      <c r="M657" s="205" t="s">
        <v>3615</v>
      </c>
      <c r="N657" s="201" t="s">
        <v>1072</v>
      </c>
      <c r="O657" s="205" t="s">
        <v>1073</v>
      </c>
      <c r="P657" s="205" t="s">
        <v>1074</v>
      </c>
      <c r="Q657" s="208" t="s">
        <v>874</v>
      </c>
      <c r="R657" s="208" t="s">
        <v>945</v>
      </c>
      <c r="S657" s="208" t="s">
        <v>850</v>
      </c>
      <c r="U657" s="209"/>
      <c r="V657" s="209"/>
      <c r="W657" s="209"/>
      <c r="X657" s="209"/>
    </row>
    <row r="658" spans="1:24" s="205" customFormat="1" hidden="1" x14ac:dyDescent="0.2">
      <c r="A658" s="205" t="s">
        <v>3616</v>
      </c>
      <c r="B658" s="205" t="s">
        <v>3617</v>
      </c>
      <c r="C658" s="200" t="s">
        <v>850</v>
      </c>
      <c r="D658" s="205" t="s">
        <v>152</v>
      </c>
      <c r="F658" s="206">
        <v>52776</v>
      </c>
      <c r="G658" s="206">
        <v>0</v>
      </c>
      <c r="H658" s="206">
        <v>0</v>
      </c>
      <c r="I658" s="202">
        <f t="shared" si="10"/>
        <v>52776</v>
      </c>
      <c r="J658" s="205" t="s">
        <v>25</v>
      </c>
      <c r="K658" s="205" t="s">
        <v>214</v>
      </c>
      <c r="L658" s="199" t="s">
        <v>1028</v>
      </c>
      <c r="M658" s="205" t="s">
        <v>3618</v>
      </c>
      <c r="N658" s="201" t="s">
        <v>1030</v>
      </c>
      <c r="O658" s="205" t="s">
        <v>652</v>
      </c>
      <c r="P658" s="205" t="s">
        <v>652</v>
      </c>
      <c r="Q658" s="208" t="s">
        <v>3226</v>
      </c>
      <c r="R658" s="208" t="s">
        <v>3375</v>
      </c>
      <c r="S658" s="208" t="s">
        <v>850</v>
      </c>
      <c r="U658" s="209"/>
      <c r="V658" s="209"/>
      <c r="W658" s="209"/>
      <c r="X658" s="209"/>
    </row>
    <row r="659" spans="1:24" s="205" customFormat="1" hidden="1" x14ac:dyDescent="0.2">
      <c r="A659" s="209" t="s">
        <v>68</v>
      </c>
      <c r="B659" s="209" t="s">
        <v>600</v>
      </c>
      <c r="C659" s="234" t="s">
        <v>850</v>
      </c>
      <c r="D659" s="209" t="s">
        <v>152</v>
      </c>
      <c r="E659" s="209"/>
      <c r="F659" s="211">
        <v>16312</v>
      </c>
      <c r="G659" s="206">
        <v>0</v>
      </c>
      <c r="H659" s="206">
        <v>0</v>
      </c>
      <c r="I659" s="202">
        <f t="shared" si="10"/>
        <v>16312</v>
      </c>
      <c r="J659" s="209" t="s">
        <v>25</v>
      </c>
      <c r="K659" s="209" t="s">
        <v>214</v>
      </c>
      <c r="L659" s="201" t="s">
        <v>1042</v>
      </c>
      <c r="M659" s="209" t="s">
        <v>3619</v>
      </c>
      <c r="N659" s="201" t="s">
        <v>1030</v>
      </c>
      <c r="O659" s="209" t="s">
        <v>652</v>
      </c>
      <c r="P659" s="209" t="s">
        <v>652</v>
      </c>
      <c r="Q659" s="213" t="s">
        <v>653</v>
      </c>
      <c r="R659" s="213" t="s">
        <v>654</v>
      </c>
      <c r="S659" s="213" t="s">
        <v>850</v>
      </c>
      <c r="T659" s="209"/>
      <c r="U659" s="209"/>
      <c r="V659" s="209"/>
      <c r="W659" s="209"/>
      <c r="X659" s="209"/>
    </row>
    <row r="660" spans="1:24" s="205" customFormat="1" hidden="1" x14ac:dyDescent="0.2">
      <c r="A660" s="205" t="s">
        <v>192</v>
      </c>
      <c r="B660" s="205" t="s">
        <v>617</v>
      </c>
      <c r="C660" s="200" t="s">
        <v>3279</v>
      </c>
      <c r="D660" s="209" t="s">
        <v>152</v>
      </c>
      <c r="E660" s="209"/>
      <c r="F660" s="206">
        <v>4361</v>
      </c>
      <c r="G660" s="206">
        <v>436</v>
      </c>
      <c r="H660" s="206">
        <v>44</v>
      </c>
      <c r="I660" s="202">
        <f t="shared" si="10"/>
        <v>3969</v>
      </c>
      <c r="J660" s="205" t="s">
        <v>32</v>
      </c>
      <c r="K660" s="205" t="s">
        <v>29</v>
      </c>
      <c r="L660" s="201" t="s">
        <v>1042</v>
      </c>
      <c r="M660" s="205" t="s">
        <v>3620</v>
      </c>
      <c r="N660" s="201" t="s">
        <v>1030</v>
      </c>
      <c r="O660" s="205" t="s">
        <v>652</v>
      </c>
      <c r="P660" s="205" t="s">
        <v>652</v>
      </c>
      <c r="Q660" s="208" t="s">
        <v>653</v>
      </c>
      <c r="R660" s="208" t="s">
        <v>654</v>
      </c>
      <c r="S660" s="208" t="s">
        <v>3279</v>
      </c>
    </row>
    <row r="661" spans="1:24" s="205" customFormat="1" hidden="1" x14ac:dyDescent="0.2">
      <c r="A661" s="205" t="s">
        <v>117</v>
      </c>
      <c r="B661" s="205" t="s">
        <v>1525</v>
      </c>
      <c r="C661" s="200" t="s">
        <v>3279</v>
      </c>
      <c r="D661" s="209" t="s">
        <v>166</v>
      </c>
      <c r="E661" s="209"/>
      <c r="F661" s="206">
        <v>-338150</v>
      </c>
      <c r="G661" s="206">
        <v>-33815</v>
      </c>
      <c r="H661" s="206">
        <v>-3382</v>
      </c>
      <c r="I661" s="202">
        <f t="shared" si="10"/>
        <v>-307717</v>
      </c>
      <c r="J661" s="205" t="s">
        <v>90</v>
      </c>
      <c r="K661" s="205" t="s">
        <v>29</v>
      </c>
      <c r="L661" s="201" t="s">
        <v>1151</v>
      </c>
      <c r="M661" s="205" t="s">
        <v>3621</v>
      </c>
      <c r="N661" s="201" t="s">
        <v>1030</v>
      </c>
      <c r="O661" s="205" t="s">
        <v>652</v>
      </c>
      <c r="P661" s="205" t="s">
        <v>652</v>
      </c>
      <c r="Q661" s="208" t="s">
        <v>990</v>
      </c>
      <c r="R661" s="208" t="s">
        <v>991</v>
      </c>
      <c r="S661" s="208" t="s">
        <v>3279</v>
      </c>
    </row>
    <row r="662" spans="1:24" s="205" customFormat="1" hidden="1" x14ac:dyDescent="0.2">
      <c r="A662" s="205" t="s">
        <v>175</v>
      </c>
      <c r="B662" s="205" t="s">
        <v>529</v>
      </c>
      <c r="C662" s="200" t="s">
        <v>3279</v>
      </c>
      <c r="D662" s="209" t="s">
        <v>152</v>
      </c>
      <c r="E662" s="209"/>
      <c r="F662" s="206">
        <v>47582</v>
      </c>
      <c r="G662" s="206">
        <v>4758</v>
      </c>
      <c r="H662" s="206">
        <v>476</v>
      </c>
      <c r="I662" s="202">
        <f t="shared" si="10"/>
        <v>43300</v>
      </c>
      <c r="J662" s="205" t="s">
        <v>32</v>
      </c>
      <c r="K662" s="205" t="s">
        <v>29</v>
      </c>
      <c r="L662" s="201" t="s">
        <v>1042</v>
      </c>
      <c r="M662" s="205" t="s">
        <v>3622</v>
      </c>
      <c r="N662" s="201" t="s">
        <v>1030</v>
      </c>
      <c r="O662" s="205" t="s">
        <v>652</v>
      </c>
      <c r="P662" s="205" t="s">
        <v>652</v>
      </c>
      <c r="Q662" s="208" t="s">
        <v>718</v>
      </c>
      <c r="R662" s="208" t="s">
        <v>719</v>
      </c>
      <c r="S662" s="208" t="s">
        <v>3279</v>
      </c>
    </row>
    <row r="663" spans="1:24" s="205" customFormat="1" hidden="1" x14ac:dyDescent="0.2">
      <c r="A663" s="205" t="s">
        <v>64</v>
      </c>
      <c r="B663" s="205" t="s">
        <v>514</v>
      </c>
      <c r="C663" s="200" t="s">
        <v>3279</v>
      </c>
      <c r="D663" s="209" t="s">
        <v>152</v>
      </c>
      <c r="E663" s="209"/>
      <c r="F663" s="206">
        <v>66688</v>
      </c>
      <c r="G663" s="206">
        <v>6669</v>
      </c>
      <c r="H663" s="206">
        <v>667</v>
      </c>
      <c r="I663" s="202">
        <f t="shared" si="10"/>
        <v>60686</v>
      </c>
      <c r="J663" s="205" t="s">
        <v>31</v>
      </c>
      <c r="K663" s="205" t="s">
        <v>29</v>
      </c>
      <c r="L663" s="201" t="s">
        <v>1042</v>
      </c>
      <c r="M663" s="205" t="s">
        <v>3623</v>
      </c>
      <c r="N663" s="201" t="s">
        <v>1030</v>
      </c>
      <c r="O663" s="205" t="s">
        <v>652</v>
      </c>
      <c r="P663" s="205" t="s">
        <v>652</v>
      </c>
      <c r="Q663" s="208" t="s">
        <v>653</v>
      </c>
      <c r="R663" s="208" t="s">
        <v>654</v>
      </c>
      <c r="S663" s="208" t="s">
        <v>3279</v>
      </c>
    </row>
    <row r="664" spans="1:24" s="205" customFormat="1" hidden="1" x14ac:dyDescent="0.2">
      <c r="A664" s="205" t="s">
        <v>187</v>
      </c>
      <c r="B664" s="205" t="s">
        <v>961</v>
      </c>
      <c r="C664" s="200" t="s">
        <v>3279</v>
      </c>
      <c r="D664" s="209" t="s">
        <v>152</v>
      </c>
      <c r="E664" s="209"/>
      <c r="F664" s="206">
        <v>63331</v>
      </c>
      <c r="G664" s="206">
        <v>6333</v>
      </c>
      <c r="H664" s="206">
        <v>633</v>
      </c>
      <c r="I664" s="202">
        <f t="shared" si="10"/>
        <v>57631</v>
      </c>
      <c r="J664" s="205" t="s">
        <v>188</v>
      </c>
      <c r="K664" s="205" t="s">
        <v>29</v>
      </c>
      <c r="L664" s="201" t="s">
        <v>1141</v>
      </c>
      <c r="M664" s="205" t="s">
        <v>3624</v>
      </c>
      <c r="N664" s="201" t="s">
        <v>1030</v>
      </c>
      <c r="O664" s="205" t="s">
        <v>652</v>
      </c>
      <c r="P664" s="205" t="s">
        <v>652</v>
      </c>
      <c r="Q664" s="208" t="s">
        <v>691</v>
      </c>
      <c r="R664" s="208" t="s">
        <v>960</v>
      </c>
      <c r="S664" s="208" t="s">
        <v>3279</v>
      </c>
    </row>
    <row r="665" spans="1:24" s="205" customFormat="1" hidden="1" x14ac:dyDescent="0.2">
      <c r="A665" s="205" t="s">
        <v>187</v>
      </c>
      <c r="B665" s="205" t="s">
        <v>961</v>
      </c>
      <c r="C665" s="200" t="s">
        <v>3279</v>
      </c>
      <c r="D665" s="209" t="s">
        <v>152</v>
      </c>
      <c r="E665" s="209"/>
      <c r="F665" s="206">
        <v>14979</v>
      </c>
      <c r="G665" s="206">
        <v>1498</v>
      </c>
      <c r="H665" s="206">
        <v>150</v>
      </c>
      <c r="I665" s="202">
        <f t="shared" si="10"/>
        <v>13631</v>
      </c>
      <c r="J665" s="205" t="s">
        <v>188</v>
      </c>
      <c r="K665" s="205" t="s">
        <v>29</v>
      </c>
      <c r="L665" s="201" t="s">
        <v>1042</v>
      </c>
      <c r="M665" s="205" t="s">
        <v>3625</v>
      </c>
      <c r="N665" s="201" t="s">
        <v>1030</v>
      </c>
      <c r="O665" s="205" t="s">
        <v>652</v>
      </c>
      <c r="P665" s="205" t="s">
        <v>652</v>
      </c>
      <c r="Q665" s="208" t="s">
        <v>691</v>
      </c>
      <c r="R665" s="208" t="s">
        <v>960</v>
      </c>
      <c r="S665" s="208" t="s">
        <v>3279</v>
      </c>
    </row>
    <row r="666" spans="1:24" s="205" customFormat="1" hidden="1" x14ac:dyDescent="0.2">
      <c r="A666" s="205" t="s">
        <v>448</v>
      </c>
      <c r="B666" s="205" t="s">
        <v>3626</v>
      </c>
      <c r="C666" s="200" t="s">
        <v>3279</v>
      </c>
      <c r="D666" s="205" t="s">
        <v>152</v>
      </c>
      <c r="F666" s="206">
        <v>2703397</v>
      </c>
      <c r="G666" s="206">
        <v>270340</v>
      </c>
      <c r="H666" s="206">
        <v>27034</v>
      </c>
      <c r="I666" s="202">
        <f t="shared" si="10"/>
        <v>2460091</v>
      </c>
      <c r="J666" s="205" t="s">
        <v>883</v>
      </c>
      <c r="K666" s="205" t="s">
        <v>29</v>
      </c>
      <c r="L666" s="199" t="s">
        <v>1028</v>
      </c>
      <c r="M666" s="205" t="s">
        <v>3627</v>
      </c>
      <c r="N666" s="201" t="s">
        <v>1030</v>
      </c>
      <c r="O666" s="205" t="s">
        <v>652</v>
      </c>
      <c r="P666" s="205" t="s">
        <v>652</v>
      </c>
      <c r="Q666" s="208" t="s">
        <v>3628</v>
      </c>
      <c r="R666" s="208" t="s">
        <v>3629</v>
      </c>
      <c r="S666" s="208" t="s">
        <v>3279</v>
      </c>
    </row>
    <row r="667" spans="1:24" s="205" customFormat="1" hidden="1" x14ac:dyDescent="0.2">
      <c r="A667" s="205" t="s">
        <v>3630</v>
      </c>
      <c r="B667" s="205" t="s">
        <v>3631</v>
      </c>
      <c r="C667" s="200" t="s">
        <v>3279</v>
      </c>
      <c r="D667" s="205" t="s">
        <v>152</v>
      </c>
      <c r="F667" s="206">
        <v>92372</v>
      </c>
      <c r="G667" s="206">
        <v>9237</v>
      </c>
      <c r="H667" s="206">
        <v>924</v>
      </c>
      <c r="I667" s="202">
        <f t="shared" si="10"/>
        <v>84059</v>
      </c>
      <c r="J667" s="205" t="s">
        <v>46</v>
      </c>
      <c r="K667" s="205" t="s">
        <v>29</v>
      </c>
      <c r="L667" s="199" t="s">
        <v>1058</v>
      </c>
      <c r="M667" s="205" t="s">
        <v>3632</v>
      </c>
      <c r="N667" s="201" t="s">
        <v>1030</v>
      </c>
      <c r="O667" s="205" t="s">
        <v>652</v>
      </c>
      <c r="P667" s="205" t="s">
        <v>652</v>
      </c>
      <c r="Q667" s="208" t="s">
        <v>776</v>
      </c>
      <c r="R667" s="208" t="s">
        <v>2788</v>
      </c>
      <c r="S667" s="208" t="s">
        <v>3279</v>
      </c>
    </row>
    <row r="668" spans="1:24" s="205" customFormat="1" hidden="1" x14ac:dyDescent="0.2">
      <c r="A668" s="205" t="s">
        <v>2496</v>
      </c>
      <c r="B668" s="205" t="s">
        <v>2497</v>
      </c>
      <c r="C668" s="200" t="s">
        <v>3279</v>
      </c>
      <c r="D668" s="205" t="s">
        <v>152</v>
      </c>
      <c r="F668" s="206">
        <v>92577</v>
      </c>
      <c r="G668" s="206">
        <v>9258</v>
      </c>
      <c r="H668" s="206">
        <v>926</v>
      </c>
      <c r="I668" s="202">
        <f t="shared" si="10"/>
        <v>84245</v>
      </c>
      <c r="J668" s="205" t="s">
        <v>943</v>
      </c>
      <c r="K668" s="205" t="s">
        <v>29</v>
      </c>
      <c r="L668" s="199" t="s">
        <v>1058</v>
      </c>
      <c r="M668" s="205" t="s">
        <v>3633</v>
      </c>
      <c r="N668" s="201" t="s">
        <v>1030</v>
      </c>
      <c r="O668" s="205" t="s">
        <v>652</v>
      </c>
      <c r="P668" s="205" t="s">
        <v>652</v>
      </c>
      <c r="Q668" s="208" t="s">
        <v>875</v>
      </c>
      <c r="R668" s="208" t="s">
        <v>976</v>
      </c>
      <c r="S668" s="208" t="s">
        <v>3279</v>
      </c>
    </row>
    <row r="669" spans="1:24" s="205" customFormat="1" hidden="1" x14ac:dyDescent="0.2">
      <c r="A669" s="205" t="s">
        <v>3634</v>
      </c>
      <c r="B669" s="205" t="s">
        <v>3635</v>
      </c>
      <c r="C669" s="200" t="s">
        <v>3279</v>
      </c>
      <c r="D669" s="205" t="s">
        <v>152</v>
      </c>
      <c r="F669" s="206">
        <v>52204</v>
      </c>
      <c r="G669" s="206">
        <v>5220</v>
      </c>
      <c r="H669" s="206">
        <v>522</v>
      </c>
      <c r="I669" s="202">
        <f t="shared" si="10"/>
        <v>47506</v>
      </c>
      <c r="J669" s="205" t="s">
        <v>46</v>
      </c>
      <c r="K669" s="205" t="s">
        <v>29</v>
      </c>
      <c r="L669" s="199" t="s">
        <v>1058</v>
      </c>
      <c r="M669" s="205" t="s">
        <v>3636</v>
      </c>
      <c r="N669" s="201" t="s">
        <v>1030</v>
      </c>
      <c r="O669" s="205" t="s">
        <v>652</v>
      </c>
      <c r="P669" s="205" t="s">
        <v>652</v>
      </c>
      <c r="Q669" s="208" t="s">
        <v>776</v>
      </c>
      <c r="R669" s="208" t="s">
        <v>2788</v>
      </c>
      <c r="S669" s="208" t="s">
        <v>3279</v>
      </c>
    </row>
    <row r="670" spans="1:24" s="205" customFormat="1" hidden="1" x14ac:dyDescent="0.2">
      <c r="A670" s="205" t="s">
        <v>276</v>
      </c>
      <c r="B670" s="205" t="s">
        <v>3637</v>
      </c>
      <c r="C670" s="200" t="s">
        <v>3279</v>
      </c>
      <c r="D670" s="205" t="s">
        <v>152</v>
      </c>
      <c r="F670" s="206">
        <v>3000</v>
      </c>
      <c r="G670" s="206">
        <v>300</v>
      </c>
      <c r="H670" s="206">
        <v>30</v>
      </c>
      <c r="I670" s="202">
        <f t="shared" si="10"/>
        <v>2730</v>
      </c>
      <c r="J670" s="205" t="s">
        <v>31</v>
      </c>
      <c r="K670" s="205" t="s">
        <v>29</v>
      </c>
      <c r="L670" s="199" t="s">
        <v>1042</v>
      </c>
      <c r="M670" s="205" t="s">
        <v>3638</v>
      </c>
      <c r="N670" s="201" t="s">
        <v>652</v>
      </c>
      <c r="O670" s="205" t="s">
        <v>1190</v>
      </c>
      <c r="P670" s="205" t="s">
        <v>1191</v>
      </c>
      <c r="Q670" s="208" t="s">
        <v>724</v>
      </c>
      <c r="R670" s="208" t="s">
        <v>725</v>
      </c>
      <c r="S670" s="208" t="s">
        <v>3279</v>
      </c>
    </row>
    <row r="671" spans="1:24" s="205" customFormat="1" hidden="1" x14ac:dyDescent="0.2">
      <c r="A671" s="205" t="s">
        <v>102</v>
      </c>
      <c r="B671" s="205" t="s">
        <v>297</v>
      </c>
      <c r="C671" s="200" t="s">
        <v>3279</v>
      </c>
      <c r="D671" s="205" t="s">
        <v>152</v>
      </c>
      <c r="F671" s="206">
        <v>9232</v>
      </c>
      <c r="G671" s="206">
        <v>923</v>
      </c>
      <c r="H671" s="206">
        <v>92</v>
      </c>
      <c r="I671" s="202">
        <f t="shared" si="10"/>
        <v>8401</v>
      </c>
      <c r="J671" s="205" t="s">
        <v>31</v>
      </c>
      <c r="K671" s="205" t="s">
        <v>29</v>
      </c>
      <c r="L671" s="199" t="s">
        <v>1042</v>
      </c>
      <c r="M671" s="205" t="s">
        <v>3639</v>
      </c>
      <c r="N671" s="201" t="s">
        <v>1030</v>
      </c>
      <c r="O671" s="205" t="s">
        <v>652</v>
      </c>
      <c r="P671" s="205" t="s">
        <v>652</v>
      </c>
      <c r="Q671" s="214" t="s">
        <v>724</v>
      </c>
      <c r="R671" s="214" t="s">
        <v>725</v>
      </c>
      <c r="S671" s="214" t="s">
        <v>3279</v>
      </c>
    </row>
    <row r="672" spans="1:24" s="205" customFormat="1" hidden="1" x14ac:dyDescent="0.2">
      <c r="A672" s="205" t="s">
        <v>174</v>
      </c>
      <c r="B672" s="205" t="s">
        <v>833</v>
      </c>
      <c r="C672" s="200" t="s">
        <v>3279</v>
      </c>
      <c r="D672" s="205" t="s">
        <v>152</v>
      </c>
      <c r="F672" s="206">
        <v>37392</v>
      </c>
      <c r="G672" s="206">
        <v>3739</v>
      </c>
      <c r="H672" s="206">
        <v>374</v>
      </c>
      <c r="I672" s="202">
        <f t="shared" si="10"/>
        <v>34027</v>
      </c>
      <c r="J672" s="205" t="s">
        <v>31</v>
      </c>
      <c r="K672" s="205" t="s">
        <v>29</v>
      </c>
      <c r="L672" s="199" t="s">
        <v>1042</v>
      </c>
      <c r="M672" s="205" t="s">
        <v>3640</v>
      </c>
      <c r="N672" s="201" t="s">
        <v>1030</v>
      </c>
      <c r="O672" s="205" t="s">
        <v>652</v>
      </c>
      <c r="P672" s="205" t="s">
        <v>652</v>
      </c>
      <c r="Q672" s="214" t="s">
        <v>651</v>
      </c>
      <c r="R672" s="214" t="s">
        <v>673</v>
      </c>
      <c r="S672" s="214" t="s">
        <v>3279</v>
      </c>
    </row>
    <row r="673" spans="1:20" s="205" customFormat="1" hidden="1" x14ac:dyDescent="0.2">
      <c r="A673" s="209" t="s">
        <v>262</v>
      </c>
      <c r="B673" s="209" t="s">
        <v>1313</v>
      </c>
      <c r="C673" s="234" t="s">
        <v>3279</v>
      </c>
      <c r="D673" s="209" t="s">
        <v>152</v>
      </c>
      <c r="E673" s="209"/>
      <c r="F673" s="211">
        <v>25980</v>
      </c>
      <c r="G673" s="211">
        <v>2598</v>
      </c>
      <c r="H673" s="211">
        <v>260</v>
      </c>
      <c r="I673" s="202">
        <f t="shared" si="10"/>
        <v>23642</v>
      </c>
      <c r="J673" s="209" t="s">
        <v>40</v>
      </c>
      <c r="K673" s="209" t="s">
        <v>29</v>
      </c>
      <c r="L673" s="201" t="s">
        <v>1042</v>
      </c>
      <c r="M673" s="209" t="s">
        <v>3641</v>
      </c>
      <c r="N673" s="201" t="s">
        <v>1030</v>
      </c>
      <c r="O673" s="209" t="s">
        <v>652</v>
      </c>
      <c r="P673" s="209" t="s">
        <v>652</v>
      </c>
      <c r="Q673" s="213" t="s">
        <v>987</v>
      </c>
      <c r="R673" s="213" t="s">
        <v>988</v>
      </c>
      <c r="S673" s="213" t="s">
        <v>3279</v>
      </c>
      <c r="T673" s="209"/>
    </row>
    <row r="674" spans="1:20" s="205" customFormat="1" hidden="1" x14ac:dyDescent="0.2">
      <c r="A674" s="205" t="s">
        <v>1271</v>
      </c>
      <c r="B674" s="205" t="s">
        <v>1272</v>
      </c>
      <c r="C674" s="200" t="s">
        <v>3279</v>
      </c>
      <c r="D674" s="209" t="s">
        <v>166</v>
      </c>
      <c r="E674" s="209"/>
      <c r="F674" s="206">
        <v>-38567</v>
      </c>
      <c r="G674" s="206">
        <v>-3857</v>
      </c>
      <c r="H674" s="206">
        <v>-193</v>
      </c>
      <c r="I674" s="202">
        <f t="shared" si="10"/>
        <v>-34903</v>
      </c>
      <c r="J674" s="205" t="s">
        <v>22</v>
      </c>
      <c r="K674" s="205" t="s">
        <v>23</v>
      </c>
      <c r="L674" s="201" t="s">
        <v>1151</v>
      </c>
      <c r="M674" s="205" t="s">
        <v>3642</v>
      </c>
      <c r="N674" s="201" t="s">
        <v>1030</v>
      </c>
      <c r="O674" s="205" t="s">
        <v>1274</v>
      </c>
      <c r="P674" s="205" t="s">
        <v>1111</v>
      </c>
      <c r="Q674" s="208" t="s">
        <v>987</v>
      </c>
      <c r="R674" s="208" t="s">
        <v>988</v>
      </c>
      <c r="S674" s="208" t="s">
        <v>3279</v>
      </c>
    </row>
    <row r="675" spans="1:20" s="205" customFormat="1" hidden="1" x14ac:dyDescent="0.2">
      <c r="A675" s="205" t="s">
        <v>251</v>
      </c>
      <c r="B675" s="205" t="s">
        <v>3643</v>
      </c>
      <c r="C675" s="200" t="s">
        <v>3279</v>
      </c>
      <c r="D675" s="209" t="s">
        <v>152</v>
      </c>
      <c r="E675" s="209"/>
      <c r="F675" s="206">
        <v>33350</v>
      </c>
      <c r="G675" s="206">
        <v>3335</v>
      </c>
      <c r="H675" s="206">
        <v>167</v>
      </c>
      <c r="I675" s="202">
        <f t="shared" si="10"/>
        <v>30182</v>
      </c>
      <c r="J675" s="205" t="s">
        <v>104</v>
      </c>
      <c r="K675" s="205" t="s">
        <v>23</v>
      </c>
      <c r="L675" s="201" t="s">
        <v>1028</v>
      </c>
      <c r="M675" s="205" t="s">
        <v>3644</v>
      </c>
      <c r="N675" s="201" t="s">
        <v>1072</v>
      </c>
      <c r="O675" s="205" t="s">
        <v>652</v>
      </c>
      <c r="P675" s="205" t="s">
        <v>652</v>
      </c>
      <c r="Q675" s="208" t="s">
        <v>2191</v>
      </c>
      <c r="R675" s="208" t="s">
        <v>2192</v>
      </c>
      <c r="S675" s="208" t="s">
        <v>3279</v>
      </c>
    </row>
    <row r="676" spans="1:20" s="205" customFormat="1" hidden="1" x14ac:dyDescent="0.2">
      <c r="A676" s="205" t="s">
        <v>251</v>
      </c>
      <c r="B676" s="205" t="s">
        <v>3645</v>
      </c>
      <c r="C676" s="200" t="s">
        <v>3279</v>
      </c>
      <c r="D676" s="209" t="s">
        <v>152</v>
      </c>
      <c r="E676" s="209"/>
      <c r="F676" s="206">
        <v>124503</v>
      </c>
      <c r="G676" s="206">
        <v>12450</v>
      </c>
      <c r="H676" s="206">
        <v>623</v>
      </c>
      <c r="I676" s="202">
        <f t="shared" si="10"/>
        <v>112676</v>
      </c>
      <c r="J676" s="205" t="s">
        <v>104</v>
      </c>
      <c r="K676" s="205" t="s">
        <v>23</v>
      </c>
      <c r="L676" s="201" t="s">
        <v>1028</v>
      </c>
      <c r="M676" s="205" t="s">
        <v>3646</v>
      </c>
      <c r="N676" s="201" t="s">
        <v>1072</v>
      </c>
      <c r="O676" s="205" t="s">
        <v>652</v>
      </c>
      <c r="P676" s="205" t="s">
        <v>652</v>
      </c>
      <c r="Q676" s="208" t="s">
        <v>2191</v>
      </c>
      <c r="R676" s="208" t="s">
        <v>2192</v>
      </c>
      <c r="S676" s="208" t="s">
        <v>3279</v>
      </c>
    </row>
    <row r="677" spans="1:20" s="205" customFormat="1" hidden="1" x14ac:dyDescent="0.2">
      <c r="A677" s="205" t="s">
        <v>251</v>
      </c>
      <c r="B677" s="205" t="s">
        <v>3647</v>
      </c>
      <c r="C677" s="200" t="s">
        <v>3279</v>
      </c>
      <c r="D677" s="205" t="s">
        <v>152</v>
      </c>
      <c r="F677" s="206">
        <v>38699</v>
      </c>
      <c r="G677" s="206">
        <v>3870</v>
      </c>
      <c r="H677" s="206">
        <v>194</v>
      </c>
      <c r="I677" s="202">
        <f t="shared" si="10"/>
        <v>35023</v>
      </c>
      <c r="J677" s="205" t="s">
        <v>104</v>
      </c>
      <c r="K677" s="205" t="s">
        <v>23</v>
      </c>
      <c r="L677" s="201" t="s">
        <v>1028</v>
      </c>
      <c r="M677" s="205" t="s">
        <v>3648</v>
      </c>
      <c r="N677" s="201" t="s">
        <v>1072</v>
      </c>
      <c r="O677" s="205" t="s">
        <v>652</v>
      </c>
      <c r="P677" s="205" t="s">
        <v>652</v>
      </c>
      <c r="Q677" s="208" t="s">
        <v>2191</v>
      </c>
      <c r="R677" s="208" t="s">
        <v>2192</v>
      </c>
      <c r="S677" s="208" t="s">
        <v>3279</v>
      </c>
    </row>
    <row r="678" spans="1:20" s="205" customFormat="1" hidden="1" x14ac:dyDescent="0.2">
      <c r="A678" s="205" t="s">
        <v>251</v>
      </c>
      <c r="B678" s="205" t="s">
        <v>3649</v>
      </c>
      <c r="C678" s="200" t="s">
        <v>3279</v>
      </c>
      <c r="D678" s="209" t="s">
        <v>152</v>
      </c>
      <c r="E678" s="209"/>
      <c r="F678" s="206">
        <v>67917</v>
      </c>
      <c r="G678" s="206">
        <v>6792</v>
      </c>
      <c r="H678" s="206">
        <v>340</v>
      </c>
      <c r="I678" s="202">
        <f t="shared" si="10"/>
        <v>61465</v>
      </c>
      <c r="J678" s="205" t="s">
        <v>104</v>
      </c>
      <c r="K678" s="205" t="s">
        <v>23</v>
      </c>
      <c r="L678" s="201" t="s">
        <v>1028</v>
      </c>
      <c r="M678" s="205" t="s">
        <v>3650</v>
      </c>
      <c r="N678" s="201" t="s">
        <v>1072</v>
      </c>
      <c r="O678" s="205" t="s">
        <v>652</v>
      </c>
      <c r="P678" s="205" t="s">
        <v>652</v>
      </c>
      <c r="Q678" s="208" t="s">
        <v>2191</v>
      </c>
      <c r="R678" s="208" t="s">
        <v>2192</v>
      </c>
      <c r="S678" s="208" t="s">
        <v>3279</v>
      </c>
    </row>
    <row r="679" spans="1:20" s="205" customFormat="1" hidden="1" x14ac:dyDescent="0.2">
      <c r="A679" s="205" t="s">
        <v>251</v>
      </c>
      <c r="B679" s="205" t="s">
        <v>3651</v>
      </c>
      <c r="C679" s="200" t="s">
        <v>3279</v>
      </c>
      <c r="D679" s="209" t="s">
        <v>152</v>
      </c>
      <c r="E679" s="209"/>
      <c r="F679" s="206">
        <v>43157</v>
      </c>
      <c r="G679" s="206">
        <v>4316</v>
      </c>
      <c r="H679" s="206">
        <v>216</v>
      </c>
      <c r="I679" s="202">
        <f t="shared" si="10"/>
        <v>39057</v>
      </c>
      <c r="J679" s="205" t="s">
        <v>104</v>
      </c>
      <c r="K679" s="205" t="s">
        <v>23</v>
      </c>
      <c r="L679" s="201" t="s">
        <v>1028</v>
      </c>
      <c r="M679" s="205" t="s">
        <v>3652</v>
      </c>
      <c r="N679" s="201" t="s">
        <v>1072</v>
      </c>
      <c r="O679" s="205" t="s">
        <v>652</v>
      </c>
      <c r="P679" s="205" t="s">
        <v>652</v>
      </c>
      <c r="Q679" s="208" t="s">
        <v>2191</v>
      </c>
      <c r="R679" s="208" t="s">
        <v>2192</v>
      </c>
      <c r="S679" s="208" t="s">
        <v>3279</v>
      </c>
    </row>
    <row r="680" spans="1:20" s="205" customFormat="1" hidden="1" x14ac:dyDescent="0.2">
      <c r="A680" s="205" t="s">
        <v>251</v>
      </c>
      <c r="B680" s="205" t="s">
        <v>3653</v>
      </c>
      <c r="C680" s="200" t="s">
        <v>3279</v>
      </c>
      <c r="D680" s="209" t="s">
        <v>152</v>
      </c>
      <c r="E680" s="209"/>
      <c r="F680" s="206">
        <v>168726</v>
      </c>
      <c r="G680" s="206">
        <v>16873</v>
      </c>
      <c r="H680" s="206">
        <v>844</v>
      </c>
      <c r="I680" s="202">
        <f t="shared" si="10"/>
        <v>152697</v>
      </c>
      <c r="J680" s="205" t="s">
        <v>104</v>
      </c>
      <c r="K680" s="205" t="s">
        <v>23</v>
      </c>
      <c r="L680" s="201" t="s">
        <v>1028</v>
      </c>
      <c r="M680" s="205" t="s">
        <v>3654</v>
      </c>
      <c r="N680" s="201" t="s">
        <v>1072</v>
      </c>
      <c r="O680" s="205" t="s">
        <v>652</v>
      </c>
      <c r="P680" s="205" t="s">
        <v>652</v>
      </c>
      <c r="Q680" s="208" t="s">
        <v>2191</v>
      </c>
      <c r="R680" s="208" t="s">
        <v>2192</v>
      </c>
      <c r="S680" s="208" t="s">
        <v>3279</v>
      </c>
    </row>
    <row r="681" spans="1:20" s="205" customFormat="1" hidden="1" x14ac:dyDescent="0.2">
      <c r="A681" s="205" t="s">
        <v>537</v>
      </c>
      <c r="B681" s="205" t="s">
        <v>538</v>
      </c>
      <c r="C681" s="200" t="s">
        <v>3279</v>
      </c>
      <c r="D681" s="209" t="s">
        <v>152</v>
      </c>
      <c r="E681" s="209"/>
      <c r="F681" s="206">
        <v>3729</v>
      </c>
      <c r="G681" s="206">
        <v>373</v>
      </c>
      <c r="H681" s="206">
        <v>19</v>
      </c>
      <c r="I681" s="202">
        <f t="shared" si="10"/>
        <v>3375</v>
      </c>
      <c r="J681" s="205" t="s">
        <v>344</v>
      </c>
      <c r="K681" s="205" t="s">
        <v>23</v>
      </c>
      <c r="L681" s="201" t="s">
        <v>1042</v>
      </c>
      <c r="M681" s="205" t="s">
        <v>3655</v>
      </c>
      <c r="N681" s="201" t="s">
        <v>1030</v>
      </c>
      <c r="O681" s="205" t="s">
        <v>1065</v>
      </c>
      <c r="P681" s="205" t="s">
        <v>1066</v>
      </c>
      <c r="Q681" s="208" t="s">
        <v>688</v>
      </c>
      <c r="R681" s="208" t="s">
        <v>689</v>
      </c>
      <c r="S681" s="208" t="s">
        <v>3279</v>
      </c>
    </row>
    <row r="682" spans="1:20" s="205" customFormat="1" hidden="1" x14ac:dyDescent="0.2">
      <c r="A682" s="205" t="s">
        <v>244</v>
      </c>
      <c r="B682" s="205" t="s">
        <v>3656</v>
      </c>
      <c r="C682" s="200" t="s">
        <v>3279</v>
      </c>
      <c r="D682" s="209" t="s">
        <v>152</v>
      </c>
      <c r="E682" s="209"/>
      <c r="F682" s="206">
        <v>101875</v>
      </c>
      <c r="G682" s="206">
        <v>10188</v>
      </c>
      <c r="H682" s="206">
        <v>509</v>
      </c>
      <c r="I682" s="202">
        <f t="shared" si="10"/>
        <v>92196</v>
      </c>
      <c r="J682" s="205" t="s">
        <v>38</v>
      </c>
      <c r="K682" s="205" t="s">
        <v>23</v>
      </c>
      <c r="L682" s="201" t="s">
        <v>1042</v>
      </c>
      <c r="M682" s="205" t="s">
        <v>3657</v>
      </c>
      <c r="N682" s="201" t="s">
        <v>1030</v>
      </c>
      <c r="O682" s="205" t="s">
        <v>652</v>
      </c>
      <c r="P682" s="205" t="s">
        <v>652</v>
      </c>
      <c r="Q682" s="208" t="s">
        <v>688</v>
      </c>
      <c r="R682" s="208" t="s">
        <v>689</v>
      </c>
      <c r="S682" s="208" t="s">
        <v>3279</v>
      </c>
    </row>
    <row r="683" spans="1:20" s="205" customFormat="1" hidden="1" x14ac:dyDescent="0.2">
      <c r="A683" s="205" t="s">
        <v>208</v>
      </c>
      <c r="B683" s="205" t="s">
        <v>3658</v>
      </c>
      <c r="C683" s="200" t="s">
        <v>3279</v>
      </c>
      <c r="D683" s="209" t="s">
        <v>152</v>
      </c>
      <c r="E683" s="209"/>
      <c r="F683" s="206">
        <v>3835</v>
      </c>
      <c r="G683" s="206">
        <v>384</v>
      </c>
      <c r="H683" s="206">
        <v>19</v>
      </c>
      <c r="I683" s="202">
        <f t="shared" si="10"/>
        <v>3470</v>
      </c>
      <c r="J683" s="205" t="s">
        <v>1740</v>
      </c>
      <c r="K683" s="205" t="s">
        <v>23</v>
      </c>
      <c r="L683" s="201" t="s">
        <v>1042</v>
      </c>
      <c r="M683" s="205" t="s">
        <v>3659</v>
      </c>
      <c r="N683" s="201" t="s">
        <v>1030</v>
      </c>
      <c r="O683" s="205" t="s">
        <v>652</v>
      </c>
      <c r="P683" s="205" t="s">
        <v>652</v>
      </c>
      <c r="Q683" s="208" t="s">
        <v>3660</v>
      </c>
      <c r="R683" s="208" t="s">
        <v>3661</v>
      </c>
      <c r="S683" s="208" t="s">
        <v>3279</v>
      </c>
    </row>
    <row r="684" spans="1:20" s="205" customFormat="1" hidden="1" x14ac:dyDescent="0.2">
      <c r="A684" s="205" t="s">
        <v>313</v>
      </c>
      <c r="B684" s="205" t="s">
        <v>758</v>
      </c>
      <c r="C684" s="200" t="s">
        <v>3279</v>
      </c>
      <c r="D684" s="209" t="s">
        <v>166</v>
      </c>
      <c r="E684" s="209"/>
      <c r="F684" s="206">
        <v>-44268</v>
      </c>
      <c r="G684" s="206">
        <v>-4427</v>
      </c>
      <c r="H684" s="206">
        <v>-221</v>
      </c>
      <c r="I684" s="202">
        <f t="shared" si="10"/>
        <v>-40062</v>
      </c>
      <c r="J684" s="205" t="s">
        <v>22</v>
      </c>
      <c r="K684" s="205" t="s">
        <v>23</v>
      </c>
      <c r="L684" s="201" t="s">
        <v>1068</v>
      </c>
      <c r="M684" s="205" t="s">
        <v>3662</v>
      </c>
      <c r="N684" s="201" t="s">
        <v>1030</v>
      </c>
      <c r="O684" s="205" t="s">
        <v>1382</v>
      </c>
      <c r="P684" s="205" t="s">
        <v>1382</v>
      </c>
      <c r="Q684" s="208" t="s">
        <v>651</v>
      </c>
      <c r="R684" s="208" t="s">
        <v>673</v>
      </c>
      <c r="S684" s="208" t="s">
        <v>3279</v>
      </c>
    </row>
    <row r="685" spans="1:20" s="205" customFormat="1" hidden="1" x14ac:dyDescent="0.2">
      <c r="A685" s="205" t="s">
        <v>245</v>
      </c>
      <c r="B685" s="205" t="s">
        <v>3663</v>
      </c>
      <c r="C685" s="200" t="s">
        <v>3279</v>
      </c>
      <c r="D685" s="209" t="s">
        <v>152</v>
      </c>
      <c r="E685" s="209"/>
      <c r="F685" s="206">
        <v>31332</v>
      </c>
      <c r="G685" s="206">
        <v>3133</v>
      </c>
      <c r="H685" s="206">
        <v>157</v>
      </c>
      <c r="I685" s="202">
        <f t="shared" si="10"/>
        <v>28356</v>
      </c>
      <c r="J685" s="205" t="s">
        <v>489</v>
      </c>
      <c r="K685" s="205" t="s">
        <v>23</v>
      </c>
      <c r="L685" s="201" t="s">
        <v>1042</v>
      </c>
      <c r="M685" s="205" t="s">
        <v>3664</v>
      </c>
      <c r="N685" s="201" t="s">
        <v>1030</v>
      </c>
      <c r="O685" s="205" t="s">
        <v>652</v>
      </c>
      <c r="P685" s="205" t="s">
        <v>652</v>
      </c>
      <c r="Q685" s="208" t="s">
        <v>987</v>
      </c>
      <c r="R685" s="208" t="s">
        <v>988</v>
      </c>
      <c r="S685" s="208" t="s">
        <v>3279</v>
      </c>
    </row>
    <row r="686" spans="1:20" s="205" customFormat="1" hidden="1" x14ac:dyDescent="0.2">
      <c r="A686" s="205" t="s">
        <v>245</v>
      </c>
      <c r="B686" s="205" t="s">
        <v>3665</v>
      </c>
      <c r="C686" s="200" t="s">
        <v>3279</v>
      </c>
      <c r="D686" s="209" t="s">
        <v>152</v>
      </c>
      <c r="E686" s="209"/>
      <c r="F686" s="206">
        <v>38001</v>
      </c>
      <c r="G686" s="206">
        <v>3800</v>
      </c>
      <c r="H686" s="206">
        <v>190</v>
      </c>
      <c r="I686" s="202">
        <f t="shared" si="10"/>
        <v>34391</v>
      </c>
      <c r="J686" s="205" t="s">
        <v>489</v>
      </c>
      <c r="K686" s="205" t="s">
        <v>23</v>
      </c>
      <c r="L686" s="201" t="s">
        <v>1042</v>
      </c>
      <c r="M686" s="205" t="s">
        <v>3666</v>
      </c>
      <c r="N686" s="201" t="s">
        <v>1030</v>
      </c>
      <c r="O686" s="205" t="s">
        <v>652</v>
      </c>
      <c r="P686" s="205" t="s">
        <v>652</v>
      </c>
      <c r="Q686" s="208" t="s">
        <v>987</v>
      </c>
      <c r="R686" s="208" t="s">
        <v>988</v>
      </c>
      <c r="S686" s="208" t="s">
        <v>3279</v>
      </c>
    </row>
    <row r="687" spans="1:20" s="205" customFormat="1" hidden="1" x14ac:dyDescent="0.2">
      <c r="A687" s="205" t="s">
        <v>245</v>
      </c>
      <c r="B687" s="205" t="s">
        <v>3667</v>
      </c>
      <c r="C687" s="200" t="s">
        <v>3279</v>
      </c>
      <c r="D687" s="209" t="s">
        <v>152</v>
      </c>
      <c r="E687" s="209"/>
      <c r="F687" s="206">
        <v>22716</v>
      </c>
      <c r="G687" s="206">
        <v>2272</v>
      </c>
      <c r="H687" s="206">
        <v>114</v>
      </c>
      <c r="I687" s="202">
        <f t="shared" si="10"/>
        <v>20558</v>
      </c>
      <c r="J687" s="205" t="s">
        <v>489</v>
      </c>
      <c r="K687" s="205" t="s">
        <v>23</v>
      </c>
      <c r="L687" s="201" t="s">
        <v>1042</v>
      </c>
      <c r="M687" s="205" t="s">
        <v>3668</v>
      </c>
      <c r="N687" s="201" t="s">
        <v>1030</v>
      </c>
      <c r="O687" s="205" t="s">
        <v>652</v>
      </c>
      <c r="P687" s="205" t="s">
        <v>652</v>
      </c>
      <c r="Q687" s="208" t="s">
        <v>987</v>
      </c>
      <c r="R687" s="208" t="s">
        <v>988</v>
      </c>
      <c r="S687" s="208" t="s">
        <v>3279</v>
      </c>
    </row>
    <row r="688" spans="1:20" s="205" customFormat="1" hidden="1" x14ac:dyDescent="0.2">
      <c r="A688" s="205" t="s">
        <v>247</v>
      </c>
      <c r="B688" s="205" t="s">
        <v>3669</v>
      </c>
      <c r="C688" s="200" t="s">
        <v>3279</v>
      </c>
      <c r="D688" s="209" t="s">
        <v>152</v>
      </c>
      <c r="E688" s="209"/>
      <c r="F688" s="206">
        <v>69985</v>
      </c>
      <c r="G688" s="206">
        <v>6999</v>
      </c>
      <c r="H688" s="206">
        <v>350</v>
      </c>
      <c r="I688" s="202">
        <f t="shared" si="10"/>
        <v>63336</v>
      </c>
      <c r="J688" s="205" t="s">
        <v>489</v>
      </c>
      <c r="K688" s="205" t="s">
        <v>23</v>
      </c>
      <c r="L688" s="201" t="s">
        <v>1058</v>
      </c>
      <c r="M688" s="205" t="s">
        <v>3670</v>
      </c>
      <c r="N688" s="201" t="s">
        <v>1030</v>
      </c>
      <c r="O688" s="205" t="s">
        <v>652</v>
      </c>
      <c r="P688" s="205" t="s">
        <v>652</v>
      </c>
      <c r="Q688" s="208" t="s">
        <v>651</v>
      </c>
      <c r="R688" s="208" t="s">
        <v>673</v>
      </c>
      <c r="S688" s="208" t="s">
        <v>3279</v>
      </c>
    </row>
    <row r="689" spans="1:24" s="205" customFormat="1" hidden="1" x14ac:dyDescent="0.2">
      <c r="A689" s="205" t="s">
        <v>281</v>
      </c>
      <c r="B689" s="205" t="s">
        <v>3671</v>
      </c>
      <c r="C689" s="200" t="s">
        <v>3279</v>
      </c>
      <c r="D689" s="209" t="s">
        <v>152</v>
      </c>
      <c r="E689" s="209"/>
      <c r="F689" s="206">
        <v>90553</v>
      </c>
      <c r="G689" s="206">
        <v>9055</v>
      </c>
      <c r="H689" s="206">
        <v>453</v>
      </c>
      <c r="I689" s="202">
        <f t="shared" si="10"/>
        <v>81951</v>
      </c>
      <c r="J689" s="205" t="s">
        <v>489</v>
      </c>
      <c r="K689" s="205" t="s">
        <v>23</v>
      </c>
      <c r="L689" s="201" t="s">
        <v>1042</v>
      </c>
      <c r="M689" s="205" t="s">
        <v>3672</v>
      </c>
      <c r="N689" s="201" t="s">
        <v>1030</v>
      </c>
      <c r="O689" s="205" t="s">
        <v>652</v>
      </c>
      <c r="P689" s="205" t="s">
        <v>652</v>
      </c>
      <c r="Q689" s="208" t="s">
        <v>692</v>
      </c>
      <c r="R689" s="208" t="s">
        <v>693</v>
      </c>
      <c r="S689" s="208" t="s">
        <v>3279</v>
      </c>
    </row>
    <row r="690" spans="1:24" s="205" customFormat="1" hidden="1" x14ac:dyDescent="0.2">
      <c r="A690" s="205" t="s">
        <v>3673</v>
      </c>
      <c r="B690" s="205" t="s">
        <v>3674</v>
      </c>
      <c r="C690" s="200" t="s">
        <v>3279</v>
      </c>
      <c r="D690" s="205" t="s">
        <v>152</v>
      </c>
      <c r="F690" s="206">
        <v>83776</v>
      </c>
      <c r="G690" s="206">
        <v>8378</v>
      </c>
      <c r="H690" s="206">
        <v>419</v>
      </c>
      <c r="I690" s="202">
        <f t="shared" si="10"/>
        <v>75817</v>
      </c>
      <c r="J690" s="205" t="s">
        <v>74</v>
      </c>
      <c r="K690" s="205" t="s">
        <v>23</v>
      </c>
      <c r="L690" s="199" t="s">
        <v>1058</v>
      </c>
      <c r="M690" s="205" t="s">
        <v>3675</v>
      </c>
      <c r="N690" s="201" t="s">
        <v>1030</v>
      </c>
      <c r="O690" s="205" t="s">
        <v>652</v>
      </c>
      <c r="P690" s="205" t="s">
        <v>652</v>
      </c>
      <c r="Q690" s="208" t="s">
        <v>2191</v>
      </c>
      <c r="R690" s="208" t="s">
        <v>2192</v>
      </c>
      <c r="S690" s="208" t="s">
        <v>3279</v>
      </c>
    </row>
    <row r="691" spans="1:24" s="205" customFormat="1" hidden="1" x14ac:dyDescent="0.2">
      <c r="A691" s="205" t="s">
        <v>3676</v>
      </c>
      <c r="B691" s="205" t="s">
        <v>3677</v>
      </c>
      <c r="C691" s="200" t="s">
        <v>3279</v>
      </c>
      <c r="D691" s="205" t="s">
        <v>152</v>
      </c>
      <c r="F691" s="206">
        <v>46392</v>
      </c>
      <c r="G691" s="206">
        <v>4639</v>
      </c>
      <c r="H691" s="206">
        <v>232</v>
      </c>
      <c r="I691" s="202">
        <f t="shared" si="10"/>
        <v>41985</v>
      </c>
      <c r="J691" s="205" t="s">
        <v>74</v>
      </c>
      <c r="K691" s="205" t="s">
        <v>23</v>
      </c>
      <c r="L691" s="199" t="s">
        <v>1058</v>
      </c>
      <c r="M691" s="205" t="s">
        <v>3678</v>
      </c>
      <c r="N691" s="201" t="s">
        <v>1030</v>
      </c>
      <c r="O691" s="205" t="s">
        <v>652</v>
      </c>
      <c r="P691" s="205" t="s">
        <v>652</v>
      </c>
      <c r="Q691" s="208" t="s">
        <v>2191</v>
      </c>
      <c r="R691" s="208" t="s">
        <v>2192</v>
      </c>
      <c r="S691" s="208" t="s">
        <v>3279</v>
      </c>
    </row>
    <row r="692" spans="1:24" s="205" customFormat="1" hidden="1" x14ac:dyDescent="0.2">
      <c r="A692" s="205" t="s">
        <v>438</v>
      </c>
      <c r="B692" s="205" t="s">
        <v>598</v>
      </c>
      <c r="C692" s="200" t="s">
        <v>3279</v>
      </c>
      <c r="D692" s="205" t="s">
        <v>152</v>
      </c>
      <c r="F692" s="206">
        <v>22344</v>
      </c>
      <c r="G692" s="206">
        <v>2234</v>
      </c>
      <c r="H692" s="206">
        <v>112</v>
      </c>
      <c r="I692" s="202">
        <f t="shared" si="10"/>
        <v>20222</v>
      </c>
      <c r="J692" s="205" t="s">
        <v>52</v>
      </c>
      <c r="K692" s="205" t="s">
        <v>23</v>
      </c>
      <c r="L692" s="199" t="s">
        <v>1141</v>
      </c>
      <c r="M692" s="205" t="s">
        <v>3679</v>
      </c>
      <c r="N692" s="201" t="s">
        <v>1030</v>
      </c>
      <c r="O692" s="205" t="s">
        <v>652</v>
      </c>
      <c r="P692" s="205" t="s">
        <v>652</v>
      </c>
      <c r="Q692" s="208" t="s">
        <v>653</v>
      </c>
      <c r="R692" s="208" t="s">
        <v>654</v>
      </c>
      <c r="S692" s="208" t="s">
        <v>3279</v>
      </c>
    </row>
    <row r="693" spans="1:24" s="205" customFormat="1" hidden="1" x14ac:dyDescent="0.2">
      <c r="A693" s="205" t="s">
        <v>460</v>
      </c>
      <c r="B693" s="205" t="s">
        <v>621</v>
      </c>
      <c r="C693" s="200" t="s">
        <v>3279</v>
      </c>
      <c r="D693" s="205" t="s">
        <v>152</v>
      </c>
      <c r="F693" s="206">
        <v>10082</v>
      </c>
      <c r="G693" s="206">
        <v>1008</v>
      </c>
      <c r="H693" s="206">
        <v>50</v>
      </c>
      <c r="I693" s="202">
        <f t="shared" si="10"/>
        <v>9124</v>
      </c>
      <c r="J693" s="205" t="s">
        <v>74</v>
      </c>
      <c r="K693" s="205" t="s">
        <v>23</v>
      </c>
      <c r="L693" s="199" t="s">
        <v>1141</v>
      </c>
      <c r="M693" s="205" t="s">
        <v>3680</v>
      </c>
      <c r="N693" s="201" t="s">
        <v>1030</v>
      </c>
      <c r="O693" s="205" t="s">
        <v>652</v>
      </c>
      <c r="P693" s="205" t="s">
        <v>652</v>
      </c>
      <c r="Q693" s="208" t="s">
        <v>653</v>
      </c>
      <c r="R693" s="208" t="s">
        <v>654</v>
      </c>
      <c r="S693" s="208" t="s">
        <v>3279</v>
      </c>
    </row>
    <row r="694" spans="1:24" s="205" customFormat="1" hidden="1" x14ac:dyDescent="0.2">
      <c r="A694" s="205" t="s">
        <v>195</v>
      </c>
      <c r="B694" s="205" t="s">
        <v>3681</v>
      </c>
      <c r="C694" s="200" t="s">
        <v>3279</v>
      </c>
      <c r="D694" s="205" t="s">
        <v>166</v>
      </c>
      <c r="F694" s="206">
        <v>-66244</v>
      </c>
      <c r="G694" s="206">
        <v>-6624</v>
      </c>
      <c r="H694" s="206">
        <v>-331</v>
      </c>
      <c r="I694" s="202">
        <f t="shared" si="10"/>
        <v>-59951</v>
      </c>
      <c r="J694" s="205" t="s">
        <v>66</v>
      </c>
      <c r="K694" s="205" t="s">
        <v>23</v>
      </c>
      <c r="L694" s="205" t="s">
        <v>1068</v>
      </c>
      <c r="M694" s="205" t="s">
        <v>3682</v>
      </c>
      <c r="N694" s="201" t="s">
        <v>1030</v>
      </c>
      <c r="O694" s="205" t="s">
        <v>652</v>
      </c>
      <c r="P694" s="205" t="s">
        <v>652</v>
      </c>
      <c r="Q694" s="214" t="s">
        <v>3683</v>
      </c>
      <c r="R694" s="214" t="s">
        <v>764</v>
      </c>
      <c r="S694" s="214" t="s">
        <v>3279</v>
      </c>
    </row>
    <row r="695" spans="1:24" s="205" customFormat="1" hidden="1" x14ac:dyDescent="0.2">
      <c r="A695" s="205" t="s">
        <v>194</v>
      </c>
      <c r="B695" s="205" t="s">
        <v>548</v>
      </c>
      <c r="C695" s="200" t="s">
        <v>3279</v>
      </c>
      <c r="D695" s="205" t="s">
        <v>152</v>
      </c>
      <c r="F695" s="206">
        <v>52246</v>
      </c>
      <c r="G695" s="206">
        <v>5225</v>
      </c>
      <c r="H695" s="206">
        <v>261</v>
      </c>
      <c r="I695" s="202">
        <f t="shared" si="10"/>
        <v>47282</v>
      </c>
      <c r="J695" s="205" t="s">
        <v>52</v>
      </c>
      <c r="K695" s="205" t="s">
        <v>23</v>
      </c>
      <c r="L695" s="205" t="s">
        <v>1042</v>
      </c>
      <c r="M695" s="205" t="s">
        <v>3684</v>
      </c>
      <c r="N695" s="201" t="s">
        <v>1030</v>
      </c>
      <c r="O695" s="205" t="s">
        <v>652</v>
      </c>
      <c r="P695" s="205" t="s">
        <v>652</v>
      </c>
      <c r="Q695" s="214" t="s">
        <v>837</v>
      </c>
      <c r="R695" s="214" t="s">
        <v>838</v>
      </c>
      <c r="S695" s="214" t="s">
        <v>3279</v>
      </c>
    </row>
    <row r="696" spans="1:24" s="205" customFormat="1" hidden="1" x14ac:dyDescent="0.2">
      <c r="A696" s="209" t="s">
        <v>105</v>
      </c>
      <c r="B696" s="209" t="s">
        <v>618</v>
      </c>
      <c r="C696" s="234" t="s">
        <v>3279</v>
      </c>
      <c r="D696" s="209" t="s">
        <v>152</v>
      </c>
      <c r="E696" s="209"/>
      <c r="F696" s="211">
        <v>113005</v>
      </c>
      <c r="G696" s="211">
        <v>11301</v>
      </c>
      <c r="H696" s="211">
        <v>565</v>
      </c>
      <c r="I696" s="202">
        <f t="shared" si="10"/>
        <v>102269</v>
      </c>
      <c r="J696" s="209" t="s">
        <v>44</v>
      </c>
      <c r="K696" s="209" t="s">
        <v>23</v>
      </c>
      <c r="L696" s="209" t="s">
        <v>1042</v>
      </c>
      <c r="M696" s="209" t="s">
        <v>3685</v>
      </c>
      <c r="N696" s="201" t="s">
        <v>1030</v>
      </c>
      <c r="O696" s="209" t="s">
        <v>652</v>
      </c>
      <c r="P696" s="209" t="s">
        <v>652</v>
      </c>
      <c r="Q696" s="213" t="s">
        <v>653</v>
      </c>
      <c r="R696" s="213" t="s">
        <v>654</v>
      </c>
      <c r="S696" s="213" t="s">
        <v>3279</v>
      </c>
      <c r="T696" s="209"/>
    </row>
    <row r="697" spans="1:24" s="205" customFormat="1" hidden="1" x14ac:dyDescent="0.2">
      <c r="A697" s="209" t="s">
        <v>205</v>
      </c>
      <c r="B697" s="209" t="s">
        <v>851</v>
      </c>
      <c r="C697" s="234" t="s">
        <v>3279</v>
      </c>
      <c r="D697" s="209" t="s">
        <v>166</v>
      </c>
      <c r="E697" s="209"/>
      <c r="F697" s="211">
        <v>-61284</v>
      </c>
      <c r="G697" s="211">
        <v>-6128</v>
      </c>
      <c r="H697" s="211">
        <v>-306</v>
      </c>
      <c r="I697" s="202">
        <f t="shared" si="10"/>
        <v>-55462</v>
      </c>
      <c r="J697" s="209" t="s">
        <v>22</v>
      </c>
      <c r="K697" s="209" t="s">
        <v>23</v>
      </c>
      <c r="L697" s="209" t="s">
        <v>1068</v>
      </c>
      <c r="M697" s="209" t="s">
        <v>3686</v>
      </c>
      <c r="N697" s="201" t="s">
        <v>1030</v>
      </c>
      <c r="O697" s="209" t="s">
        <v>652</v>
      </c>
      <c r="P697" s="209" t="s">
        <v>652</v>
      </c>
      <c r="Q697" s="213" t="s">
        <v>651</v>
      </c>
      <c r="R697" s="213" t="s">
        <v>673</v>
      </c>
      <c r="S697" s="213" t="s">
        <v>3279</v>
      </c>
      <c r="T697" s="209"/>
    </row>
    <row r="698" spans="1:24" s="205" customFormat="1" hidden="1" x14ac:dyDescent="0.2">
      <c r="A698" s="209" t="s">
        <v>206</v>
      </c>
      <c r="B698" s="209" t="s">
        <v>855</v>
      </c>
      <c r="C698" s="234" t="s">
        <v>3279</v>
      </c>
      <c r="D698" s="209" t="s">
        <v>152</v>
      </c>
      <c r="E698" s="209"/>
      <c r="F698" s="211">
        <v>75651</v>
      </c>
      <c r="G698" s="211">
        <v>7565</v>
      </c>
      <c r="H698" s="211">
        <v>378</v>
      </c>
      <c r="I698" s="202">
        <f t="shared" si="10"/>
        <v>68464</v>
      </c>
      <c r="J698" s="209" t="s">
        <v>22</v>
      </c>
      <c r="K698" s="209" t="s">
        <v>23</v>
      </c>
      <c r="L698" s="209" t="s">
        <v>1042</v>
      </c>
      <c r="M698" s="209" t="s">
        <v>3687</v>
      </c>
      <c r="N698" s="201" t="s">
        <v>1030</v>
      </c>
      <c r="O698" s="209" t="s">
        <v>652</v>
      </c>
      <c r="P698" s="209" t="s">
        <v>652</v>
      </c>
      <c r="Q698" s="213" t="s">
        <v>651</v>
      </c>
      <c r="R698" s="213" t="s">
        <v>673</v>
      </c>
      <c r="S698" s="213" t="s">
        <v>3279</v>
      </c>
      <c r="T698" s="209"/>
    </row>
    <row r="699" spans="1:24" s="205" customFormat="1" hidden="1" x14ac:dyDescent="0.2">
      <c r="A699" s="209" t="s">
        <v>345</v>
      </c>
      <c r="B699" s="209" t="s">
        <v>347</v>
      </c>
      <c r="C699" s="234" t="s">
        <v>3279</v>
      </c>
      <c r="D699" s="209" t="s">
        <v>166</v>
      </c>
      <c r="E699" s="209"/>
      <c r="F699" s="211">
        <v>-190111</v>
      </c>
      <c r="G699" s="211">
        <v>-19011</v>
      </c>
      <c r="H699" s="211">
        <v>-951</v>
      </c>
      <c r="I699" s="202">
        <f t="shared" si="10"/>
        <v>-172051</v>
      </c>
      <c r="J699" s="209" t="s">
        <v>22</v>
      </c>
      <c r="K699" s="209" t="s">
        <v>23</v>
      </c>
      <c r="L699" s="209" t="s">
        <v>1068</v>
      </c>
      <c r="M699" s="209" t="s">
        <v>3688</v>
      </c>
      <c r="N699" s="201" t="s">
        <v>1030</v>
      </c>
      <c r="O699" s="209" t="s">
        <v>652</v>
      </c>
      <c r="P699" s="209" t="s">
        <v>652</v>
      </c>
      <c r="Q699" s="213" t="s">
        <v>696</v>
      </c>
      <c r="R699" s="213" t="s">
        <v>697</v>
      </c>
      <c r="S699" s="213" t="s">
        <v>3279</v>
      </c>
      <c r="T699" s="209"/>
    </row>
    <row r="700" spans="1:24" s="205" customFormat="1" hidden="1" x14ac:dyDescent="0.2">
      <c r="A700" s="209" t="s">
        <v>79</v>
      </c>
      <c r="B700" s="209" t="s">
        <v>535</v>
      </c>
      <c r="C700" s="234" t="s">
        <v>3279</v>
      </c>
      <c r="D700" s="209" t="s">
        <v>152</v>
      </c>
      <c r="E700" s="209"/>
      <c r="F700" s="211">
        <v>45031</v>
      </c>
      <c r="G700" s="211">
        <v>4503</v>
      </c>
      <c r="H700" s="211">
        <v>225</v>
      </c>
      <c r="I700" s="202">
        <f t="shared" si="10"/>
        <v>40753</v>
      </c>
      <c r="J700" s="209" t="s">
        <v>22</v>
      </c>
      <c r="K700" s="209" t="s">
        <v>23</v>
      </c>
      <c r="L700" s="209" t="s">
        <v>1042</v>
      </c>
      <c r="M700" s="209" t="s">
        <v>3689</v>
      </c>
      <c r="N700" s="201" t="s">
        <v>1030</v>
      </c>
      <c r="O700" s="209" t="s">
        <v>652</v>
      </c>
      <c r="P700" s="209" t="s">
        <v>652</v>
      </c>
      <c r="Q700" s="213" t="s">
        <v>674</v>
      </c>
      <c r="R700" s="213" t="s">
        <v>675</v>
      </c>
      <c r="S700" s="213" t="s">
        <v>3279</v>
      </c>
      <c r="T700" s="209"/>
      <c r="U700" s="209"/>
      <c r="V700" s="209"/>
      <c r="W700" s="209"/>
      <c r="X700" s="209"/>
    </row>
    <row r="701" spans="1:24" s="205" customFormat="1" hidden="1" x14ac:dyDescent="0.2">
      <c r="A701" s="209" t="s">
        <v>79</v>
      </c>
      <c r="B701" s="209" t="s">
        <v>535</v>
      </c>
      <c r="C701" s="234" t="s">
        <v>3279</v>
      </c>
      <c r="D701" s="209" t="s">
        <v>152</v>
      </c>
      <c r="E701" s="209"/>
      <c r="F701" s="211">
        <v>20944</v>
      </c>
      <c r="G701" s="211">
        <v>2094</v>
      </c>
      <c r="H701" s="211">
        <v>105</v>
      </c>
      <c r="I701" s="202">
        <f t="shared" si="10"/>
        <v>18955</v>
      </c>
      <c r="J701" s="209" t="s">
        <v>22</v>
      </c>
      <c r="K701" s="209" t="s">
        <v>23</v>
      </c>
      <c r="L701" s="209" t="s">
        <v>1141</v>
      </c>
      <c r="M701" s="209" t="s">
        <v>3690</v>
      </c>
      <c r="N701" s="201" t="s">
        <v>1030</v>
      </c>
      <c r="O701" s="209" t="s">
        <v>652</v>
      </c>
      <c r="P701" s="209" t="s">
        <v>652</v>
      </c>
      <c r="Q701" s="213" t="s">
        <v>674</v>
      </c>
      <c r="R701" s="213" t="s">
        <v>675</v>
      </c>
      <c r="S701" s="213" t="s">
        <v>3279</v>
      </c>
      <c r="T701" s="209"/>
      <c r="U701" s="209"/>
      <c r="V701" s="209"/>
      <c r="W701" s="209"/>
      <c r="X701" s="209"/>
    </row>
    <row r="702" spans="1:24" s="205" customFormat="1" hidden="1" x14ac:dyDescent="0.2">
      <c r="A702" s="205" t="s">
        <v>161</v>
      </c>
      <c r="B702" s="205" t="s">
        <v>611</v>
      </c>
      <c r="C702" s="200" t="s">
        <v>3279</v>
      </c>
      <c r="D702" s="209" t="s">
        <v>166</v>
      </c>
      <c r="E702" s="209"/>
      <c r="F702" s="206">
        <v>-8318</v>
      </c>
      <c r="G702" s="206">
        <v>0</v>
      </c>
      <c r="H702" s="206">
        <v>0</v>
      </c>
      <c r="I702" s="202">
        <f t="shared" si="10"/>
        <v>-8318</v>
      </c>
      <c r="J702" s="205" t="s">
        <v>25</v>
      </c>
      <c r="K702" s="205" t="s">
        <v>214</v>
      </c>
      <c r="L702" s="209" t="s">
        <v>1151</v>
      </c>
      <c r="M702" s="205" t="s">
        <v>3691</v>
      </c>
      <c r="N702" s="201" t="s">
        <v>1030</v>
      </c>
      <c r="O702" s="205" t="s">
        <v>652</v>
      </c>
      <c r="P702" s="205" t="s">
        <v>652</v>
      </c>
      <c r="Q702" s="208" t="s">
        <v>653</v>
      </c>
      <c r="R702" s="208" t="s">
        <v>654</v>
      </c>
      <c r="S702" s="208" t="s">
        <v>3279</v>
      </c>
      <c r="U702" s="209"/>
      <c r="V702" s="209"/>
      <c r="W702" s="209"/>
      <c r="X702" s="209"/>
    </row>
    <row r="703" spans="1:24" s="205" customFormat="1" hidden="1" x14ac:dyDescent="0.2">
      <c r="A703" s="205" t="s">
        <v>416</v>
      </c>
      <c r="B703" s="205" t="s">
        <v>609</v>
      </c>
      <c r="C703" s="200" t="s">
        <v>3279</v>
      </c>
      <c r="D703" s="205" t="s">
        <v>166</v>
      </c>
      <c r="F703" s="206">
        <v>-28999</v>
      </c>
      <c r="G703" s="206">
        <v>0</v>
      </c>
      <c r="H703" s="206">
        <v>0</v>
      </c>
      <c r="I703" s="202">
        <f t="shared" si="10"/>
        <v>-28999</v>
      </c>
      <c r="J703" s="205" t="s">
        <v>25</v>
      </c>
      <c r="K703" s="205" t="s">
        <v>214</v>
      </c>
      <c r="L703" s="209" t="s">
        <v>1068</v>
      </c>
      <c r="M703" s="205" t="s">
        <v>3692</v>
      </c>
      <c r="N703" s="201" t="s">
        <v>1030</v>
      </c>
      <c r="O703" s="205" t="s">
        <v>652</v>
      </c>
      <c r="P703" s="205" t="s">
        <v>652</v>
      </c>
      <c r="Q703" s="216" t="s">
        <v>653</v>
      </c>
      <c r="R703" s="216" t="s">
        <v>654</v>
      </c>
      <c r="S703" s="216" t="s">
        <v>3279</v>
      </c>
      <c r="U703" s="209"/>
      <c r="V703" s="209"/>
      <c r="W703" s="209"/>
      <c r="X703" s="209"/>
    </row>
    <row r="704" spans="1:24" s="205" customFormat="1" hidden="1" x14ac:dyDescent="0.2">
      <c r="A704" s="205" t="s">
        <v>399</v>
      </c>
      <c r="B704" s="205" t="s">
        <v>614</v>
      </c>
      <c r="C704" s="200" t="s">
        <v>3279</v>
      </c>
      <c r="D704" s="205" t="s">
        <v>166</v>
      </c>
      <c r="F704" s="206">
        <v>-8320</v>
      </c>
      <c r="G704" s="206">
        <v>0</v>
      </c>
      <c r="H704" s="206">
        <v>0</v>
      </c>
      <c r="I704" s="202">
        <f t="shared" si="10"/>
        <v>-8320</v>
      </c>
      <c r="J704" s="205" t="s">
        <v>25</v>
      </c>
      <c r="K704" s="205" t="s">
        <v>214</v>
      </c>
      <c r="L704" s="205" t="s">
        <v>1151</v>
      </c>
      <c r="M704" s="205" t="s">
        <v>3693</v>
      </c>
      <c r="N704" s="201" t="s">
        <v>1030</v>
      </c>
      <c r="O704" s="205" t="s">
        <v>652</v>
      </c>
      <c r="P704" s="205" t="s">
        <v>652</v>
      </c>
      <c r="Q704" s="208" t="s">
        <v>653</v>
      </c>
      <c r="R704" s="208" t="s">
        <v>654</v>
      </c>
      <c r="S704" s="208" t="s">
        <v>3279</v>
      </c>
      <c r="U704" s="209"/>
      <c r="V704" s="209"/>
      <c r="W704" s="209"/>
      <c r="X704" s="209"/>
    </row>
    <row r="705" spans="1:24" s="205" customFormat="1" hidden="1" x14ac:dyDescent="0.2">
      <c r="A705" s="205" t="s">
        <v>399</v>
      </c>
      <c r="B705" s="205" t="s">
        <v>614</v>
      </c>
      <c r="C705" s="200" t="s">
        <v>3279</v>
      </c>
      <c r="D705" s="205" t="s">
        <v>166</v>
      </c>
      <c r="F705" s="206">
        <v>-16670</v>
      </c>
      <c r="G705" s="206">
        <v>0</v>
      </c>
      <c r="H705" s="206">
        <v>0</v>
      </c>
      <c r="I705" s="202">
        <f t="shared" si="10"/>
        <v>-16670</v>
      </c>
      <c r="J705" s="205" t="s">
        <v>25</v>
      </c>
      <c r="K705" s="205" t="s">
        <v>214</v>
      </c>
      <c r="L705" s="205" t="s">
        <v>1151</v>
      </c>
      <c r="M705" s="205" t="s">
        <v>3694</v>
      </c>
      <c r="N705" s="201" t="s">
        <v>1030</v>
      </c>
      <c r="O705" s="205" t="s">
        <v>652</v>
      </c>
      <c r="P705" s="205" t="s">
        <v>652</v>
      </c>
      <c r="Q705" s="208" t="s">
        <v>653</v>
      </c>
      <c r="R705" s="208" t="s">
        <v>654</v>
      </c>
      <c r="S705" s="208" t="s">
        <v>3279</v>
      </c>
      <c r="U705" s="209"/>
      <c r="V705" s="209"/>
      <c r="W705" s="209"/>
      <c r="X705" s="209"/>
    </row>
    <row r="706" spans="1:24" s="205" customFormat="1" hidden="1" x14ac:dyDescent="0.2">
      <c r="A706" s="205" t="s">
        <v>399</v>
      </c>
      <c r="B706" s="205" t="s">
        <v>614</v>
      </c>
      <c r="C706" s="200" t="s">
        <v>3279</v>
      </c>
      <c r="D706" s="205" t="s">
        <v>166</v>
      </c>
      <c r="F706" s="206">
        <v>-22217</v>
      </c>
      <c r="G706" s="206">
        <v>0</v>
      </c>
      <c r="H706" s="206">
        <v>0</v>
      </c>
      <c r="I706" s="202">
        <f t="shared" si="10"/>
        <v>-22217</v>
      </c>
      <c r="J706" s="205" t="s">
        <v>25</v>
      </c>
      <c r="K706" s="205" t="s">
        <v>214</v>
      </c>
      <c r="L706" s="205" t="s">
        <v>1068</v>
      </c>
      <c r="M706" s="205" t="s">
        <v>3695</v>
      </c>
      <c r="N706" s="201" t="s">
        <v>1030</v>
      </c>
      <c r="O706" s="205" t="s">
        <v>652</v>
      </c>
      <c r="P706" s="205" t="s">
        <v>652</v>
      </c>
      <c r="Q706" s="208" t="s">
        <v>653</v>
      </c>
      <c r="R706" s="208" t="s">
        <v>654</v>
      </c>
      <c r="S706" s="208" t="s">
        <v>3279</v>
      </c>
      <c r="U706" s="209"/>
      <c r="V706" s="209"/>
      <c r="W706" s="209"/>
      <c r="X706" s="209"/>
    </row>
    <row r="707" spans="1:24" s="205" customFormat="1" hidden="1" x14ac:dyDescent="0.2">
      <c r="A707" s="205" t="s">
        <v>260</v>
      </c>
      <c r="B707" s="205" t="s">
        <v>2428</v>
      </c>
      <c r="C707" s="200" t="s">
        <v>3279</v>
      </c>
      <c r="D707" s="205" t="s">
        <v>152</v>
      </c>
      <c r="F707" s="206">
        <v>100268</v>
      </c>
      <c r="G707" s="206">
        <v>0</v>
      </c>
      <c r="H707" s="206">
        <v>0</v>
      </c>
      <c r="I707" s="202">
        <f t="shared" ref="I707:I770" si="11">F707+H707-G707</f>
        <v>100268</v>
      </c>
      <c r="J707" s="205" t="s">
        <v>25</v>
      </c>
      <c r="K707" s="205" t="s">
        <v>214</v>
      </c>
      <c r="L707" s="205" t="s">
        <v>1042</v>
      </c>
      <c r="M707" s="205" t="s">
        <v>3696</v>
      </c>
      <c r="N707" s="201" t="s">
        <v>1030</v>
      </c>
      <c r="O707" s="205" t="s">
        <v>652</v>
      </c>
      <c r="P707" s="205" t="s">
        <v>652</v>
      </c>
      <c r="Q707" s="208" t="s">
        <v>2430</v>
      </c>
      <c r="R707" s="208" t="s">
        <v>2431</v>
      </c>
      <c r="S707" s="208" t="s">
        <v>3279</v>
      </c>
      <c r="U707" s="209"/>
      <c r="V707" s="209"/>
      <c r="W707" s="209"/>
      <c r="X707" s="209"/>
    </row>
    <row r="708" spans="1:24" s="205" customFormat="1" hidden="1" x14ac:dyDescent="0.2">
      <c r="A708" s="209" t="s">
        <v>68</v>
      </c>
      <c r="B708" s="209" t="s">
        <v>600</v>
      </c>
      <c r="C708" s="234" t="s">
        <v>3279</v>
      </c>
      <c r="D708" s="209" t="s">
        <v>152</v>
      </c>
      <c r="E708" s="209"/>
      <c r="F708" s="211">
        <v>21054</v>
      </c>
      <c r="G708" s="206">
        <v>0</v>
      </c>
      <c r="H708" s="206">
        <v>0</v>
      </c>
      <c r="I708" s="202">
        <f t="shared" si="11"/>
        <v>21054</v>
      </c>
      <c r="J708" s="209" t="s">
        <v>25</v>
      </c>
      <c r="K708" s="209" t="s">
        <v>214</v>
      </c>
      <c r="L708" s="209" t="s">
        <v>1042</v>
      </c>
      <c r="M708" s="209" t="s">
        <v>3697</v>
      </c>
      <c r="N708" s="201" t="s">
        <v>1030</v>
      </c>
      <c r="O708" s="209" t="s">
        <v>652</v>
      </c>
      <c r="P708" s="209" t="s">
        <v>652</v>
      </c>
      <c r="Q708" s="213" t="s">
        <v>653</v>
      </c>
      <c r="R708" s="213" t="s">
        <v>654</v>
      </c>
      <c r="S708" s="213" t="s">
        <v>3279</v>
      </c>
      <c r="T708" s="209"/>
      <c r="U708" s="209"/>
      <c r="V708" s="209"/>
      <c r="W708" s="209"/>
      <c r="X708" s="209"/>
    </row>
    <row r="709" spans="1:24" s="205" customFormat="1" hidden="1" x14ac:dyDescent="0.2">
      <c r="A709" s="205" t="s">
        <v>251</v>
      </c>
      <c r="B709" s="205" t="s">
        <v>3698</v>
      </c>
      <c r="C709" s="200" t="s">
        <v>770</v>
      </c>
      <c r="D709" s="209" t="s">
        <v>152</v>
      </c>
      <c r="E709" s="209"/>
      <c r="F709" s="206">
        <v>38659</v>
      </c>
      <c r="G709" s="206">
        <v>3866</v>
      </c>
      <c r="H709" s="206">
        <v>193</v>
      </c>
      <c r="I709" s="202">
        <f t="shared" si="11"/>
        <v>34986</v>
      </c>
      <c r="J709" s="205" t="s">
        <v>104</v>
      </c>
      <c r="K709" s="205" t="s">
        <v>23</v>
      </c>
      <c r="L709" s="209" t="s">
        <v>1058</v>
      </c>
      <c r="M709" s="205" t="s">
        <v>3699</v>
      </c>
      <c r="N709" s="201" t="s">
        <v>1072</v>
      </c>
      <c r="O709" s="205" t="s">
        <v>652</v>
      </c>
      <c r="P709" s="205" t="s">
        <v>652</v>
      </c>
      <c r="Q709" s="208" t="s">
        <v>724</v>
      </c>
      <c r="R709" s="208" t="s">
        <v>725</v>
      </c>
      <c r="S709" s="208" t="s">
        <v>770</v>
      </c>
    </row>
    <row r="710" spans="1:24" s="205" customFormat="1" hidden="1" x14ac:dyDescent="0.2">
      <c r="A710" s="205" t="s">
        <v>251</v>
      </c>
      <c r="B710" s="205" t="s">
        <v>3700</v>
      </c>
      <c r="C710" s="200" t="s">
        <v>770</v>
      </c>
      <c r="D710" s="209" t="s">
        <v>152</v>
      </c>
      <c r="E710" s="209"/>
      <c r="F710" s="206">
        <v>92372</v>
      </c>
      <c r="G710" s="206">
        <v>9237</v>
      </c>
      <c r="H710" s="206">
        <v>462</v>
      </c>
      <c r="I710" s="202">
        <f t="shared" si="11"/>
        <v>83597</v>
      </c>
      <c r="J710" s="205" t="s">
        <v>104</v>
      </c>
      <c r="K710" s="205" t="s">
        <v>23</v>
      </c>
      <c r="L710" s="209" t="s">
        <v>1058</v>
      </c>
      <c r="M710" s="205" t="s">
        <v>3701</v>
      </c>
      <c r="N710" s="201" t="s">
        <v>1072</v>
      </c>
      <c r="O710" s="205" t="s">
        <v>652</v>
      </c>
      <c r="P710" s="205" t="s">
        <v>652</v>
      </c>
      <c r="Q710" s="208" t="s">
        <v>724</v>
      </c>
      <c r="R710" s="208" t="s">
        <v>725</v>
      </c>
      <c r="S710" s="208" t="s">
        <v>770</v>
      </c>
    </row>
    <row r="711" spans="1:24" s="205" customFormat="1" hidden="1" x14ac:dyDescent="0.2">
      <c r="A711" s="205" t="s">
        <v>251</v>
      </c>
      <c r="B711" s="205" t="s">
        <v>3702</v>
      </c>
      <c r="C711" s="200" t="s">
        <v>770</v>
      </c>
      <c r="D711" s="209" t="s">
        <v>152</v>
      </c>
      <c r="E711" s="209"/>
      <c r="F711" s="206">
        <v>43177</v>
      </c>
      <c r="G711" s="206">
        <v>4318</v>
      </c>
      <c r="H711" s="206">
        <v>216</v>
      </c>
      <c r="I711" s="202">
        <f t="shared" si="11"/>
        <v>39075</v>
      </c>
      <c r="J711" s="205" t="s">
        <v>104</v>
      </c>
      <c r="K711" s="205" t="s">
        <v>23</v>
      </c>
      <c r="L711" s="209" t="s">
        <v>1028</v>
      </c>
      <c r="M711" s="205" t="s">
        <v>3703</v>
      </c>
      <c r="N711" s="201" t="s">
        <v>1072</v>
      </c>
      <c r="O711" s="205" t="s">
        <v>652</v>
      </c>
      <c r="P711" s="205" t="s">
        <v>652</v>
      </c>
      <c r="Q711" s="208" t="s">
        <v>2191</v>
      </c>
      <c r="R711" s="208" t="s">
        <v>2192</v>
      </c>
      <c r="S711" s="208" t="s">
        <v>770</v>
      </c>
    </row>
    <row r="712" spans="1:24" s="205" customFormat="1" hidden="1" x14ac:dyDescent="0.2">
      <c r="A712" s="205" t="s">
        <v>245</v>
      </c>
      <c r="B712" s="205" t="s">
        <v>3704</v>
      </c>
      <c r="C712" s="200" t="s">
        <v>770</v>
      </c>
      <c r="D712" s="209" t="s">
        <v>152</v>
      </c>
      <c r="E712" s="209"/>
      <c r="F712" s="206">
        <v>44011</v>
      </c>
      <c r="G712" s="206">
        <v>4401</v>
      </c>
      <c r="H712" s="206">
        <v>220</v>
      </c>
      <c r="I712" s="202">
        <f t="shared" si="11"/>
        <v>39830</v>
      </c>
      <c r="J712" s="205" t="s">
        <v>489</v>
      </c>
      <c r="K712" s="205" t="s">
        <v>23</v>
      </c>
      <c r="L712" s="209" t="s">
        <v>1042</v>
      </c>
      <c r="M712" s="205" t="s">
        <v>3705</v>
      </c>
      <c r="N712" s="201" t="s">
        <v>1030</v>
      </c>
      <c r="O712" s="205" t="s">
        <v>652</v>
      </c>
      <c r="P712" s="205" t="s">
        <v>652</v>
      </c>
      <c r="Q712" s="208" t="s">
        <v>987</v>
      </c>
      <c r="R712" s="208" t="s">
        <v>988</v>
      </c>
      <c r="S712" s="208" t="s">
        <v>770</v>
      </c>
    </row>
    <row r="713" spans="1:24" s="205" customFormat="1" hidden="1" x14ac:dyDescent="0.2">
      <c r="A713" s="205" t="s">
        <v>245</v>
      </c>
      <c r="B713" s="205" t="s">
        <v>3706</v>
      </c>
      <c r="C713" s="200" t="s">
        <v>770</v>
      </c>
      <c r="D713" s="209" t="s">
        <v>152</v>
      </c>
      <c r="E713" s="209"/>
      <c r="F713" s="206">
        <v>31332</v>
      </c>
      <c r="G713" s="206">
        <v>3133</v>
      </c>
      <c r="H713" s="206">
        <v>157</v>
      </c>
      <c r="I713" s="202">
        <f t="shared" si="11"/>
        <v>28356</v>
      </c>
      <c r="J713" s="205" t="s">
        <v>489</v>
      </c>
      <c r="K713" s="205" t="s">
        <v>23</v>
      </c>
      <c r="L713" s="209" t="s">
        <v>1042</v>
      </c>
      <c r="M713" s="205" t="s">
        <v>3707</v>
      </c>
      <c r="N713" s="201" t="s">
        <v>1030</v>
      </c>
      <c r="O713" s="205" t="s">
        <v>652</v>
      </c>
      <c r="P713" s="205" t="s">
        <v>652</v>
      </c>
      <c r="Q713" s="208" t="s">
        <v>987</v>
      </c>
      <c r="R713" s="208" t="s">
        <v>988</v>
      </c>
      <c r="S713" s="208" t="s">
        <v>770</v>
      </c>
    </row>
    <row r="714" spans="1:24" s="205" customFormat="1" hidden="1" x14ac:dyDescent="0.2">
      <c r="A714" s="205" t="s">
        <v>245</v>
      </c>
      <c r="B714" s="205" t="s">
        <v>3708</v>
      </c>
      <c r="C714" s="200" t="s">
        <v>770</v>
      </c>
      <c r="D714" s="209" t="s">
        <v>152</v>
      </c>
      <c r="E714" s="209"/>
      <c r="F714" s="206">
        <v>31332</v>
      </c>
      <c r="G714" s="206">
        <v>3133</v>
      </c>
      <c r="H714" s="206">
        <v>157</v>
      </c>
      <c r="I714" s="202">
        <f t="shared" si="11"/>
        <v>28356</v>
      </c>
      <c r="J714" s="205" t="s">
        <v>489</v>
      </c>
      <c r="K714" s="205" t="s">
        <v>23</v>
      </c>
      <c r="L714" s="209" t="s">
        <v>1042</v>
      </c>
      <c r="M714" s="205" t="s">
        <v>3709</v>
      </c>
      <c r="N714" s="201" t="s">
        <v>1030</v>
      </c>
      <c r="O714" s="205" t="s">
        <v>652</v>
      </c>
      <c r="P714" s="205" t="s">
        <v>652</v>
      </c>
      <c r="Q714" s="208" t="s">
        <v>987</v>
      </c>
      <c r="R714" s="208" t="s">
        <v>988</v>
      </c>
      <c r="S714" s="208" t="s">
        <v>770</v>
      </c>
    </row>
    <row r="715" spans="1:24" s="205" customFormat="1" hidden="1" x14ac:dyDescent="0.2">
      <c r="A715" s="205" t="s">
        <v>247</v>
      </c>
      <c r="B715" s="205" t="s">
        <v>3710</v>
      </c>
      <c r="C715" s="200" t="s">
        <v>770</v>
      </c>
      <c r="D715" s="209" t="s">
        <v>152</v>
      </c>
      <c r="E715" s="209"/>
      <c r="F715" s="206">
        <v>80793</v>
      </c>
      <c r="G715" s="206">
        <v>8079</v>
      </c>
      <c r="H715" s="206">
        <v>404</v>
      </c>
      <c r="I715" s="202">
        <f t="shared" si="11"/>
        <v>73118</v>
      </c>
      <c r="J715" s="205" t="s">
        <v>489</v>
      </c>
      <c r="K715" s="205" t="s">
        <v>23</v>
      </c>
      <c r="L715" s="209" t="s">
        <v>1058</v>
      </c>
      <c r="M715" s="205" t="s">
        <v>3711</v>
      </c>
      <c r="N715" s="201" t="s">
        <v>1030</v>
      </c>
      <c r="O715" s="205" t="s">
        <v>652</v>
      </c>
      <c r="P715" s="205" t="s">
        <v>652</v>
      </c>
      <c r="Q715" s="208" t="s">
        <v>987</v>
      </c>
      <c r="R715" s="208" t="s">
        <v>988</v>
      </c>
      <c r="S715" s="208" t="s">
        <v>770</v>
      </c>
    </row>
    <row r="716" spans="1:24" s="205" customFormat="1" hidden="1" x14ac:dyDescent="0.2">
      <c r="A716" s="205" t="s">
        <v>247</v>
      </c>
      <c r="B716" s="205" t="s">
        <v>3712</v>
      </c>
      <c r="C716" s="200" t="s">
        <v>770</v>
      </c>
      <c r="D716" s="209" t="s">
        <v>152</v>
      </c>
      <c r="E716" s="209"/>
      <c r="F716" s="206">
        <v>80793</v>
      </c>
      <c r="G716" s="206">
        <v>8079</v>
      </c>
      <c r="H716" s="206">
        <v>404</v>
      </c>
      <c r="I716" s="202">
        <f t="shared" si="11"/>
        <v>73118</v>
      </c>
      <c r="J716" s="205" t="s">
        <v>489</v>
      </c>
      <c r="K716" s="205" t="s">
        <v>23</v>
      </c>
      <c r="L716" s="209" t="s">
        <v>1058</v>
      </c>
      <c r="M716" s="205" t="s">
        <v>3713</v>
      </c>
      <c r="N716" s="201" t="s">
        <v>1030</v>
      </c>
      <c r="O716" s="205" t="s">
        <v>652</v>
      </c>
      <c r="P716" s="205" t="s">
        <v>652</v>
      </c>
      <c r="Q716" s="208" t="s">
        <v>987</v>
      </c>
      <c r="R716" s="208" t="s">
        <v>988</v>
      </c>
      <c r="S716" s="208" t="s">
        <v>770</v>
      </c>
    </row>
    <row r="717" spans="1:24" s="205" customFormat="1" hidden="1" x14ac:dyDescent="0.2">
      <c r="A717" s="205" t="s">
        <v>3714</v>
      </c>
      <c r="B717" s="205" t="s">
        <v>3715</v>
      </c>
      <c r="C717" s="200" t="s">
        <v>3716</v>
      </c>
      <c r="D717" s="209" t="s">
        <v>152</v>
      </c>
      <c r="E717" s="209"/>
      <c r="F717" s="206">
        <v>239521</v>
      </c>
      <c r="G717" s="206">
        <v>23952</v>
      </c>
      <c r="H717" s="206">
        <v>2395</v>
      </c>
      <c r="I717" s="202">
        <f t="shared" si="11"/>
        <v>217964</v>
      </c>
      <c r="J717" s="205" t="s">
        <v>82</v>
      </c>
      <c r="K717" s="205" t="s">
        <v>29</v>
      </c>
      <c r="L717" s="209" t="s">
        <v>1058</v>
      </c>
      <c r="M717" s="205" t="s">
        <v>3717</v>
      </c>
      <c r="N717" s="201" t="s">
        <v>1030</v>
      </c>
      <c r="O717" s="205" t="s">
        <v>1274</v>
      </c>
      <c r="P717" s="205" t="s">
        <v>1111</v>
      </c>
      <c r="Q717" s="208" t="s">
        <v>2191</v>
      </c>
      <c r="R717" s="208" t="s">
        <v>2192</v>
      </c>
      <c r="S717" s="208" t="s">
        <v>3716</v>
      </c>
    </row>
    <row r="718" spans="1:24" s="205" customFormat="1" hidden="1" x14ac:dyDescent="0.2">
      <c r="A718" s="205" t="s">
        <v>53</v>
      </c>
      <c r="B718" s="205" t="s">
        <v>586</v>
      </c>
      <c r="C718" s="200" t="s">
        <v>3716</v>
      </c>
      <c r="D718" s="209" t="s">
        <v>152</v>
      </c>
      <c r="E718" s="209"/>
      <c r="F718" s="206">
        <v>37087</v>
      </c>
      <c r="G718" s="206">
        <v>3709</v>
      </c>
      <c r="H718" s="206">
        <v>371</v>
      </c>
      <c r="I718" s="202">
        <f t="shared" si="11"/>
        <v>33749</v>
      </c>
      <c r="J718" s="205" t="s">
        <v>173</v>
      </c>
      <c r="K718" s="205" t="s">
        <v>29</v>
      </c>
      <c r="L718" s="209" t="s">
        <v>1042</v>
      </c>
      <c r="M718" s="205" t="s">
        <v>3718</v>
      </c>
      <c r="N718" s="201" t="s">
        <v>1030</v>
      </c>
      <c r="O718" s="205" t="s">
        <v>652</v>
      </c>
      <c r="P718" s="205" t="s">
        <v>652</v>
      </c>
      <c r="Q718" s="208" t="s">
        <v>653</v>
      </c>
      <c r="R718" s="208" t="s">
        <v>654</v>
      </c>
      <c r="S718" s="208" t="s">
        <v>3716</v>
      </c>
    </row>
    <row r="719" spans="1:24" s="205" customFormat="1" hidden="1" x14ac:dyDescent="0.2">
      <c r="A719" s="205" t="s">
        <v>178</v>
      </c>
      <c r="B719" s="205" t="s">
        <v>526</v>
      </c>
      <c r="C719" s="200" t="s">
        <v>3716</v>
      </c>
      <c r="D719" s="209" t="s">
        <v>152</v>
      </c>
      <c r="E719" s="209"/>
      <c r="F719" s="206">
        <v>56045</v>
      </c>
      <c r="G719" s="206">
        <v>5605</v>
      </c>
      <c r="H719" s="206">
        <v>560</v>
      </c>
      <c r="I719" s="202">
        <f t="shared" si="11"/>
        <v>51000</v>
      </c>
      <c r="J719" s="205" t="s">
        <v>179</v>
      </c>
      <c r="K719" s="205" t="s">
        <v>29</v>
      </c>
      <c r="L719" s="209" t="s">
        <v>1042</v>
      </c>
      <c r="M719" s="205" t="s">
        <v>3719</v>
      </c>
      <c r="N719" s="201" t="s">
        <v>1030</v>
      </c>
      <c r="O719" s="205" t="s">
        <v>652</v>
      </c>
      <c r="P719" s="205" t="s">
        <v>652</v>
      </c>
      <c r="Q719" s="208" t="s">
        <v>718</v>
      </c>
      <c r="R719" s="208" t="s">
        <v>719</v>
      </c>
      <c r="S719" s="208" t="s">
        <v>3716</v>
      </c>
    </row>
    <row r="720" spans="1:24" s="205" customFormat="1" hidden="1" x14ac:dyDescent="0.2">
      <c r="A720" s="205" t="s">
        <v>167</v>
      </c>
      <c r="B720" s="205" t="s">
        <v>918</v>
      </c>
      <c r="C720" s="200" t="s">
        <v>3716</v>
      </c>
      <c r="D720" s="209" t="s">
        <v>152</v>
      </c>
      <c r="E720" s="209"/>
      <c r="F720" s="206">
        <v>78424</v>
      </c>
      <c r="G720" s="206">
        <v>7842</v>
      </c>
      <c r="H720" s="206">
        <v>784</v>
      </c>
      <c r="I720" s="202">
        <f t="shared" si="11"/>
        <v>71366</v>
      </c>
      <c r="J720" s="205" t="s">
        <v>168</v>
      </c>
      <c r="K720" s="205" t="s">
        <v>29</v>
      </c>
      <c r="L720" s="209" t="s">
        <v>1042</v>
      </c>
      <c r="M720" s="205" t="s">
        <v>3720</v>
      </c>
      <c r="N720" s="201" t="s">
        <v>1030</v>
      </c>
      <c r="O720" s="205" t="s">
        <v>652</v>
      </c>
      <c r="P720" s="205" t="s">
        <v>652</v>
      </c>
      <c r="Q720" s="208" t="s">
        <v>663</v>
      </c>
      <c r="R720" s="208" t="s">
        <v>723</v>
      </c>
      <c r="S720" s="208" t="s">
        <v>3716</v>
      </c>
    </row>
    <row r="721" spans="1:20" s="205" customFormat="1" hidden="1" x14ac:dyDescent="0.2">
      <c r="A721" s="205" t="s">
        <v>238</v>
      </c>
      <c r="B721" s="205" t="s">
        <v>3721</v>
      </c>
      <c r="C721" s="200" t="s">
        <v>3716</v>
      </c>
      <c r="D721" s="205" t="s">
        <v>152</v>
      </c>
      <c r="F721" s="206">
        <v>5711545</v>
      </c>
      <c r="G721" s="206">
        <v>571155</v>
      </c>
      <c r="H721" s="206">
        <v>57116</v>
      </c>
      <c r="I721" s="202">
        <f t="shared" si="11"/>
        <v>5197506</v>
      </c>
      <c r="J721" s="205" t="s">
        <v>32</v>
      </c>
      <c r="K721" s="205" t="s">
        <v>29</v>
      </c>
      <c r="L721" s="209" t="s">
        <v>1028</v>
      </c>
      <c r="M721" s="205" t="s">
        <v>3722</v>
      </c>
      <c r="N721" s="201" t="s">
        <v>1030</v>
      </c>
      <c r="O721" s="205" t="s">
        <v>3723</v>
      </c>
      <c r="P721" s="205" t="s">
        <v>1187</v>
      </c>
      <c r="Q721" s="208" t="s">
        <v>3628</v>
      </c>
      <c r="R721" s="208" t="s">
        <v>3629</v>
      </c>
      <c r="S721" s="208" t="s">
        <v>3716</v>
      </c>
    </row>
    <row r="722" spans="1:20" s="205" customFormat="1" hidden="1" x14ac:dyDescent="0.2">
      <c r="A722" s="205" t="s">
        <v>238</v>
      </c>
      <c r="B722" s="205" t="s">
        <v>239</v>
      </c>
      <c r="C722" s="200" t="s">
        <v>3716</v>
      </c>
      <c r="D722" s="205" t="s">
        <v>166</v>
      </c>
      <c r="F722" s="206">
        <v>-346171</v>
      </c>
      <c r="G722" s="206">
        <v>-34617</v>
      </c>
      <c r="H722" s="206">
        <v>-3462</v>
      </c>
      <c r="I722" s="202">
        <f t="shared" si="11"/>
        <v>-315016</v>
      </c>
      <c r="J722" s="205" t="s">
        <v>32</v>
      </c>
      <c r="K722" s="205" t="s">
        <v>29</v>
      </c>
      <c r="L722" s="209" t="s">
        <v>1068</v>
      </c>
      <c r="M722" s="205" t="s">
        <v>3724</v>
      </c>
      <c r="N722" s="201" t="s">
        <v>1030</v>
      </c>
      <c r="O722" s="205" t="s">
        <v>3723</v>
      </c>
      <c r="P722" s="205" t="s">
        <v>1187</v>
      </c>
      <c r="Q722" s="208" t="s">
        <v>769</v>
      </c>
      <c r="R722" s="208" t="s">
        <v>770</v>
      </c>
      <c r="S722" s="208" t="s">
        <v>3716</v>
      </c>
    </row>
    <row r="723" spans="1:20" s="205" customFormat="1" hidden="1" x14ac:dyDescent="0.2">
      <c r="A723" s="205" t="s">
        <v>45</v>
      </c>
      <c r="B723" s="205" t="s">
        <v>527</v>
      </c>
      <c r="C723" s="200" t="s">
        <v>3716</v>
      </c>
      <c r="D723" s="209" t="s">
        <v>152</v>
      </c>
      <c r="E723" s="209"/>
      <c r="F723" s="206">
        <v>6170</v>
      </c>
      <c r="G723" s="206">
        <v>617</v>
      </c>
      <c r="H723" s="206">
        <v>62</v>
      </c>
      <c r="I723" s="202">
        <f t="shared" si="11"/>
        <v>5615</v>
      </c>
      <c r="J723" s="205" t="s">
        <v>28</v>
      </c>
      <c r="K723" s="205" t="s">
        <v>29</v>
      </c>
      <c r="L723" s="209" t="s">
        <v>1141</v>
      </c>
      <c r="M723" s="205" t="s">
        <v>3725</v>
      </c>
      <c r="N723" s="201" t="s">
        <v>1030</v>
      </c>
      <c r="O723" s="205" t="s">
        <v>652</v>
      </c>
      <c r="P723" s="205" t="s">
        <v>652</v>
      </c>
      <c r="Q723" s="208" t="s">
        <v>718</v>
      </c>
      <c r="R723" s="208" t="s">
        <v>719</v>
      </c>
      <c r="S723" s="208" t="s">
        <v>3716</v>
      </c>
    </row>
    <row r="724" spans="1:20" s="205" customFormat="1" hidden="1" x14ac:dyDescent="0.2">
      <c r="A724" s="205" t="s">
        <v>558</v>
      </c>
      <c r="B724" s="205" t="s">
        <v>559</v>
      </c>
      <c r="C724" s="200" t="s">
        <v>3716</v>
      </c>
      <c r="D724" s="205" t="s">
        <v>152</v>
      </c>
      <c r="F724" s="206">
        <v>325526</v>
      </c>
      <c r="G724" s="206">
        <v>32553</v>
      </c>
      <c r="H724" s="206">
        <v>3255</v>
      </c>
      <c r="I724" s="202">
        <f t="shared" si="11"/>
        <v>296228</v>
      </c>
      <c r="J724" s="205" t="s">
        <v>31</v>
      </c>
      <c r="K724" s="205" t="s">
        <v>29</v>
      </c>
      <c r="L724" s="205" t="s">
        <v>1042</v>
      </c>
      <c r="M724" s="205" t="s">
        <v>3726</v>
      </c>
      <c r="N724" s="201" t="s">
        <v>1030</v>
      </c>
      <c r="O724" s="205" t="s">
        <v>1046</v>
      </c>
      <c r="P724" s="205" t="s">
        <v>1047</v>
      </c>
      <c r="Q724" s="208" t="s">
        <v>653</v>
      </c>
      <c r="R724" s="208" t="s">
        <v>654</v>
      </c>
      <c r="S724" s="208" t="s">
        <v>3716</v>
      </c>
    </row>
    <row r="725" spans="1:20" s="205" customFormat="1" hidden="1" x14ac:dyDescent="0.2">
      <c r="A725" s="205" t="s">
        <v>3630</v>
      </c>
      <c r="B725" s="205" t="s">
        <v>3631</v>
      </c>
      <c r="C725" s="200" t="s">
        <v>3716</v>
      </c>
      <c r="D725" s="205" t="s">
        <v>152</v>
      </c>
      <c r="F725" s="206">
        <v>92372</v>
      </c>
      <c r="G725" s="206">
        <v>9237</v>
      </c>
      <c r="H725" s="206">
        <v>924</v>
      </c>
      <c r="I725" s="202">
        <f t="shared" si="11"/>
        <v>84059</v>
      </c>
      <c r="J725" s="205" t="s">
        <v>46</v>
      </c>
      <c r="K725" s="205" t="s">
        <v>29</v>
      </c>
      <c r="L725" s="205" t="s">
        <v>1058</v>
      </c>
      <c r="M725" s="205" t="s">
        <v>3727</v>
      </c>
      <c r="N725" s="201" t="s">
        <v>1030</v>
      </c>
      <c r="O725" s="205" t="s">
        <v>652</v>
      </c>
      <c r="P725" s="205" t="s">
        <v>652</v>
      </c>
      <c r="Q725" s="208" t="s">
        <v>776</v>
      </c>
      <c r="R725" s="208" t="s">
        <v>2788</v>
      </c>
      <c r="S725" s="208" t="s">
        <v>3716</v>
      </c>
    </row>
    <row r="726" spans="1:20" s="205" customFormat="1" hidden="1" x14ac:dyDescent="0.2">
      <c r="A726" s="205" t="s">
        <v>3630</v>
      </c>
      <c r="B726" s="205" t="s">
        <v>3631</v>
      </c>
      <c r="C726" s="200" t="s">
        <v>3716</v>
      </c>
      <c r="D726" s="205" t="s">
        <v>166</v>
      </c>
      <c r="F726" s="206">
        <v>-92372</v>
      </c>
      <c r="G726" s="206">
        <v>-9237</v>
      </c>
      <c r="H726" s="206">
        <v>-924</v>
      </c>
      <c r="I726" s="202">
        <f t="shared" si="11"/>
        <v>-84059</v>
      </c>
      <c r="J726" s="205" t="s">
        <v>46</v>
      </c>
      <c r="K726" s="205" t="s">
        <v>29</v>
      </c>
      <c r="L726" s="205" t="s">
        <v>1058</v>
      </c>
      <c r="M726" s="205" t="s">
        <v>3728</v>
      </c>
      <c r="N726" s="201" t="s">
        <v>1030</v>
      </c>
      <c r="O726" s="205" t="s">
        <v>652</v>
      </c>
      <c r="P726" s="205" t="s">
        <v>652</v>
      </c>
      <c r="Q726" s="208" t="s">
        <v>776</v>
      </c>
      <c r="R726" s="208" t="s">
        <v>2788</v>
      </c>
      <c r="S726" s="208" t="s">
        <v>3716</v>
      </c>
    </row>
    <row r="727" spans="1:20" s="205" customFormat="1" hidden="1" x14ac:dyDescent="0.2">
      <c r="A727" s="205" t="s">
        <v>2496</v>
      </c>
      <c r="B727" s="205" t="s">
        <v>2497</v>
      </c>
      <c r="C727" s="200" t="s">
        <v>3716</v>
      </c>
      <c r="D727" s="205" t="s">
        <v>152</v>
      </c>
      <c r="F727" s="206">
        <v>92577</v>
      </c>
      <c r="G727" s="206">
        <v>9258</v>
      </c>
      <c r="H727" s="206">
        <v>926</v>
      </c>
      <c r="I727" s="202">
        <f t="shared" si="11"/>
        <v>84245</v>
      </c>
      <c r="J727" s="205" t="s">
        <v>943</v>
      </c>
      <c r="K727" s="205" t="s">
        <v>29</v>
      </c>
      <c r="L727" s="205" t="s">
        <v>1058</v>
      </c>
      <c r="M727" s="205" t="s">
        <v>3729</v>
      </c>
      <c r="N727" s="201" t="s">
        <v>1030</v>
      </c>
      <c r="O727" s="205" t="s">
        <v>652</v>
      </c>
      <c r="P727" s="205" t="s">
        <v>652</v>
      </c>
      <c r="Q727" s="208" t="s">
        <v>875</v>
      </c>
      <c r="R727" s="208" t="s">
        <v>976</v>
      </c>
      <c r="S727" s="208" t="s">
        <v>3716</v>
      </c>
    </row>
    <row r="728" spans="1:20" s="205" customFormat="1" hidden="1" x14ac:dyDescent="0.2">
      <c r="A728" s="205" t="s">
        <v>2496</v>
      </c>
      <c r="B728" s="205" t="s">
        <v>2497</v>
      </c>
      <c r="C728" s="200" t="s">
        <v>3716</v>
      </c>
      <c r="D728" s="205" t="s">
        <v>166</v>
      </c>
      <c r="F728" s="206">
        <v>-92577</v>
      </c>
      <c r="G728" s="206">
        <v>-9258</v>
      </c>
      <c r="H728" s="206">
        <v>-926</v>
      </c>
      <c r="I728" s="202">
        <f t="shared" si="11"/>
        <v>-84245</v>
      </c>
      <c r="J728" s="205" t="s">
        <v>943</v>
      </c>
      <c r="K728" s="205" t="s">
        <v>29</v>
      </c>
      <c r="L728" s="205" t="s">
        <v>1058</v>
      </c>
      <c r="M728" s="205" t="s">
        <v>3730</v>
      </c>
      <c r="N728" s="201" t="s">
        <v>1030</v>
      </c>
      <c r="O728" s="205" t="s">
        <v>652</v>
      </c>
      <c r="P728" s="205" t="s">
        <v>652</v>
      </c>
      <c r="Q728" s="208" t="s">
        <v>875</v>
      </c>
      <c r="R728" s="208" t="s">
        <v>976</v>
      </c>
      <c r="S728" s="208" t="s">
        <v>3716</v>
      </c>
    </row>
    <row r="729" spans="1:20" s="205" customFormat="1" hidden="1" x14ac:dyDescent="0.2">
      <c r="A729" s="205" t="s">
        <v>144</v>
      </c>
      <c r="B729" s="205" t="s">
        <v>3396</v>
      </c>
      <c r="C729" s="200" t="s">
        <v>3716</v>
      </c>
      <c r="D729" s="205" t="s">
        <v>152</v>
      </c>
      <c r="F729" s="206">
        <v>59024</v>
      </c>
      <c r="G729" s="206">
        <v>5902</v>
      </c>
      <c r="H729" s="206">
        <v>590</v>
      </c>
      <c r="I729" s="202">
        <f t="shared" si="11"/>
        <v>53712</v>
      </c>
      <c r="J729" s="205" t="s">
        <v>40</v>
      </c>
      <c r="K729" s="205" t="s">
        <v>29</v>
      </c>
      <c r="L729" s="205" t="s">
        <v>1042</v>
      </c>
      <c r="M729" s="205" t="s">
        <v>3731</v>
      </c>
      <c r="N729" s="201" t="s">
        <v>1030</v>
      </c>
      <c r="O729" s="205" t="s">
        <v>652</v>
      </c>
      <c r="P729" s="205" t="s">
        <v>652</v>
      </c>
      <c r="Q729" s="208" t="s">
        <v>2467</v>
      </c>
      <c r="R729" s="208" t="s">
        <v>2468</v>
      </c>
      <c r="S729" s="208" t="s">
        <v>3716</v>
      </c>
    </row>
    <row r="730" spans="1:20" s="205" customFormat="1" hidden="1" x14ac:dyDescent="0.2">
      <c r="A730" s="209" t="s">
        <v>189</v>
      </c>
      <c r="B730" s="209" t="s">
        <v>970</v>
      </c>
      <c r="C730" s="234" t="s">
        <v>3716</v>
      </c>
      <c r="D730" s="209" t="s">
        <v>152</v>
      </c>
      <c r="E730" s="209"/>
      <c r="F730" s="211">
        <v>58176</v>
      </c>
      <c r="G730" s="211">
        <v>5818</v>
      </c>
      <c r="H730" s="211">
        <v>582</v>
      </c>
      <c r="I730" s="202">
        <f t="shared" si="11"/>
        <v>52940</v>
      </c>
      <c r="J730" s="209" t="s">
        <v>188</v>
      </c>
      <c r="K730" s="209" t="s">
        <v>29</v>
      </c>
      <c r="L730" s="209" t="s">
        <v>1141</v>
      </c>
      <c r="M730" s="209" t="s">
        <v>3732</v>
      </c>
      <c r="N730" s="201" t="s">
        <v>1030</v>
      </c>
      <c r="O730" s="209" t="s">
        <v>1110</v>
      </c>
      <c r="P730" s="209" t="s">
        <v>1111</v>
      </c>
      <c r="Q730" s="213" t="s">
        <v>873</v>
      </c>
      <c r="R730" s="213" t="s">
        <v>968</v>
      </c>
      <c r="S730" s="213" t="s">
        <v>3716</v>
      </c>
      <c r="T730" s="209"/>
    </row>
    <row r="731" spans="1:20" s="205" customFormat="1" hidden="1" x14ac:dyDescent="0.2">
      <c r="A731" s="209" t="s">
        <v>189</v>
      </c>
      <c r="B731" s="209" t="s">
        <v>970</v>
      </c>
      <c r="C731" s="234" t="s">
        <v>3716</v>
      </c>
      <c r="D731" s="209" t="s">
        <v>152</v>
      </c>
      <c r="E731" s="209"/>
      <c r="F731" s="211">
        <v>54804</v>
      </c>
      <c r="G731" s="211">
        <v>5480</v>
      </c>
      <c r="H731" s="211">
        <v>548</v>
      </c>
      <c r="I731" s="202">
        <f t="shared" si="11"/>
        <v>49872</v>
      </c>
      <c r="J731" s="209" t="s">
        <v>188</v>
      </c>
      <c r="K731" s="209" t="s">
        <v>29</v>
      </c>
      <c r="L731" s="209" t="s">
        <v>1141</v>
      </c>
      <c r="M731" s="209" t="s">
        <v>3733</v>
      </c>
      <c r="N731" s="201" t="s">
        <v>1030</v>
      </c>
      <c r="O731" s="209" t="s">
        <v>1110</v>
      </c>
      <c r="P731" s="209" t="s">
        <v>1111</v>
      </c>
      <c r="Q731" s="213" t="s">
        <v>873</v>
      </c>
      <c r="R731" s="213" t="s">
        <v>968</v>
      </c>
      <c r="S731" s="213" t="s">
        <v>3716</v>
      </c>
      <c r="T731" s="209"/>
    </row>
    <row r="732" spans="1:20" s="205" customFormat="1" hidden="1" x14ac:dyDescent="0.2">
      <c r="A732" s="205" t="s">
        <v>138</v>
      </c>
      <c r="B732" s="205" t="s">
        <v>3734</v>
      </c>
      <c r="C732" s="200" t="s">
        <v>3716</v>
      </c>
      <c r="D732" s="209" t="s">
        <v>166</v>
      </c>
      <c r="E732" s="209"/>
      <c r="F732" s="206">
        <v>-31415</v>
      </c>
      <c r="G732" s="206">
        <v>-3141</v>
      </c>
      <c r="H732" s="206">
        <v>-157</v>
      </c>
      <c r="I732" s="202">
        <f t="shared" si="11"/>
        <v>-28431</v>
      </c>
      <c r="J732" s="205" t="s">
        <v>138</v>
      </c>
      <c r="K732" s="205" t="s">
        <v>23</v>
      </c>
      <c r="L732" s="209" t="s">
        <v>1068</v>
      </c>
      <c r="M732" s="205" t="s">
        <v>3735</v>
      </c>
      <c r="N732" s="201" t="s">
        <v>1030</v>
      </c>
      <c r="O732" s="205" t="s">
        <v>652</v>
      </c>
      <c r="P732" s="205" t="s">
        <v>652</v>
      </c>
      <c r="Q732" s="214" t="s">
        <v>664</v>
      </c>
      <c r="R732" s="214" t="s">
        <v>665</v>
      </c>
      <c r="S732" s="214" t="s">
        <v>3716</v>
      </c>
    </row>
    <row r="733" spans="1:20" s="205" customFormat="1" hidden="1" x14ac:dyDescent="0.2">
      <c r="A733" s="205" t="s">
        <v>440</v>
      </c>
      <c r="B733" s="205" t="s">
        <v>462</v>
      </c>
      <c r="C733" s="200" t="s">
        <v>3716</v>
      </c>
      <c r="D733" s="209" t="s">
        <v>152</v>
      </c>
      <c r="E733" s="209"/>
      <c r="F733" s="206">
        <v>38741</v>
      </c>
      <c r="G733" s="206">
        <v>3874</v>
      </c>
      <c r="H733" s="206">
        <v>194</v>
      </c>
      <c r="I733" s="202">
        <f t="shared" si="11"/>
        <v>35061</v>
      </c>
      <c r="J733" s="205" t="s">
        <v>44</v>
      </c>
      <c r="K733" s="205" t="s">
        <v>23</v>
      </c>
      <c r="L733" s="209" t="s">
        <v>1042</v>
      </c>
      <c r="M733" s="205" t="s">
        <v>3736</v>
      </c>
      <c r="N733" s="201" t="s">
        <v>1030</v>
      </c>
      <c r="O733" s="205" t="s">
        <v>652</v>
      </c>
      <c r="P733" s="205" t="s">
        <v>652</v>
      </c>
      <c r="Q733" s="208" t="s">
        <v>3737</v>
      </c>
      <c r="R733" s="208" t="s">
        <v>3738</v>
      </c>
      <c r="S733" s="208" t="s">
        <v>3716</v>
      </c>
    </row>
    <row r="734" spans="1:20" s="205" customFormat="1" hidden="1" x14ac:dyDescent="0.2">
      <c r="A734" s="205" t="s">
        <v>1281</v>
      </c>
      <c r="B734" s="205" t="s">
        <v>1282</v>
      </c>
      <c r="C734" s="200" t="s">
        <v>3716</v>
      </c>
      <c r="D734" s="209" t="s">
        <v>152</v>
      </c>
      <c r="E734" s="209"/>
      <c r="F734" s="206">
        <v>15112</v>
      </c>
      <c r="G734" s="206">
        <v>1511</v>
      </c>
      <c r="H734" s="206">
        <v>76</v>
      </c>
      <c r="I734" s="202">
        <f t="shared" si="11"/>
        <v>13677</v>
      </c>
      <c r="J734" s="205" t="s">
        <v>22</v>
      </c>
      <c r="K734" s="205" t="s">
        <v>23</v>
      </c>
      <c r="L734" s="209" t="s">
        <v>1042</v>
      </c>
      <c r="M734" s="205" t="s">
        <v>3739</v>
      </c>
      <c r="N734" s="201" t="s">
        <v>1284</v>
      </c>
      <c r="O734" s="205" t="s">
        <v>1285</v>
      </c>
      <c r="P734" s="205" t="s">
        <v>1286</v>
      </c>
      <c r="Q734" s="208" t="s">
        <v>786</v>
      </c>
      <c r="R734" s="208" t="s">
        <v>962</v>
      </c>
      <c r="S734" s="208" t="s">
        <v>3716</v>
      </c>
    </row>
    <row r="735" spans="1:20" s="205" customFormat="1" hidden="1" x14ac:dyDescent="0.2">
      <c r="A735" s="205" t="s">
        <v>244</v>
      </c>
      <c r="B735" s="205" t="s">
        <v>3740</v>
      </c>
      <c r="C735" s="200" t="s">
        <v>3716</v>
      </c>
      <c r="D735" s="209" t="s">
        <v>152</v>
      </c>
      <c r="E735" s="209"/>
      <c r="F735" s="206">
        <v>38699</v>
      </c>
      <c r="G735" s="206">
        <v>3870</v>
      </c>
      <c r="H735" s="206">
        <v>194</v>
      </c>
      <c r="I735" s="202">
        <f t="shared" si="11"/>
        <v>35023</v>
      </c>
      <c r="J735" s="205" t="s">
        <v>38</v>
      </c>
      <c r="K735" s="205" t="s">
        <v>23</v>
      </c>
      <c r="L735" s="209" t="s">
        <v>1028</v>
      </c>
      <c r="M735" s="205" t="s">
        <v>3741</v>
      </c>
      <c r="N735" s="201" t="s">
        <v>1030</v>
      </c>
      <c r="O735" s="205" t="s">
        <v>652</v>
      </c>
      <c r="P735" s="205" t="s">
        <v>652</v>
      </c>
      <c r="Q735" s="208" t="s">
        <v>2191</v>
      </c>
      <c r="R735" s="208" t="s">
        <v>2192</v>
      </c>
      <c r="S735" s="208" t="s">
        <v>3716</v>
      </c>
    </row>
    <row r="736" spans="1:20" s="205" customFormat="1" hidden="1" x14ac:dyDescent="0.2">
      <c r="A736" s="205" t="s">
        <v>244</v>
      </c>
      <c r="B736" s="205" t="s">
        <v>3742</v>
      </c>
      <c r="C736" s="200" t="s">
        <v>3716</v>
      </c>
      <c r="D736" s="209" t="s">
        <v>152</v>
      </c>
      <c r="E736" s="209"/>
      <c r="F736" s="206">
        <v>69853</v>
      </c>
      <c r="G736" s="206">
        <v>6985</v>
      </c>
      <c r="H736" s="206">
        <v>349</v>
      </c>
      <c r="I736" s="202">
        <f t="shared" si="11"/>
        <v>63217</v>
      </c>
      <c r="J736" s="205" t="s">
        <v>38</v>
      </c>
      <c r="K736" s="205" t="s">
        <v>23</v>
      </c>
      <c r="L736" s="209" t="s">
        <v>1028</v>
      </c>
      <c r="M736" s="205" t="s">
        <v>3743</v>
      </c>
      <c r="N736" s="201" t="s">
        <v>1030</v>
      </c>
      <c r="O736" s="205" t="s">
        <v>652</v>
      </c>
      <c r="P736" s="205" t="s">
        <v>652</v>
      </c>
      <c r="Q736" s="208" t="s">
        <v>2191</v>
      </c>
      <c r="R736" s="208" t="s">
        <v>2192</v>
      </c>
      <c r="S736" s="208" t="s">
        <v>3716</v>
      </c>
    </row>
    <row r="737" spans="1:19" s="205" customFormat="1" hidden="1" x14ac:dyDescent="0.2">
      <c r="A737" s="205" t="s">
        <v>244</v>
      </c>
      <c r="B737" s="205" t="s">
        <v>3744</v>
      </c>
      <c r="C737" s="200" t="s">
        <v>3716</v>
      </c>
      <c r="D737" s="209" t="s">
        <v>152</v>
      </c>
      <c r="E737" s="209"/>
      <c r="F737" s="206">
        <v>51793</v>
      </c>
      <c r="G737" s="206">
        <v>5179</v>
      </c>
      <c r="H737" s="206">
        <v>259</v>
      </c>
      <c r="I737" s="202">
        <f t="shared" si="11"/>
        <v>46873</v>
      </c>
      <c r="J737" s="205" t="s">
        <v>38</v>
      </c>
      <c r="K737" s="205" t="s">
        <v>23</v>
      </c>
      <c r="L737" s="209" t="s">
        <v>1028</v>
      </c>
      <c r="M737" s="205" t="s">
        <v>3745</v>
      </c>
      <c r="N737" s="201" t="s">
        <v>1030</v>
      </c>
      <c r="O737" s="205" t="s">
        <v>652</v>
      </c>
      <c r="P737" s="205" t="s">
        <v>652</v>
      </c>
      <c r="Q737" s="208" t="s">
        <v>2191</v>
      </c>
      <c r="R737" s="208" t="s">
        <v>2192</v>
      </c>
      <c r="S737" s="208" t="s">
        <v>3716</v>
      </c>
    </row>
    <row r="738" spans="1:19" s="205" customFormat="1" hidden="1" x14ac:dyDescent="0.2">
      <c r="A738" s="205" t="s">
        <v>244</v>
      </c>
      <c r="B738" s="205" t="s">
        <v>3746</v>
      </c>
      <c r="C738" s="200" t="s">
        <v>3716</v>
      </c>
      <c r="D738" s="209" t="s">
        <v>152</v>
      </c>
      <c r="E738" s="209"/>
      <c r="F738" s="206">
        <v>129349</v>
      </c>
      <c r="G738" s="206">
        <v>12935</v>
      </c>
      <c r="H738" s="206">
        <v>647</v>
      </c>
      <c r="I738" s="202">
        <f t="shared" si="11"/>
        <v>117061</v>
      </c>
      <c r="J738" s="205" t="s">
        <v>38</v>
      </c>
      <c r="K738" s="205" t="s">
        <v>23</v>
      </c>
      <c r="L738" s="209" t="s">
        <v>1028</v>
      </c>
      <c r="M738" s="205" t="s">
        <v>3747</v>
      </c>
      <c r="N738" s="201" t="s">
        <v>1030</v>
      </c>
      <c r="O738" s="205" t="s">
        <v>652</v>
      </c>
      <c r="P738" s="205" t="s">
        <v>652</v>
      </c>
      <c r="Q738" s="208" t="s">
        <v>1534</v>
      </c>
      <c r="R738" s="208" t="s">
        <v>3748</v>
      </c>
      <c r="S738" s="208" t="s">
        <v>3716</v>
      </c>
    </row>
    <row r="739" spans="1:19" s="205" customFormat="1" hidden="1" x14ac:dyDescent="0.2">
      <c r="A739" s="205" t="s">
        <v>244</v>
      </c>
      <c r="B739" s="205" t="s">
        <v>3749</v>
      </c>
      <c r="C739" s="200" t="s">
        <v>3716</v>
      </c>
      <c r="D739" s="209" t="s">
        <v>152</v>
      </c>
      <c r="E739" s="209"/>
      <c r="F739" s="206">
        <v>27213</v>
      </c>
      <c r="G739" s="206">
        <v>2721</v>
      </c>
      <c r="H739" s="206">
        <v>136</v>
      </c>
      <c r="I739" s="202">
        <f t="shared" si="11"/>
        <v>24628</v>
      </c>
      <c r="J739" s="205" t="s">
        <v>38</v>
      </c>
      <c r="K739" s="205" t="s">
        <v>23</v>
      </c>
      <c r="L739" s="209" t="s">
        <v>1042</v>
      </c>
      <c r="M739" s="205" t="s">
        <v>3750</v>
      </c>
      <c r="N739" s="201" t="s">
        <v>1030</v>
      </c>
      <c r="O739" s="205" t="s">
        <v>652</v>
      </c>
      <c r="P739" s="205" t="s">
        <v>652</v>
      </c>
      <c r="Q739" s="208" t="s">
        <v>1534</v>
      </c>
      <c r="R739" s="208" t="s">
        <v>3748</v>
      </c>
      <c r="S739" s="208" t="s">
        <v>3716</v>
      </c>
    </row>
    <row r="740" spans="1:19" s="205" customFormat="1" hidden="1" x14ac:dyDescent="0.2">
      <c r="A740" s="205" t="s">
        <v>244</v>
      </c>
      <c r="B740" s="205" t="s">
        <v>3751</v>
      </c>
      <c r="C740" s="200" t="s">
        <v>3716</v>
      </c>
      <c r="D740" s="209" t="s">
        <v>152</v>
      </c>
      <c r="E740" s="209"/>
      <c r="F740" s="206">
        <v>47759</v>
      </c>
      <c r="G740" s="206">
        <v>4776</v>
      </c>
      <c r="H740" s="206">
        <v>239</v>
      </c>
      <c r="I740" s="202">
        <f t="shared" si="11"/>
        <v>43222</v>
      </c>
      <c r="J740" s="205" t="s">
        <v>38</v>
      </c>
      <c r="K740" s="205" t="s">
        <v>23</v>
      </c>
      <c r="L740" s="209" t="s">
        <v>1028</v>
      </c>
      <c r="M740" s="205" t="s">
        <v>3752</v>
      </c>
      <c r="N740" s="201" t="s">
        <v>1030</v>
      </c>
      <c r="O740" s="205" t="s">
        <v>652</v>
      </c>
      <c r="P740" s="205" t="s">
        <v>652</v>
      </c>
      <c r="Q740" s="208" t="s">
        <v>1534</v>
      </c>
      <c r="R740" s="208" t="s">
        <v>3748</v>
      </c>
      <c r="S740" s="208" t="s">
        <v>3716</v>
      </c>
    </row>
    <row r="741" spans="1:19" s="205" customFormat="1" hidden="1" x14ac:dyDescent="0.2">
      <c r="A741" s="205" t="s">
        <v>244</v>
      </c>
      <c r="B741" s="205" t="s">
        <v>3753</v>
      </c>
      <c r="C741" s="200" t="s">
        <v>3716</v>
      </c>
      <c r="D741" s="209" t="s">
        <v>152</v>
      </c>
      <c r="E741" s="209"/>
      <c r="F741" s="206">
        <v>67331</v>
      </c>
      <c r="G741" s="206">
        <v>6733</v>
      </c>
      <c r="H741" s="206">
        <v>337</v>
      </c>
      <c r="I741" s="202">
        <f t="shared" si="11"/>
        <v>60935</v>
      </c>
      <c r="J741" s="205" t="s">
        <v>38</v>
      </c>
      <c r="K741" s="205" t="s">
        <v>23</v>
      </c>
      <c r="L741" s="209" t="s">
        <v>1028</v>
      </c>
      <c r="M741" s="205" t="s">
        <v>3754</v>
      </c>
      <c r="N741" s="201" t="s">
        <v>1030</v>
      </c>
      <c r="O741" s="205" t="s">
        <v>652</v>
      </c>
      <c r="P741" s="205" t="s">
        <v>652</v>
      </c>
      <c r="Q741" s="208" t="s">
        <v>1534</v>
      </c>
      <c r="R741" s="208" t="s">
        <v>3748</v>
      </c>
      <c r="S741" s="208" t="s">
        <v>3716</v>
      </c>
    </row>
    <row r="742" spans="1:19" s="205" customFormat="1" hidden="1" x14ac:dyDescent="0.2">
      <c r="A742" s="205" t="s">
        <v>244</v>
      </c>
      <c r="B742" s="205" t="s">
        <v>3755</v>
      </c>
      <c r="C742" s="200" t="s">
        <v>3716</v>
      </c>
      <c r="D742" s="209" t="s">
        <v>152</v>
      </c>
      <c r="E742" s="209"/>
      <c r="F742" s="206">
        <v>42202</v>
      </c>
      <c r="G742" s="206">
        <v>4220</v>
      </c>
      <c r="H742" s="206">
        <v>211</v>
      </c>
      <c r="I742" s="202">
        <f t="shared" si="11"/>
        <v>38193</v>
      </c>
      <c r="J742" s="205" t="s">
        <v>38</v>
      </c>
      <c r="K742" s="205" t="s">
        <v>23</v>
      </c>
      <c r="L742" s="209" t="s">
        <v>1028</v>
      </c>
      <c r="M742" s="205" t="s">
        <v>3756</v>
      </c>
      <c r="N742" s="201" t="s">
        <v>1030</v>
      </c>
      <c r="O742" s="205" t="s">
        <v>652</v>
      </c>
      <c r="P742" s="205" t="s">
        <v>652</v>
      </c>
      <c r="Q742" s="208" t="s">
        <v>987</v>
      </c>
      <c r="R742" s="208" t="s">
        <v>988</v>
      </c>
      <c r="S742" s="208" t="s">
        <v>3716</v>
      </c>
    </row>
    <row r="743" spans="1:19" s="205" customFormat="1" hidden="1" x14ac:dyDescent="0.2">
      <c r="A743" s="205" t="s">
        <v>244</v>
      </c>
      <c r="B743" s="205" t="s">
        <v>3757</v>
      </c>
      <c r="C743" s="200" t="s">
        <v>3716</v>
      </c>
      <c r="D743" s="209" t="s">
        <v>152</v>
      </c>
      <c r="E743" s="209"/>
      <c r="F743" s="206">
        <v>30095</v>
      </c>
      <c r="G743" s="206">
        <v>3010</v>
      </c>
      <c r="H743" s="206">
        <v>150</v>
      </c>
      <c r="I743" s="202">
        <f t="shared" si="11"/>
        <v>27235</v>
      </c>
      <c r="J743" s="205" t="s">
        <v>38</v>
      </c>
      <c r="K743" s="205" t="s">
        <v>23</v>
      </c>
      <c r="L743" s="209" t="s">
        <v>1042</v>
      </c>
      <c r="M743" s="205" t="s">
        <v>3758</v>
      </c>
      <c r="N743" s="201" t="s">
        <v>1030</v>
      </c>
      <c r="O743" s="205" t="s">
        <v>652</v>
      </c>
      <c r="P743" s="205" t="s">
        <v>652</v>
      </c>
      <c r="Q743" s="208" t="s">
        <v>2191</v>
      </c>
      <c r="R743" s="208" t="s">
        <v>2192</v>
      </c>
      <c r="S743" s="208" t="s">
        <v>3716</v>
      </c>
    </row>
    <row r="744" spans="1:19" s="205" customFormat="1" hidden="1" x14ac:dyDescent="0.2">
      <c r="A744" s="205" t="s">
        <v>244</v>
      </c>
      <c r="B744" s="205" t="s">
        <v>3759</v>
      </c>
      <c r="C744" s="200" t="s">
        <v>3716</v>
      </c>
      <c r="D744" s="209" t="s">
        <v>152</v>
      </c>
      <c r="E744" s="209"/>
      <c r="F744" s="206">
        <v>36738</v>
      </c>
      <c r="G744" s="206">
        <v>3674</v>
      </c>
      <c r="H744" s="206">
        <v>184</v>
      </c>
      <c r="I744" s="202">
        <f t="shared" si="11"/>
        <v>33248</v>
      </c>
      <c r="J744" s="205" t="s">
        <v>38</v>
      </c>
      <c r="K744" s="205" t="s">
        <v>23</v>
      </c>
      <c r="L744" s="209" t="s">
        <v>1028</v>
      </c>
      <c r="M744" s="205" t="s">
        <v>3760</v>
      </c>
      <c r="N744" s="201" t="s">
        <v>1030</v>
      </c>
      <c r="O744" s="205" t="s">
        <v>652</v>
      </c>
      <c r="P744" s="205" t="s">
        <v>652</v>
      </c>
      <c r="Q744" s="208" t="s">
        <v>663</v>
      </c>
      <c r="R744" s="208" t="s">
        <v>723</v>
      </c>
      <c r="S744" s="208" t="s">
        <v>3716</v>
      </c>
    </row>
    <row r="745" spans="1:19" s="205" customFormat="1" hidden="1" x14ac:dyDescent="0.2">
      <c r="A745" s="205" t="s">
        <v>244</v>
      </c>
      <c r="B745" s="205" t="s">
        <v>3761</v>
      </c>
      <c r="C745" s="200" t="s">
        <v>3716</v>
      </c>
      <c r="D745" s="209" t="s">
        <v>152</v>
      </c>
      <c r="E745" s="209"/>
      <c r="F745" s="206">
        <v>30095</v>
      </c>
      <c r="G745" s="206">
        <v>3010</v>
      </c>
      <c r="H745" s="206">
        <v>150</v>
      </c>
      <c r="I745" s="202">
        <f t="shared" si="11"/>
        <v>27235</v>
      </c>
      <c r="J745" s="205" t="s">
        <v>38</v>
      </c>
      <c r="K745" s="205" t="s">
        <v>23</v>
      </c>
      <c r="L745" s="209" t="s">
        <v>1042</v>
      </c>
      <c r="M745" s="205" t="s">
        <v>3762</v>
      </c>
      <c r="N745" s="201" t="s">
        <v>1030</v>
      </c>
      <c r="O745" s="205" t="s">
        <v>652</v>
      </c>
      <c r="P745" s="205" t="s">
        <v>652</v>
      </c>
      <c r="Q745" s="208" t="s">
        <v>2191</v>
      </c>
      <c r="R745" s="208" t="s">
        <v>2192</v>
      </c>
      <c r="S745" s="208" t="s">
        <v>3716</v>
      </c>
    </row>
    <row r="746" spans="1:19" s="205" customFormat="1" hidden="1" x14ac:dyDescent="0.2">
      <c r="A746" s="205" t="s">
        <v>244</v>
      </c>
      <c r="B746" s="205" t="s">
        <v>3763</v>
      </c>
      <c r="C746" s="200" t="s">
        <v>3716</v>
      </c>
      <c r="D746" s="209" t="s">
        <v>152</v>
      </c>
      <c r="E746" s="209"/>
      <c r="F746" s="206">
        <v>30095</v>
      </c>
      <c r="G746" s="206">
        <v>3010</v>
      </c>
      <c r="H746" s="206">
        <v>150</v>
      </c>
      <c r="I746" s="202">
        <f t="shared" si="11"/>
        <v>27235</v>
      </c>
      <c r="J746" s="205" t="s">
        <v>38</v>
      </c>
      <c r="K746" s="205" t="s">
        <v>23</v>
      </c>
      <c r="L746" s="209" t="s">
        <v>1042</v>
      </c>
      <c r="M746" s="205" t="s">
        <v>3764</v>
      </c>
      <c r="N746" s="201" t="s">
        <v>1030</v>
      </c>
      <c r="O746" s="205" t="s">
        <v>652</v>
      </c>
      <c r="P746" s="205" t="s">
        <v>652</v>
      </c>
      <c r="Q746" s="208" t="s">
        <v>2191</v>
      </c>
      <c r="R746" s="208" t="s">
        <v>2192</v>
      </c>
      <c r="S746" s="208" t="s">
        <v>3716</v>
      </c>
    </row>
    <row r="747" spans="1:19" s="205" customFormat="1" hidden="1" x14ac:dyDescent="0.2">
      <c r="A747" s="205" t="s">
        <v>244</v>
      </c>
      <c r="B747" s="205" t="s">
        <v>3765</v>
      </c>
      <c r="C747" s="200" t="s">
        <v>3716</v>
      </c>
      <c r="D747" s="209" t="s">
        <v>152</v>
      </c>
      <c r="E747" s="209"/>
      <c r="F747" s="206">
        <v>51793</v>
      </c>
      <c r="G747" s="206">
        <v>5179</v>
      </c>
      <c r="H747" s="206">
        <v>259</v>
      </c>
      <c r="I747" s="202">
        <f t="shared" si="11"/>
        <v>46873</v>
      </c>
      <c r="J747" s="205" t="s">
        <v>38</v>
      </c>
      <c r="K747" s="205" t="s">
        <v>23</v>
      </c>
      <c r="L747" s="209" t="s">
        <v>1028</v>
      </c>
      <c r="M747" s="205" t="s">
        <v>3766</v>
      </c>
      <c r="N747" s="201" t="s">
        <v>1030</v>
      </c>
      <c r="O747" s="205" t="s">
        <v>652</v>
      </c>
      <c r="P747" s="205" t="s">
        <v>652</v>
      </c>
      <c r="Q747" s="208" t="s">
        <v>2191</v>
      </c>
      <c r="R747" s="208" t="s">
        <v>2192</v>
      </c>
      <c r="S747" s="208" t="s">
        <v>3716</v>
      </c>
    </row>
    <row r="748" spans="1:19" s="205" customFormat="1" hidden="1" x14ac:dyDescent="0.2">
      <c r="A748" s="205" t="s">
        <v>244</v>
      </c>
      <c r="B748" s="205" t="s">
        <v>3767</v>
      </c>
      <c r="C748" s="200" t="s">
        <v>3716</v>
      </c>
      <c r="D748" s="209" t="s">
        <v>152</v>
      </c>
      <c r="E748" s="209"/>
      <c r="F748" s="206">
        <v>87104</v>
      </c>
      <c r="G748" s="206">
        <v>8710</v>
      </c>
      <c r="H748" s="206">
        <v>436</v>
      </c>
      <c r="I748" s="202">
        <f t="shared" si="11"/>
        <v>78830</v>
      </c>
      <c r="J748" s="205" t="s">
        <v>38</v>
      </c>
      <c r="K748" s="205" t="s">
        <v>23</v>
      </c>
      <c r="L748" s="209" t="s">
        <v>1028</v>
      </c>
      <c r="M748" s="205" t="s">
        <v>3768</v>
      </c>
      <c r="N748" s="201" t="s">
        <v>1030</v>
      </c>
      <c r="O748" s="205" t="s">
        <v>652</v>
      </c>
      <c r="P748" s="205" t="s">
        <v>652</v>
      </c>
      <c r="Q748" s="208" t="s">
        <v>1534</v>
      </c>
      <c r="R748" s="208" t="s">
        <v>3748</v>
      </c>
      <c r="S748" s="208" t="s">
        <v>3716</v>
      </c>
    </row>
    <row r="749" spans="1:19" s="205" customFormat="1" hidden="1" x14ac:dyDescent="0.2">
      <c r="A749" s="205" t="s">
        <v>244</v>
      </c>
      <c r="B749" s="205" t="s">
        <v>3769</v>
      </c>
      <c r="C749" s="200" t="s">
        <v>3716</v>
      </c>
      <c r="D749" s="209" t="s">
        <v>152</v>
      </c>
      <c r="E749" s="209"/>
      <c r="F749" s="206">
        <v>90069</v>
      </c>
      <c r="G749" s="206">
        <v>9007</v>
      </c>
      <c r="H749" s="206">
        <v>450</v>
      </c>
      <c r="I749" s="202">
        <f t="shared" si="11"/>
        <v>81512</v>
      </c>
      <c r="J749" s="205" t="s">
        <v>38</v>
      </c>
      <c r="K749" s="205" t="s">
        <v>23</v>
      </c>
      <c r="L749" s="209" t="s">
        <v>1028</v>
      </c>
      <c r="M749" s="205" t="s">
        <v>3770</v>
      </c>
      <c r="N749" s="201" t="s">
        <v>1030</v>
      </c>
      <c r="O749" s="205" t="s">
        <v>652</v>
      </c>
      <c r="P749" s="205" t="s">
        <v>652</v>
      </c>
      <c r="Q749" s="208" t="s">
        <v>2191</v>
      </c>
      <c r="R749" s="208" t="s">
        <v>2192</v>
      </c>
      <c r="S749" s="208" t="s">
        <v>3716</v>
      </c>
    </row>
    <row r="750" spans="1:19" s="205" customFormat="1" hidden="1" x14ac:dyDescent="0.2">
      <c r="A750" s="205" t="s">
        <v>244</v>
      </c>
      <c r="B750" s="205" t="s">
        <v>3771</v>
      </c>
      <c r="C750" s="200" t="s">
        <v>3716</v>
      </c>
      <c r="D750" s="209" t="s">
        <v>152</v>
      </c>
      <c r="E750" s="209"/>
      <c r="F750" s="206">
        <v>51793</v>
      </c>
      <c r="G750" s="206">
        <v>5179</v>
      </c>
      <c r="H750" s="206">
        <v>259</v>
      </c>
      <c r="I750" s="202">
        <f t="shared" si="11"/>
        <v>46873</v>
      </c>
      <c r="J750" s="205" t="s">
        <v>38</v>
      </c>
      <c r="K750" s="205" t="s">
        <v>23</v>
      </c>
      <c r="L750" s="209" t="s">
        <v>1028</v>
      </c>
      <c r="M750" s="205" t="s">
        <v>3772</v>
      </c>
      <c r="N750" s="201" t="s">
        <v>1030</v>
      </c>
      <c r="O750" s="205" t="s">
        <v>652</v>
      </c>
      <c r="P750" s="205" t="s">
        <v>652</v>
      </c>
      <c r="Q750" s="208" t="s">
        <v>2191</v>
      </c>
      <c r="R750" s="208" t="s">
        <v>2192</v>
      </c>
      <c r="S750" s="208" t="s">
        <v>3716</v>
      </c>
    </row>
    <row r="751" spans="1:19" s="205" customFormat="1" hidden="1" x14ac:dyDescent="0.2">
      <c r="A751" s="205" t="s">
        <v>244</v>
      </c>
      <c r="B751" s="205" t="s">
        <v>3773</v>
      </c>
      <c r="C751" s="200" t="s">
        <v>3716</v>
      </c>
      <c r="D751" s="209" t="s">
        <v>152</v>
      </c>
      <c r="E751" s="209"/>
      <c r="F751" s="206">
        <v>38365</v>
      </c>
      <c r="G751" s="206">
        <v>3837</v>
      </c>
      <c r="H751" s="206">
        <v>192</v>
      </c>
      <c r="I751" s="202">
        <f t="shared" si="11"/>
        <v>34720</v>
      </c>
      <c r="J751" s="205" t="s">
        <v>38</v>
      </c>
      <c r="K751" s="205" t="s">
        <v>23</v>
      </c>
      <c r="L751" s="209" t="s">
        <v>1042</v>
      </c>
      <c r="M751" s="205" t="s">
        <v>3774</v>
      </c>
      <c r="N751" s="201" t="s">
        <v>1030</v>
      </c>
      <c r="O751" s="205" t="s">
        <v>652</v>
      </c>
      <c r="P751" s="205" t="s">
        <v>652</v>
      </c>
      <c r="Q751" s="208" t="s">
        <v>2191</v>
      </c>
      <c r="R751" s="208" t="s">
        <v>2192</v>
      </c>
      <c r="S751" s="208" t="s">
        <v>3716</v>
      </c>
    </row>
    <row r="752" spans="1:19" s="205" customFormat="1" hidden="1" x14ac:dyDescent="0.2">
      <c r="A752" s="205" t="s">
        <v>244</v>
      </c>
      <c r="B752" s="205" t="s">
        <v>3775</v>
      </c>
      <c r="C752" s="200" t="s">
        <v>3716</v>
      </c>
      <c r="D752" s="209" t="s">
        <v>152</v>
      </c>
      <c r="E752" s="209"/>
      <c r="F752" s="206">
        <v>55238</v>
      </c>
      <c r="G752" s="206">
        <v>5524</v>
      </c>
      <c r="H752" s="206">
        <v>276</v>
      </c>
      <c r="I752" s="202">
        <f t="shared" si="11"/>
        <v>49990</v>
      </c>
      <c r="J752" s="205" t="s">
        <v>38</v>
      </c>
      <c r="K752" s="205" t="s">
        <v>23</v>
      </c>
      <c r="L752" s="209" t="s">
        <v>1028</v>
      </c>
      <c r="M752" s="205" t="s">
        <v>3776</v>
      </c>
      <c r="N752" s="201" t="s">
        <v>1030</v>
      </c>
      <c r="O752" s="205" t="s">
        <v>652</v>
      </c>
      <c r="P752" s="205" t="s">
        <v>652</v>
      </c>
      <c r="Q752" s="208" t="s">
        <v>2191</v>
      </c>
      <c r="R752" s="208" t="s">
        <v>2192</v>
      </c>
      <c r="S752" s="208" t="s">
        <v>3716</v>
      </c>
    </row>
    <row r="753" spans="1:19" s="205" customFormat="1" hidden="1" x14ac:dyDescent="0.2">
      <c r="A753" s="205" t="s">
        <v>244</v>
      </c>
      <c r="B753" s="205" t="s">
        <v>3777</v>
      </c>
      <c r="C753" s="200" t="s">
        <v>3716</v>
      </c>
      <c r="D753" s="209" t="s">
        <v>152</v>
      </c>
      <c r="E753" s="209"/>
      <c r="F753" s="206">
        <v>112587</v>
      </c>
      <c r="G753" s="206">
        <v>11259</v>
      </c>
      <c r="H753" s="206">
        <v>563</v>
      </c>
      <c r="I753" s="202">
        <f t="shared" si="11"/>
        <v>101891</v>
      </c>
      <c r="J753" s="205" t="s">
        <v>38</v>
      </c>
      <c r="K753" s="205" t="s">
        <v>23</v>
      </c>
      <c r="L753" s="209" t="s">
        <v>1028</v>
      </c>
      <c r="M753" s="205" t="s">
        <v>3778</v>
      </c>
      <c r="N753" s="201" t="s">
        <v>1030</v>
      </c>
      <c r="O753" s="205" t="s">
        <v>652</v>
      </c>
      <c r="P753" s="205" t="s">
        <v>652</v>
      </c>
      <c r="Q753" s="208" t="s">
        <v>2191</v>
      </c>
      <c r="R753" s="208" t="s">
        <v>2192</v>
      </c>
      <c r="S753" s="208" t="s">
        <v>3716</v>
      </c>
    </row>
    <row r="754" spans="1:19" s="205" customFormat="1" hidden="1" x14ac:dyDescent="0.2">
      <c r="A754" s="205" t="s">
        <v>244</v>
      </c>
      <c r="B754" s="205" t="s">
        <v>3779</v>
      </c>
      <c r="C754" s="200" t="s">
        <v>3716</v>
      </c>
      <c r="D754" s="209" t="s">
        <v>152</v>
      </c>
      <c r="E754" s="209"/>
      <c r="F754" s="206">
        <v>87104</v>
      </c>
      <c r="G754" s="206">
        <v>8710</v>
      </c>
      <c r="H754" s="206">
        <v>436</v>
      </c>
      <c r="I754" s="202">
        <f t="shared" si="11"/>
        <v>78830</v>
      </c>
      <c r="J754" s="205" t="s">
        <v>38</v>
      </c>
      <c r="K754" s="205" t="s">
        <v>23</v>
      </c>
      <c r="L754" s="209" t="s">
        <v>1028</v>
      </c>
      <c r="M754" s="205" t="s">
        <v>3780</v>
      </c>
      <c r="N754" s="201" t="s">
        <v>1030</v>
      </c>
      <c r="O754" s="205" t="s">
        <v>652</v>
      </c>
      <c r="P754" s="205" t="s">
        <v>652</v>
      </c>
      <c r="Q754" s="208" t="s">
        <v>987</v>
      </c>
      <c r="R754" s="208" t="s">
        <v>988</v>
      </c>
      <c r="S754" s="208" t="s">
        <v>3716</v>
      </c>
    </row>
    <row r="755" spans="1:19" s="205" customFormat="1" hidden="1" x14ac:dyDescent="0.2">
      <c r="A755" s="205" t="s">
        <v>244</v>
      </c>
      <c r="B755" s="205" t="s">
        <v>3781</v>
      </c>
      <c r="C755" s="200" t="s">
        <v>3716</v>
      </c>
      <c r="D755" s="209" t="s">
        <v>152</v>
      </c>
      <c r="E755" s="209"/>
      <c r="F755" s="206">
        <v>123845</v>
      </c>
      <c r="G755" s="206">
        <v>12385</v>
      </c>
      <c r="H755" s="206">
        <v>619</v>
      </c>
      <c r="I755" s="202">
        <f t="shared" si="11"/>
        <v>112079</v>
      </c>
      <c r="J755" s="205" t="s">
        <v>38</v>
      </c>
      <c r="K755" s="205" t="s">
        <v>23</v>
      </c>
      <c r="L755" s="209" t="s">
        <v>1028</v>
      </c>
      <c r="M755" s="205" t="s">
        <v>3782</v>
      </c>
      <c r="N755" s="201" t="s">
        <v>1030</v>
      </c>
      <c r="O755" s="205" t="s">
        <v>652</v>
      </c>
      <c r="P755" s="205" t="s">
        <v>652</v>
      </c>
      <c r="Q755" s="216" t="s">
        <v>2191</v>
      </c>
      <c r="R755" s="216" t="s">
        <v>2192</v>
      </c>
      <c r="S755" s="208" t="s">
        <v>3716</v>
      </c>
    </row>
    <row r="756" spans="1:19" s="205" customFormat="1" hidden="1" x14ac:dyDescent="0.2">
      <c r="A756" s="205" t="s">
        <v>244</v>
      </c>
      <c r="B756" s="205" t="s">
        <v>3783</v>
      </c>
      <c r="C756" s="200" t="s">
        <v>3716</v>
      </c>
      <c r="D756" s="209" t="s">
        <v>152</v>
      </c>
      <c r="E756" s="209"/>
      <c r="F756" s="206">
        <v>87104</v>
      </c>
      <c r="G756" s="206">
        <v>8710</v>
      </c>
      <c r="H756" s="206">
        <v>436</v>
      </c>
      <c r="I756" s="202">
        <f t="shared" si="11"/>
        <v>78830</v>
      </c>
      <c r="J756" s="205" t="s">
        <v>38</v>
      </c>
      <c r="K756" s="205" t="s">
        <v>23</v>
      </c>
      <c r="L756" s="209" t="s">
        <v>1028</v>
      </c>
      <c r="M756" s="205" t="s">
        <v>3784</v>
      </c>
      <c r="N756" s="201" t="s">
        <v>1030</v>
      </c>
      <c r="O756" s="205" t="s">
        <v>652</v>
      </c>
      <c r="P756" s="205" t="s">
        <v>652</v>
      </c>
      <c r="Q756" s="208" t="s">
        <v>2191</v>
      </c>
      <c r="R756" s="208" t="s">
        <v>2192</v>
      </c>
      <c r="S756" s="208" t="s">
        <v>3716</v>
      </c>
    </row>
    <row r="757" spans="1:19" s="205" customFormat="1" hidden="1" x14ac:dyDescent="0.2">
      <c r="A757" s="205" t="s">
        <v>244</v>
      </c>
      <c r="B757" s="205" t="s">
        <v>3785</v>
      </c>
      <c r="C757" s="200" t="s">
        <v>3716</v>
      </c>
      <c r="D757" s="205" t="s">
        <v>152</v>
      </c>
      <c r="F757" s="206">
        <v>87104</v>
      </c>
      <c r="G757" s="206">
        <v>8710</v>
      </c>
      <c r="H757" s="206">
        <v>436</v>
      </c>
      <c r="I757" s="202">
        <f t="shared" si="11"/>
        <v>78830</v>
      </c>
      <c r="J757" s="205" t="s">
        <v>38</v>
      </c>
      <c r="K757" s="205" t="s">
        <v>23</v>
      </c>
      <c r="L757" s="209" t="s">
        <v>1028</v>
      </c>
      <c r="M757" s="205" t="s">
        <v>3786</v>
      </c>
      <c r="N757" s="201" t="s">
        <v>1030</v>
      </c>
      <c r="O757" s="205" t="s">
        <v>652</v>
      </c>
      <c r="P757" s="205" t="s">
        <v>652</v>
      </c>
      <c r="Q757" s="208" t="s">
        <v>2191</v>
      </c>
      <c r="R757" s="208" t="s">
        <v>2192</v>
      </c>
      <c r="S757" s="208" t="s">
        <v>3716</v>
      </c>
    </row>
    <row r="758" spans="1:19" s="205" customFormat="1" hidden="1" x14ac:dyDescent="0.2">
      <c r="A758" s="205" t="s">
        <v>244</v>
      </c>
      <c r="B758" s="205" t="s">
        <v>3787</v>
      </c>
      <c r="C758" s="200" t="s">
        <v>3716</v>
      </c>
      <c r="D758" s="205" t="s">
        <v>152</v>
      </c>
      <c r="F758" s="206">
        <v>36738</v>
      </c>
      <c r="G758" s="206">
        <v>3674</v>
      </c>
      <c r="H758" s="206">
        <v>184</v>
      </c>
      <c r="I758" s="202">
        <f t="shared" si="11"/>
        <v>33248</v>
      </c>
      <c r="J758" s="205" t="s">
        <v>38</v>
      </c>
      <c r="K758" s="205" t="s">
        <v>23</v>
      </c>
      <c r="L758" s="209" t="s">
        <v>1028</v>
      </c>
      <c r="M758" s="205" t="s">
        <v>3788</v>
      </c>
      <c r="N758" s="201" t="s">
        <v>1030</v>
      </c>
      <c r="O758" s="205" t="s">
        <v>652</v>
      </c>
      <c r="P758" s="205" t="s">
        <v>652</v>
      </c>
      <c r="Q758" s="208" t="s">
        <v>2191</v>
      </c>
      <c r="R758" s="208" t="s">
        <v>2192</v>
      </c>
      <c r="S758" s="208" t="s">
        <v>3716</v>
      </c>
    </row>
    <row r="759" spans="1:19" s="205" customFormat="1" hidden="1" x14ac:dyDescent="0.2">
      <c r="A759" s="205" t="s">
        <v>244</v>
      </c>
      <c r="B759" s="205" t="s">
        <v>3789</v>
      </c>
      <c r="C759" s="200" t="s">
        <v>3716</v>
      </c>
      <c r="D759" s="205" t="s">
        <v>152</v>
      </c>
      <c r="F759" s="206">
        <v>87104</v>
      </c>
      <c r="G759" s="206">
        <v>8710</v>
      </c>
      <c r="H759" s="206">
        <v>436</v>
      </c>
      <c r="I759" s="202">
        <f t="shared" si="11"/>
        <v>78830</v>
      </c>
      <c r="J759" s="205" t="s">
        <v>38</v>
      </c>
      <c r="K759" s="205" t="s">
        <v>23</v>
      </c>
      <c r="L759" s="209" t="s">
        <v>1028</v>
      </c>
      <c r="M759" s="205" t="s">
        <v>3790</v>
      </c>
      <c r="N759" s="201" t="s">
        <v>1030</v>
      </c>
      <c r="O759" s="205" t="s">
        <v>652</v>
      </c>
      <c r="P759" s="205" t="s">
        <v>652</v>
      </c>
      <c r="Q759" s="208" t="s">
        <v>663</v>
      </c>
      <c r="R759" s="208" t="s">
        <v>723</v>
      </c>
      <c r="S759" s="208" t="s">
        <v>3716</v>
      </c>
    </row>
    <row r="760" spans="1:19" s="205" customFormat="1" hidden="1" x14ac:dyDescent="0.2">
      <c r="A760" s="205" t="s">
        <v>244</v>
      </c>
      <c r="B760" s="205" t="s">
        <v>3791</v>
      </c>
      <c r="C760" s="200" t="s">
        <v>3716</v>
      </c>
      <c r="D760" s="205" t="s">
        <v>152</v>
      </c>
      <c r="F760" s="206">
        <v>42202</v>
      </c>
      <c r="G760" s="206">
        <v>4220</v>
      </c>
      <c r="H760" s="206">
        <v>211</v>
      </c>
      <c r="I760" s="202">
        <f t="shared" si="11"/>
        <v>38193</v>
      </c>
      <c r="J760" s="205" t="s">
        <v>38</v>
      </c>
      <c r="K760" s="205" t="s">
        <v>23</v>
      </c>
      <c r="L760" s="209" t="s">
        <v>1028</v>
      </c>
      <c r="M760" s="205" t="s">
        <v>3792</v>
      </c>
      <c r="N760" s="201" t="s">
        <v>1030</v>
      </c>
      <c r="O760" s="205" t="s">
        <v>652</v>
      </c>
      <c r="P760" s="205" t="s">
        <v>652</v>
      </c>
      <c r="Q760" s="208" t="s">
        <v>2191</v>
      </c>
      <c r="R760" s="208" t="s">
        <v>2192</v>
      </c>
      <c r="S760" s="208" t="s">
        <v>3716</v>
      </c>
    </row>
    <row r="761" spans="1:19" s="205" customFormat="1" hidden="1" x14ac:dyDescent="0.2">
      <c r="A761" s="205" t="s">
        <v>244</v>
      </c>
      <c r="B761" s="205" t="s">
        <v>3793</v>
      </c>
      <c r="C761" s="200" t="s">
        <v>3716</v>
      </c>
      <c r="D761" s="209" t="s">
        <v>152</v>
      </c>
      <c r="E761" s="209"/>
      <c r="F761" s="206">
        <v>27213</v>
      </c>
      <c r="G761" s="206">
        <v>2721</v>
      </c>
      <c r="H761" s="206">
        <v>136</v>
      </c>
      <c r="I761" s="202">
        <f t="shared" si="11"/>
        <v>24628</v>
      </c>
      <c r="J761" s="205" t="s">
        <v>38</v>
      </c>
      <c r="K761" s="205" t="s">
        <v>23</v>
      </c>
      <c r="L761" s="209" t="s">
        <v>1028</v>
      </c>
      <c r="M761" s="205" t="s">
        <v>3794</v>
      </c>
      <c r="N761" s="201" t="s">
        <v>1030</v>
      </c>
      <c r="O761" s="205" t="s">
        <v>652</v>
      </c>
      <c r="P761" s="205" t="s">
        <v>652</v>
      </c>
      <c r="Q761" s="208" t="s">
        <v>663</v>
      </c>
      <c r="R761" s="208" t="s">
        <v>723</v>
      </c>
      <c r="S761" s="208" t="s">
        <v>3716</v>
      </c>
    </row>
    <row r="762" spans="1:19" s="205" customFormat="1" hidden="1" x14ac:dyDescent="0.2">
      <c r="A762" s="205" t="s">
        <v>244</v>
      </c>
      <c r="B762" s="205" t="s">
        <v>3795</v>
      </c>
      <c r="C762" s="200" t="s">
        <v>3716</v>
      </c>
      <c r="D762" s="209" t="s">
        <v>152</v>
      </c>
      <c r="E762" s="209"/>
      <c r="F762" s="206">
        <v>52244</v>
      </c>
      <c r="G762" s="206">
        <v>5224</v>
      </c>
      <c r="H762" s="206">
        <v>261</v>
      </c>
      <c r="I762" s="202">
        <f t="shared" si="11"/>
        <v>47281</v>
      </c>
      <c r="J762" s="205" t="s">
        <v>38</v>
      </c>
      <c r="K762" s="205" t="s">
        <v>23</v>
      </c>
      <c r="L762" s="209" t="s">
        <v>1028</v>
      </c>
      <c r="M762" s="205" t="s">
        <v>3796</v>
      </c>
      <c r="N762" s="201" t="s">
        <v>1030</v>
      </c>
      <c r="O762" s="205" t="s">
        <v>652</v>
      </c>
      <c r="P762" s="205" t="s">
        <v>652</v>
      </c>
      <c r="Q762" s="208" t="s">
        <v>987</v>
      </c>
      <c r="R762" s="208" t="s">
        <v>988</v>
      </c>
      <c r="S762" s="208" t="s">
        <v>3716</v>
      </c>
    </row>
    <row r="763" spans="1:19" s="205" customFormat="1" hidden="1" x14ac:dyDescent="0.2">
      <c r="A763" s="205" t="s">
        <v>244</v>
      </c>
      <c r="B763" s="205" t="s">
        <v>3797</v>
      </c>
      <c r="C763" s="200" t="s">
        <v>3716</v>
      </c>
      <c r="D763" s="209" t="s">
        <v>152</v>
      </c>
      <c r="E763" s="209"/>
      <c r="F763" s="206">
        <v>47759</v>
      </c>
      <c r="G763" s="206">
        <v>4776</v>
      </c>
      <c r="H763" s="206">
        <v>239</v>
      </c>
      <c r="I763" s="202">
        <f t="shared" si="11"/>
        <v>43222</v>
      </c>
      <c r="J763" s="205" t="s">
        <v>38</v>
      </c>
      <c r="K763" s="205" t="s">
        <v>23</v>
      </c>
      <c r="L763" s="209" t="s">
        <v>1028</v>
      </c>
      <c r="M763" s="205" t="s">
        <v>3798</v>
      </c>
      <c r="N763" s="201" t="s">
        <v>1030</v>
      </c>
      <c r="O763" s="205" t="s">
        <v>652</v>
      </c>
      <c r="P763" s="205" t="s">
        <v>652</v>
      </c>
      <c r="Q763" s="208" t="s">
        <v>1534</v>
      </c>
      <c r="R763" s="208" t="s">
        <v>3748</v>
      </c>
      <c r="S763" s="208" t="s">
        <v>3716</v>
      </c>
    </row>
    <row r="764" spans="1:19" s="205" customFormat="1" hidden="1" x14ac:dyDescent="0.2">
      <c r="A764" s="205" t="s">
        <v>244</v>
      </c>
      <c r="B764" s="205" t="s">
        <v>3799</v>
      </c>
      <c r="C764" s="200" t="s">
        <v>3716</v>
      </c>
      <c r="D764" s="209" t="s">
        <v>152</v>
      </c>
      <c r="E764" s="209"/>
      <c r="F764" s="206">
        <v>89755</v>
      </c>
      <c r="G764" s="206">
        <v>8976</v>
      </c>
      <c r="H764" s="206">
        <v>449</v>
      </c>
      <c r="I764" s="202">
        <f t="shared" si="11"/>
        <v>81228</v>
      </c>
      <c r="J764" s="205" t="s">
        <v>38</v>
      </c>
      <c r="K764" s="205" t="s">
        <v>23</v>
      </c>
      <c r="L764" s="209" t="s">
        <v>1028</v>
      </c>
      <c r="M764" s="205" t="s">
        <v>3800</v>
      </c>
      <c r="N764" s="201" t="s">
        <v>1030</v>
      </c>
      <c r="O764" s="205" t="s">
        <v>652</v>
      </c>
      <c r="P764" s="205" t="s">
        <v>652</v>
      </c>
      <c r="Q764" s="208" t="s">
        <v>987</v>
      </c>
      <c r="R764" s="208" t="s">
        <v>988</v>
      </c>
      <c r="S764" s="208" t="s">
        <v>3716</v>
      </c>
    </row>
    <row r="765" spans="1:19" s="205" customFormat="1" hidden="1" x14ac:dyDescent="0.2">
      <c r="A765" s="205" t="s">
        <v>244</v>
      </c>
      <c r="B765" s="205" t="s">
        <v>3801</v>
      </c>
      <c r="C765" s="200" t="s">
        <v>3716</v>
      </c>
      <c r="D765" s="209" t="s">
        <v>152</v>
      </c>
      <c r="E765" s="209"/>
      <c r="F765" s="206">
        <v>40628</v>
      </c>
      <c r="G765" s="206">
        <v>4063</v>
      </c>
      <c r="H765" s="206">
        <v>203</v>
      </c>
      <c r="I765" s="202">
        <f t="shared" si="11"/>
        <v>36768</v>
      </c>
      <c r="J765" s="205" t="s">
        <v>38</v>
      </c>
      <c r="K765" s="205" t="s">
        <v>23</v>
      </c>
      <c r="L765" s="209" t="s">
        <v>1028</v>
      </c>
      <c r="M765" s="205" t="s">
        <v>3802</v>
      </c>
      <c r="N765" s="201" t="s">
        <v>1030</v>
      </c>
      <c r="O765" s="205" t="s">
        <v>652</v>
      </c>
      <c r="P765" s="205" t="s">
        <v>652</v>
      </c>
      <c r="Q765" s="208" t="s">
        <v>2191</v>
      </c>
      <c r="R765" s="208" t="s">
        <v>2192</v>
      </c>
      <c r="S765" s="208" t="s">
        <v>3716</v>
      </c>
    </row>
    <row r="766" spans="1:19" s="205" customFormat="1" hidden="1" x14ac:dyDescent="0.2">
      <c r="A766" s="205" t="s">
        <v>244</v>
      </c>
      <c r="B766" s="205" t="s">
        <v>3803</v>
      </c>
      <c r="C766" s="200" t="s">
        <v>3716</v>
      </c>
      <c r="D766" s="209" t="s">
        <v>152</v>
      </c>
      <c r="E766" s="209"/>
      <c r="F766" s="206">
        <v>30095</v>
      </c>
      <c r="G766" s="206">
        <v>3010</v>
      </c>
      <c r="H766" s="206">
        <v>150</v>
      </c>
      <c r="I766" s="202">
        <f t="shared" si="11"/>
        <v>27235</v>
      </c>
      <c r="J766" s="205" t="s">
        <v>38</v>
      </c>
      <c r="K766" s="205" t="s">
        <v>23</v>
      </c>
      <c r="L766" s="209" t="s">
        <v>1042</v>
      </c>
      <c r="M766" s="205" t="s">
        <v>3804</v>
      </c>
      <c r="N766" s="201" t="s">
        <v>1030</v>
      </c>
      <c r="O766" s="205" t="s">
        <v>652</v>
      </c>
      <c r="P766" s="205" t="s">
        <v>652</v>
      </c>
      <c r="Q766" s="208" t="s">
        <v>2191</v>
      </c>
      <c r="R766" s="208" t="s">
        <v>2192</v>
      </c>
      <c r="S766" s="208" t="s">
        <v>3716</v>
      </c>
    </row>
    <row r="767" spans="1:19" s="205" customFormat="1" hidden="1" x14ac:dyDescent="0.2">
      <c r="A767" s="205" t="s">
        <v>244</v>
      </c>
      <c r="B767" s="205" t="s">
        <v>3805</v>
      </c>
      <c r="C767" s="200" t="s">
        <v>3716</v>
      </c>
      <c r="D767" s="209" t="s">
        <v>152</v>
      </c>
      <c r="E767" s="209"/>
      <c r="F767" s="206">
        <v>17315</v>
      </c>
      <c r="G767" s="206">
        <v>1732</v>
      </c>
      <c r="H767" s="206">
        <v>87</v>
      </c>
      <c r="I767" s="202">
        <f t="shared" si="11"/>
        <v>15670</v>
      </c>
      <c r="J767" s="205" t="s">
        <v>38</v>
      </c>
      <c r="K767" s="205" t="s">
        <v>23</v>
      </c>
      <c r="L767" s="209" t="s">
        <v>1028</v>
      </c>
      <c r="M767" s="205" t="s">
        <v>3806</v>
      </c>
      <c r="N767" s="201" t="s">
        <v>1030</v>
      </c>
      <c r="O767" s="205" t="s">
        <v>652</v>
      </c>
      <c r="P767" s="205" t="s">
        <v>652</v>
      </c>
      <c r="Q767" s="208" t="s">
        <v>2191</v>
      </c>
      <c r="R767" s="208" t="s">
        <v>2192</v>
      </c>
      <c r="S767" s="208" t="s">
        <v>3716</v>
      </c>
    </row>
    <row r="768" spans="1:19" s="205" customFormat="1" hidden="1" x14ac:dyDescent="0.2">
      <c r="A768" s="205" t="s">
        <v>244</v>
      </c>
      <c r="B768" s="205" t="s">
        <v>3807</v>
      </c>
      <c r="C768" s="200" t="s">
        <v>3716</v>
      </c>
      <c r="D768" s="209" t="s">
        <v>152</v>
      </c>
      <c r="E768" s="209"/>
      <c r="F768" s="206">
        <v>17315</v>
      </c>
      <c r="G768" s="206">
        <v>1732</v>
      </c>
      <c r="H768" s="206">
        <v>87</v>
      </c>
      <c r="I768" s="202">
        <f t="shared" si="11"/>
        <v>15670</v>
      </c>
      <c r="J768" s="205" t="s">
        <v>38</v>
      </c>
      <c r="K768" s="205" t="s">
        <v>23</v>
      </c>
      <c r="L768" s="209" t="s">
        <v>1028</v>
      </c>
      <c r="M768" s="205" t="s">
        <v>3808</v>
      </c>
      <c r="N768" s="201" t="s">
        <v>1030</v>
      </c>
      <c r="O768" s="205" t="s">
        <v>652</v>
      </c>
      <c r="P768" s="205" t="s">
        <v>652</v>
      </c>
      <c r="Q768" s="208" t="s">
        <v>2191</v>
      </c>
      <c r="R768" s="208" t="s">
        <v>2192</v>
      </c>
      <c r="S768" s="208" t="s">
        <v>3716</v>
      </c>
    </row>
    <row r="769" spans="1:19" s="205" customFormat="1" hidden="1" x14ac:dyDescent="0.2">
      <c r="A769" s="205" t="s">
        <v>244</v>
      </c>
      <c r="B769" s="205" t="s">
        <v>3809</v>
      </c>
      <c r="C769" s="200" t="s">
        <v>3716</v>
      </c>
      <c r="D769" s="209" t="s">
        <v>152</v>
      </c>
      <c r="E769" s="209"/>
      <c r="F769" s="206">
        <v>38365</v>
      </c>
      <c r="G769" s="206">
        <v>3837</v>
      </c>
      <c r="H769" s="206">
        <v>192</v>
      </c>
      <c r="I769" s="202">
        <f t="shared" si="11"/>
        <v>34720</v>
      </c>
      <c r="J769" s="205" t="s">
        <v>38</v>
      </c>
      <c r="K769" s="205" t="s">
        <v>23</v>
      </c>
      <c r="L769" s="209" t="s">
        <v>1028</v>
      </c>
      <c r="M769" s="205" t="s">
        <v>3810</v>
      </c>
      <c r="N769" s="201" t="s">
        <v>1030</v>
      </c>
      <c r="O769" s="205" t="s">
        <v>652</v>
      </c>
      <c r="P769" s="205" t="s">
        <v>652</v>
      </c>
      <c r="Q769" s="208" t="s">
        <v>2191</v>
      </c>
      <c r="R769" s="208" t="s">
        <v>2192</v>
      </c>
      <c r="S769" s="208" t="s">
        <v>3716</v>
      </c>
    </row>
    <row r="770" spans="1:19" s="205" customFormat="1" hidden="1" x14ac:dyDescent="0.2">
      <c r="A770" s="205" t="s">
        <v>244</v>
      </c>
      <c r="B770" s="205" t="s">
        <v>3811</v>
      </c>
      <c r="C770" s="200" t="s">
        <v>3716</v>
      </c>
      <c r="D770" s="209" t="s">
        <v>152</v>
      </c>
      <c r="E770" s="209"/>
      <c r="F770" s="206">
        <v>69284</v>
      </c>
      <c r="G770" s="206">
        <v>6928</v>
      </c>
      <c r="H770" s="206">
        <v>346</v>
      </c>
      <c r="I770" s="202">
        <f t="shared" si="11"/>
        <v>62702</v>
      </c>
      <c r="J770" s="205" t="s">
        <v>38</v>
      </c>
      <c r="K770" s="205" t="s">
        <v>23</v>
      </c>
      <c r="L770" s="209" t="s">
        <v>1042</v>
      </c>
      <c r="M770" s="205" t="s">
        <v>3812</v>
      </c>
      <c r="N770" s="201" t="s">
        <v>1030</v>
      </c>
      <c r="O770" s="205" t="s">
        <v>652</v>
      </c>
      <c r="P770" s="205" t="s">
        <v>652</v>
      </c>
      <c r="Q770" s="208" t="s">
        <v>720</v>
      </c>
      <c r="R770" s="208" t="s">
        <v>721</v>
      </c>
      <c r="S770" s="208" t="s">
        <v>3716</v>
      </c>
    </row>
    <row r="771" spans="1:19" s="205" customFormat="1" hidden="1" x14ac:dyDescent="0.2">
      <c r="A771" s="205" t="s">
        <v>244</v>
      </c>
      <c r="B771" s="205" t="s">
        <v>3813</v>
      </c>
      <c r="C771" s="200" t="s">
        <v>3716</v>
      </c>
      <c r="D771" s="209" t="s">
        <v>152</v>
      </c>
      <c r="E771" s="209"/>
      <c r="F771" s="206">
        <v>56454</v>
      </c>
      <c r="G771" s="206">
        <v>5645</v>
      </c>
      <c r="H771" s="206">
        <v>282</v>
      </c>
      <c r="I771" s="202">
        <f t="shared" ref="I771:I834" si="12">F771+H771-G771</f>
        <v>51091</v>
      </c>
      <c r="J771" s="205" t="s">
        <v>38</v>
      </c>
      <c r="K771" s="205" t="s">
        <v>23</v>
      </c>
      <c r="L771" s="209" t="s">
        <v>1042</v>
      </c>
      <c r="M771" s="205" t="s">
        <v>3814</v>
      </c>
      <c r="N771" s="201" t="s">
        <v>1030</v>
      </c>
      <c r="O771" s="205" t="s">
        <v>652</v>
      </c>
      <c r="P771" s="205" t="s">
        <v>652</v>
      </c>
      <c r="Q771" s="208" t="s">
        <v>696</v>
      </c>
      <c r="R771" s="208" t="s">
        <v>697</v>
      </c>
      <c r="S771" s="208" t="s">
        <v>3716</v>
      </c>
    </row>
    <row r="772" spans="1:19" s="205" customFormat="1" hidden="1" x14ac:dyDescent="0.2">
      <c r="A772" s="205" t="s">
        <v>244</v>
      </c>
      <c r="B772" s="205" t="s">
        <v>3815</v>
      </c>
      <c r="C772" s="200" t="s">
        <v>3716</v>
      </c>
      <c r="D772" s="209" t="s">
        <v>152</v>
      </c>
      <c r="E772" s="209"/>
      <c r="F772" s="206">
        <v>95814</v>
      </c>
      <c r="G772" s="206">
        <v>9581</v>
      </c>
      <c r="H772" s="206">
        <v>479</v>
      </c>
      <c r="I772" s="202">
        <f t="shared" si="12"/>
        <v>86712</v>
      </c>
      <c r="J772" s="205" t="s">
        <v>38</v>
      </c>
      <c r="K772" s="205" t="s">
        <v>23</v>
      </c>
      <c r="L772" s="209" t="s">
        <v>1042</v>
      </c>
      <c r="M772" s="205" t="s">
        <v>3816</v>
      </c>
      <c r="N772" s="201" t="s">
        <v>1030</v>
      </c>
      <c r="O772" s="205" t="s">
        <v>652</v>
      </c>
      <c r="P772" s="205" t="s">
        <v>652</v>
      </c>
      <c r="Q772" s="208" t="s">
        <v>696</v>
      </c>
      <c r="R772" s="208" t="s">
        <v>697</v>
      </c>
      <c r="S772" s="208" t="s">
        <v>3716</v>
      </c>
    </row>
    <row r="773" spans="1:19" s="205" customFormat="1" hidden="1" x14ac:dyDescent="0.2">
      <c r="A773" s="205" t="s">
        <v>244</v>
      </c>
      <c r="B773" s="205" t="s">
        <v>3817</v>
      </c>
      <c r="C773" s="200" t="s">
        <v>3716</v>
      </c>
      <c r="D773" s="209" t="s">
        <v>152</v>
      </c>
      <c r="E773" s="209"/>
      <c r="F773" s="206">
        <v>52535</v>
      </c>
      <c r="G773" s="206">
        <v>5254</v>
      </c>
      <c r="H773" s="206">
        <v>263</v>
      </c>
      <c r="I773" s="202">
        <f t="shared" si="12"/>
        <v>47544</v>
      </c>
      <c r="J773" s="205" t="s">
        <v>38</v>
      </c>
      <c r="K773" s="205" t="s">
        <v>23</v>
      </c>
      <c r="L773" s="209" t="s">
        <v>1028</v>
      </c>
      <c r="M773" s="205" t="s">
        <v>3818</v>
      </c>
      <c r="N773" s="201" t="s">
        <v>1030</v>
      </c>
      <c r="O773" s="205" t="s">
        <v>652</v>
      </c>
      <c r="P773" s="205" t="s">
        <v>652</v>
      </c>
      <c r="Q773" s="208" t="s">
        <v>987</v>
      </c>
      <c r="R773" s="208" t="s">
        <v>988</v>
      </c>
      <c r="S773" s="208" t="s">
        <v>3716</v>
      </c>
    </row>
    <row r="774" spans="1:19" s="205" customFormat="1" hidden="1" x14ac:dyDescent="0.2">
      <c r="A774" s="205" t="s">
        <v>244</v>
      </c>
      <c r="B774" s="205" t="s">
        <v>3819</v>
      </c>
      <c r="C774" s="200" t="s">
        <v>3716</v>
      </c>
      <c r="D774" s="209" t="s">
        <v>152</v>
      </c>
      <c r="E774" s="209"/>
      <c r="F774" s="206">
        <v>36113</v>
      </c>
      <c r="G774" s="206">
        <v>3611</v>
      </c>
      <c r="H774" s="206">
        <v>181</v>
      </c>
      <c r="I774" s="202">
        <f t="shared" si="12"/>
        <v>32683</v>
      </c>
      <c r="J774" s="205" t="s">
        <v>38</v>
      </c>
      <c r="K774" s="205" t="s">
        <v>23</v>
      </c>
      <c r="L774" s="209" t="s">
        <v>1042</v>
      </c>
      <c r="M774" s="205" t="s">
        <v>3820</v>
      </c>
      <c r="N774" s="201" t="s">
        <v>1030</v>
      </c>
      <c r="O774" s="205" t="s">
        <v>652</v>
      </c>
      <c r="P774" s="205" t="s">
        <v>652</v>
      </c>
      <c r="Q774" s="208" t="s">
        <v>2191</v>
      </c>
      <c r="R774" s="208" t="s">
        <v>2192</v>
      </c>
      <c r="S774" s="208" t="s">
        <v>3716</v>
      </c>
    </row>
    <row r="775" spans="1:19" s="205" customFormat="1" hidden="1" x14ac:dyDescent="0.2">
      <c r="A775" s="205" t="s">
        <v>244</v>
      </c>
      <c r="B775" s="205" t="s">
        <v>3821</v>
      </c>
      <c r="C775" s="200" t="s">
        <v>3716</v>
      </c>
      <c r="D775" s="209" t="s">
        <v>152</v>
      </c>
      <c r="E775" s="209"/>
      <c r="F775" s="206">
        <v>98636</v>
      </c>
      <c r="G775" s="206">
        <v>9864</v>
      </c>
      <c r="H775" s="206">
        <v>493</v>
      </c>
      <c r="I775" s="202">
        <f t="shared" si="12"/>
        <v>89265</v>
      </c>
      <c r="J775" s="205" t="s">
        <v>38</v>
      </c>
      <c r="K775" s="205" t="s">
        <v>23</v>
      </c>
      <c r="L775" s="209" t="s">
        <v>1028</v>
      </c>
      <c r="M775" s="205" t="s">
        <v>3822</v>
      </c>
      <c r="N775" s="201" t="s">
        <v>1030</v>
      </c>
      <c r="O775" s="205" t="s">
        <v>652</v>
      </c>
      <c r="P775" s="205" t="s">
        <v>652</v>
      </c>
      <c r="Q775" s="208" t="s">
        <v>663</v>
      </c>
      <c r="R775" s="208" t="s">
        <v>723</v>
      </c>
      <c r="S775" s="208" t="s">
        <v>3716</v>
      </c>
    </row>
    <row r="776" spans="1:19" s="205" customFormat="1" hidden="1" x14ac:dyDescent="0.2">
      <c r="A776" s="205" t="s">
        <v>244</v>
      </c>
      <c r="B776" s="205" t="s">
        <v>3823</v>
      </c>
      <c r="C776" s="200" t="s">
        <v>3716</v>
      </c>
      <c r="D776" s="209" t="s">
        <v>152</v>
      </c>
      <c r="E776" s="209"/>
      <c r="F776" s="206">
        <v>117590</v>
      </c>
      <c r="G776" s="206">
        <v>11759</v>
      </c>
      <c r="H776" s="206">
        <v>588</v>
      </c>
      <c r="I776" s="202">
        <f t="shared" si="12"/>
        <v>106419</v>
      </c>
      <c r="J776" s="205" t="s">
        <v>38</v>
      </c>
      <c r="K776" s="205" t="s">
        <v>23</v>
      </c>
      <c r="L776" s="209" t="s">
        <v>1028</v>
      </c>
      <c r="M776" s="205" t="s">
        <v>3824</v>
      </c>
      <c r="N776" s="201" t="s">
        <v>1030</v>
      </c>
      <c r="O776" s="205" t="s">
        <v>652</v>
      </c>
      <c r="P776" s="205" t="s">
        <v>652</v>
      </c>
      <c r="Q776" s="208" t="s">
        <v>987</v>
      </c>
      <c r="R776" s="208" t="s">
        <v>988</v>
      </c>
      <c r="S776" s="208" t="s">
        <v>3716</v>
      </c>
    </row>
    <row r="777" spans="1:19" s="205" customFormat="1" hidden="1" x14ac:dyDescent="0.2">
      <c r="A777" s="205" t="s">
        <v>244</v>
      </c>
      <c r="B777" s="205" t="s">
        <v>3825</v>
      </c>
      <c r="C777" s="200" t="s">
        <v>3716</v>
      </c>
      <c r="D777" s="205" t="s">
        <v>152</v>
      </c>
      <c r="F777" s="206">
        <v>87104</v>
      </c>
      <c r="G777" s="206">
        <v>8710</v>
      </c>
      <c r="H777" s="206">
        <v>436</v>
      </c>
      <c r="I777" s="202">
        <f t="shared" si="12"/>
        <v>78830</v>
      </c>
      <c r="J777" s="205" t="s">
        <v>38</v>
      </c>
      <c r="K777" s="205" t="s">
        <v>23</v>
      </c>
      <c r="L777" s="209" t="s">
        <v>1028</v>
      </c>
      <c r="M777" s="205" t="s">
        <v>3826</v>
      </c>
      <c r="N777" s="201" t="s">
        <v>1030</v>
      </c>
      <c r="O777" s="205" t="s">
        <v>652</v>
      </c>
      <c r="P777" s="205" t="s">
        <v>652</v>
      </c>
      <c r="Q777" s="208" t="s">
        <v>987</v>
      </c>
      <c r="R777" s="208" t="s">
        <v>988</v>
      </c>
      <c r="S777" s="208" t="s">
        <v>3716</v>
      </c>
    </row>
    <row r="778" spans="1:19" s="205" customFormat="1" hidden="1" x14ac:dyDescent="0.2">
      <c r="A778" s="205" t="s">
        <v>244</v>
      </c>
      <c r="B778" s="205" t="s">
        <v>3827</v>
      </c>
      <c r="C778" s="200" t="s">
        <v>3716</v>
      </c>
      <c r="D778" s="209" t="s">
        <v>152</v>
      </c>
      <c r="E778" s="209"/>
      <c r="F778" s="206">
        <v>36738</v>
      </c>
      <c r="G778" s="206">
        <v>3674</v>
      </c>
      <c r="H778" s="206">
        <v>184</v>
      </c>
      <c r="I778" s="202">
        <f t="shared" si="12"/>
        <v>33248</v>
      </c>
      <c r="J778" s="205" t="s">
        <v>38</v>
      </c>
      <c r="K778" s="205" t="s">
        <v>23</v>
      </c>
      <c r="L778" s="209" t="s">
        <v>1028</v>
      </c>
      <c r="M778" s="205" t="s">
        <v>3828</v>
      </c>
      <c r="N778" s="201" t="s">
        <v>1030</v>
      </c>
      <c r="O778" s="205" t="s">
        <v>652</v>
      </c>
      <c r="P778" s="205" t="s">
        <v>652</v>
      </c>
      <c r="Q778" s="208" t="s">
        <v>987</v>
      </c>
      <c r="R778" s="208" t="s">
        <v>988</v>
      </c>
      <c r="S778" s="208" t="s">
        <v>3716</v>
      </c>
    </row>
    <row r="779" spans="1:19" s="205" customFormat="1" hidden="1" x14ac:dyDescent="0.2">
      <c r="A779" s="205" t="s">
        <v>244</v>
      </c>
      <c r="B779" s="205" t="s">
        <v>3829</v>
      </c>
      <c r="C779" s="200" t="s">
        <v>3716</v>
      </c>
      <c r="D779" s="209" t="s">
        <v>152</v>
      </c>
      <c r="E779" s="209"/>
      <c r="F779" s="206">
        <v>51793</v>
      </c>
      <c r="G779" s="206">
        <v>5179</v>
      </c>
      <c r="H779" s="206">
        <v>259</v>
      </c>
      <c r="I779" s="202">
        <f t="shared" si="12"/>
        <v>46873</v>
      </c>
      <c r="J779" s="205" t="s">
        <v>38</v>
      </c>
      <c r="K779" s="205" t="s">
        <v>23</v>
      </c>
      <c r="L779" s="209" t="s">
        <v>1028</v>
      </c>
      <c r="M779" s="205" t="s">
        <v>3830</v>
      </c>
      <c r="N779" s="201" t="s">
        <v>1030</v>
      </c>
      <c r="O779" s="205" t="s">
        <v>652</v>
      </c>
      <c r="P779" s="205" t="s">
        <v>652</v>
      </c>
      <c r="Q779" s="208" t="s">
        <v>987</v>
      </c>
      <c r="R779" s="208" t="s">
        <v>988</v>
      </c>
      <c r="S779" s="208" t="s">
        <v>3716</v>
      </c>
    </row>
    <row r="780" spans="1:19" s="205" customFormat="1" hidden="1" x14ac:dyDescent="0.2">
      <c r="A780" s="205" t="s">
        <v>244</v>
      </c>
      <c r="B780" s="205" t="s">
        <v>3831</v>
      </c>
      <c r="C780" s="200" t="s">
        <v>3716</v>
      </c>
      <c r="D780" s="209" t="s">
        <v>152</v>
      </c>
      <c r="E780" s="209"/>
      <c r="F780" s="206">
        <v>95814</v>
      </c>
      <c r="G780" s="206">
        <v>9581</v>
      </c>
      <c r="H780" s="206">
        <v>479</v>
      </c>
      <c r="I780" s="202">
        <f t="shared" si="12"/>
        <v>86712</v>
      </c>
      <c r="J780" s="205" t="s">
        <v>38</v>
      </c>
      <c r="K780" s="205" t="s">
        <v>23</v>
      </c>
      <c r="L780" s="209" t="s">
        <v>1028</v>
      </c>
      <c r="M780" s="205" t="s">
        <v>3832</v>
      </c>
      <c r="N780" s="201" t="s">
        <v>1030</v>
      </c>
      <c r="O780" s="205" t="s">
        <v>652</v>
      </c>
      <c r="P780" s="205" t="s">
        <v>652</v>
      </c>
      <c r="Q780" s="208" t="s">
        <v>2191</v>
      </c>
      <c r="R780" s="208" t="s">
        <v>2192</v>
      </c>
      <c r="S780" s="208" t="s">
        <v>3716</v>
      </c>
    </row>
    <row r="781" spans="1:19" s="205" customFormat="1" x14ac:dyDescent="0.2">
      <c r="A781" s="205" t="s">
        <v>244</v>
      </c>
      <c r="B781" s="205" t="s">
        <v>3833</v>
      </c>
      <c r="C781" s="200" t="s">
        <v>3716</v>
      </c>
      <c r="D781" s="209" t="s">
        <v>152</v>
      </c>
      <c r="E781" s="209"/>
      <c r="F781" s="206">
        <v>42202</v>
      </c>
      <c r="G781" s="206">
        <v>4220</v>
      </c>
      <c r="H781" s="206">
        <v>211</v>
      </c>
      <c r="I781" s="202">
        <f t="shared" si="12"/>
        <v>38193</v>
      </c>
      <c r="J781" s="205" t="s">
        <v>38</v>
      </c>
      <c r="K781" s="205" t="s">
        <v>23</v>
      </c>
      <c r="L781" s="209" t="s">
        <v>1028</v>
      </c>
      <c r="M781" s="205" t="s">
        <v>3834</v>
      </c>
      <c r="N781" s="201" t="s">
        <v>1030</v>
      </c>
      <c r="O781" s="205" t="s">
        <v>652</v>
      </c>
      <c r="P781" s="205" t="s">
        <v>652</v>
      </c>
      <c r="Q781" s="208" t="s">
        <v>3835</v>
      </c>
      <c r="R781" s="208" t="s">
        <v>3836</v>
      </c>
      <c r="S781" s="208" t="s">
        <v>3716</v>
      </c>
    </row>
    <row r="782" spans="1:19" s="205" customFormat="1" x14ac:dyDescent="0.2">
      <c r="A782" s="205" t="s">
        <v>244</v>
      </c>
      <c r="B782" s="205" t="s">
        <v>3837</v>
      </c>
      <c r="C782" s="200" t="s">
        <v>3716</v>
      </c>
      <c r="D782" s="209" t="s">
        <v>152</v>
      </c>
      <c r="E782" s="209"/>
      <c r="F782" s="206">
        <v>69284</v>
      </c>
      <c r="G782" s="206">
        <v>6928</v>
      </c>
      <c r="H782" s="206">
        <v>346</v>
      </c>
      <c r="I782" s="202">
        <f t="shared" si="12"/>
        <v>62702</v>
      </c>
      <c r="J782" s="205" t="s">
        <v>38</v>
      </c>
      <c r="K782" s="205" t="s">
        <v>23</v>
      </c>
      <c r="L782" s="209" t="s">
        <v>1028</v>
      </c>
      <c r="M782" s="205" t="s">
        <v>3838</v>
      </c>
      <c r="N782" s="201" t="s">
        <v>1030</v>
      </c>
      <c r="O782" s="205" t="s">
        <v>652</v>
      </c>
      <c r="P782" s="205" t="s">
        <v>652</v>
      </c>
      <c r="Q782" s="208" t="s">
        <v>2387</v>
      </c>
      <c r="R782" s="208" t="s">
        <v>3839</v>
      </c>
      <c r="S782" s="208" t="s">
        <v>3716</v>
      </c>
    </row>
    <row r="783" spans="1:19" s="205" customFormat="1" hidden="1" x14ac:dyDescent="0.2">
      <c r="A783" s="205" t="s">
        <v>244</v>
      </c>
      <c r="B783" s="205" t="s">
        <v>3840</v>
      </c>
      <c r="C783" s="200" t="s">
        <v>3716</v>
      </c>
      <c r="D783" s="209" t="s">
        <v>152</v>
      </c>
      <c r="E783" s="209"/>
      <c r="F783" s="206">
        <v>17315</v>
      </c>
      <c r="G783" s="206">
        <v>1732</v>
      </c>
      <c r="H783" s="206">
        <v>87</v>
      </c>
      <c r="I783" s="202">
        <f t="shared" si="12"/>
        <v>15670</v>
      </c>
      <c r="J783" s="205" t="s">
        <v>38</v>
      </c>
      <c r="K783" s="205" t="s">
        <v>23</v>
      </c>
      <c r="L783" s="209" t="s">
        <v>1028</v>
      </c>
      <c r="M783" s="205" t="s">
        <v>3841</v>
      </c>
      <c r="N783" s="201" t="s">
        <v>1030</v>
      </c>
      <c r="O783" s="205" t="s">
        <v>652</v>
      </c>
      <c r="P783" s="205" t="s">
        <v>652</v>
      </c>
      <c r="Q783" s="208" t="s">
        <v>2191</v>
      </c>
      <c r="R783" s="208" t="s">
        <v>2192</v>
      </c>
      <c r="S783" s="208" t="s">
        <v>3716</v>
      </c>
    </row>
    <row r="784" spans="1:19" s="205" customFormat="1" hidden="1" x14ac:dyDescent="0.2">
      <c r="A784" s="205" t="s">
        <v>244</v>
      </c>
      <c r="B784" s="205" t="s">
        <v>3842</v>
      </c>
      <c r="C784" s="200" t="s">
        <v>3716</v>
      </c>
      <c r="D784" s="209" t="s">
        <v>152</v>
      </c>
      <c r="E784" s="209"/>
      <c r="F784" s="206">
        <v>27213</v>
      </c>
      <c r="G784" s="206">
        <v>2721</v>
      </c>
      <c r="H784" s="206">
        <v>136</v>
      </c>
      <c r="I784" s="202">
        <f t="shared" si="12"/>
        <v>24628</v>
      </c>
      <c r="J784" s="205" t="s">
        <v>38</v>
      </c>
      <c r="K784" s="205" t="s">
        <v>23</v>
      </c>
      <c r="L784" s="209" t="s">
        <v>1028</v>
      </c>
      <c r="M784" s="205" t="s">
        <v>3843</v>
      </c>
      <c r="N784" s="201" t="s">
        <v>1030</v>
      </c>
      <c r="O784" s="205" t="s">
        <v>652</v>
      </c>
      <c r="P784" s="205" t="s">
        <v>652</v>
      </c>
      <c r="Q784" s="208" t="s">
        <v>2191</v>
      </c>
      <c r="R784" s="208" t="s">
        <v>2192</v>
      </c>
      <c r="S784" s="208" t="s">
        <v>3716</v>
      </c>
    </row>
    <row r="785" spans="1:19" s="205" customFormat="1" hidden="1" x14ac:dyDescent="0.2">
      <c r="A785" s="205" t="s">
        <v>244</v>
      </c>
      <c r="B785" s="205" t="s">
        <v>3844</v>
      </c>
      <c r="C785" s="200" t="s">
        <v>3716</v>
      </c>
      <c r="D785" s="209" t="s">
        <v>152</v>
      </c>
      <c r="E785" s="209"/>
      <c r="F785" s="206">
        <v>17315</v>
      </c>
      <c r="G785" s="206">
        <v>1732</v>
      </c>
      <c r="H785" s="206">
        <v>87</v>
      </c>
      <c r="I785" s="202">
        <f t="shared" si="12"/>
        <v>15670</v>
      </c>
      <c r="J785" s="205" t="s">
        <v>38</v>
      </c>
      <c r="K785" s="205" t="s">
        <v>23</v>
      </c>
      <c r="L785" s="209" t="s">
        <v>1028</v>
      </c>
      <c r="M785" s="205" t="s">
        <v>3845</v>
      </c>
      <c r="N785" s="201" t="s">
        <v>1030</v>
      </c>
      <c r="O785" s="205" t="s">
        <v>652</v>
      </c>
      <c r="P785" s="205" t="s">
        <v>652</v>
      </c>
      <c r="Q785" s="208" t="s">
        <v>2191</v>
      </c>
      <c r="R785" s="208" t="s">
        <v>2192</v>
      </c>
      <c r="S785" s="208" t="s">
        <v>3716</v>
      </c>
    </row>
    <row r="786" spans="1:19" s="205" customFormat="1" x14ac:dyDescent="0.2">
      <c r="A786" s="205" t="s">
        <v>244</v>
      </c>
      <c r="B786" s="205" t="s">
        <v>3846</v>
      </c>
      <c r="C786" s="200" t="s">
        <v>3716</v>
      </c>
      <c r="D786" s="209" t="s">
        <v>152</v>
      </c>
      <c r="E786" s="209"/>
      <c r="F786" s="206">
        <v>87104</v>
      </c>
      <c r="G786" s="206">
        <v>8710</v>
      </c>
      <c r="H786" s="206">
        <v>436</v>
      </c>
      <c r="I786" s="202">
        <f t="shared" si="12"/>
        <v>78830</v>
      </c>
      <c r="J786" s="205" t="s">
        <v>38</v>
      </c>
      <c r="K786" s="205" t="s">
        <v>23</v>
      </c>
      <c r="L786" s="209" t="s">
        <v>1028</v>
      </c>
      <c r="M786" s="205" t="s">
        <v>3847</v>
      </c>
      <c r="N786" s="201" t="s">
        <v>1030</v>
      </c>
      <c r="O786" s="205" t="s">
        <v>652</v>
      </c>
      <c r="P786" s="205" t="s">
        <v>652</v>
      </c>
      <c r="Q786" s="216" t="s">
        <v>3835</v>
      </c>
      <c r="R786" s="216" t="s">
        <v>3836</v>
      </c>
      <c r="S786" s="216" t="s">
        <v>3716</v>
      </c>
    </row>
    <row r="787" spans="1:19" s="205" customFormat="1" x14ac:dyDescent="0.2">
      <c r="A787" s="205" t="s">
        <v>244</v>
      </c>
      <c r="B787" s="205" t="s">
        <v>3848</v>
      </c>
      <c r="C787" s="200" t="s">
        <v>3716</v>
      </c>
      <c r="D787" s="209" t="s">
        <v>152</v>
      </c>
      <c r="E787" s="209"/>
      <c r="F787" s="206">
        <v>27213</v>
      </c>
      <c r="G787" s="206">
        <v>2721</v>
      </c>
      <c r="H787" s="206">
        <v>136</v>
      </c>
      <c r="I787" s="202">
        <f t="shared" si="12"/>
        <v>24628</v>
      </c>
      <c r="J787" s="205" t="s">
        <v>38</v>
      </c>
      <c r="K787" s="205" t="s">
        <v>23</v>
      </c>
      <c r="L787" s="209" t="s">
        <v>1028</v>
      </c>
      <c r="M787" s="205" t="s">
        <v>3849</v>
      </c>
      <c r="N787" s="201" t="s">
        <v>1030</v>
      </c>
      <c r="O787" s="205" t="s">
        <v>652</v>
      </c>
      <c r="P787" s="205" t="s">
        <v>652</v>
      </c>
      <c r="Q787" s="208" t="s">
        <v>3835</v>
      </c>
      <c r="R787" s="208" t="s">
        <v>3836</v>
      </c>
      <c r="S787" s="208" t="s">
        <v>3716</v>
      </c>
    </row>
    <row r="788" spans="1:19" s="205" customFormat="1" x14ac:dyDescent="0.2">
      <c r="A788" s="205" t="s">
        <v>244</v>
      </c>
      <c r="B788" s="205" t="s">
        <v>3850</v>
      </c>
      <c r="C788" s="200" t="s">
        <v>3716</v>
      </c>
      <c r="D788" s="209" t="s">
        <v>152</v>
      </c>
      <c r="E788" s="209"/>
      <c r="F788" s="206">
        <v>51793</v>
      </c>
      <c r="G788" s="206">
        <v>5179</v>
      </c>
      <c r="H788" s="206">
        <v>259</v>
      </c>
      <c r="I788" s="202">
        <f t="shared" si="12"/>
        <v>46873</v>
      </c>
      <c r="J788" s="205" t="s">
        <v>38</v>
      </c>
      <c r="K788" s="205" t="s">
        <v>23</v>
      </c>
      <c r="L788" s="209" t="s">
        <v>1028</v>
      </c>
      <c r="M788" s="205" t="s">
        <v>3851</v>
      </c>
      <c r="N788" s="201" t="s">
        <v>1030</v>
      </c>
      <c r="O788" s="205" t="s">
        <v>652</v>
      </c>
      <c r="P788" s="205" t="s">
        <v>652</v>
      </c>
      <c r="Q788" s="208" t="s">
        <v>3835</v>
      </c>
      <c r="R788" s="208" t="s">
        <v>3836</v>
      </c>
      <c r="S788" s="208" t="s">
        <v>3716</v>
      </c>
    </row>
    <row r="789" spans="1:19" s="205" customFormat="1" x14ac:dyDescent="0.2">
      <c r="A789" s="205" t="s">
        <v>244</v>
      </c>
      <c r="B789" s="205" t="s">
        <v>3852</v>
      </c>
      <c r="C789" s="200" t="s">
        <v>3716</v>
      </c>
      <c r="D789" s="209" t="s">
        <v>152</v>
      </c>
      <c r="E789" s="209"/>
      <c r="F789" s="206">
        <v>51793</v>
      </c>
      <c r="G789" s="206">
        <v>5179</v>
      </c>
      <c r="H789" s="206">
        <v>259</v>
      </c>
      <c r="I789" s="202">
        <f t="shared" si="12"/>
        <v>46873</v>
      </c>
      <c r="J789" s="205" t="s">
        <v>38</v>
      </c>
      <c r="K789" s="205" t="s">
        <v>23</v>
      </c>
      <c r="L789" s="209" t="s">
        <v>1028</v>
      </c>
      <c r="M789" s="205" t="s">
        <v>3853</v>
      </c>
      <c r="N789" s="201" t="s">
        <v>1030</v>
      </c>
      <c r="O789" s="205" t="s">
        <v>652</v>
      </c>
      <c r="P789" s="205" t="s">
        <v>652</v>
      </c>
      <c r="Q789" s="208" t="s">
        <v>3835</v>
      </c>
      <c r="R789" s="208" t="s">
        <v>3836</v>
      </c>
      <c r="S789" s="208" t="s">
        <v>3716</v>
      </c>
    </row>
    <row r="790" spans="1:19" s="205" customFormat="1" hidden="1" x14ac:dyDescent="0.2">
      <c r="A790" s="205" t="s">
        <v>244</v>
      </c>
      <c r="B790" s="205" t="s">
        <v>3854</v>
      </c>
      <c r="C790" s="200" t="s">
        <v>3716</v>
      </c>
      <c r="D790" s="209" t="s">
        <v>152</v>
      </c>
      <c r="E790" s="209"/>
      <c r="F790" s="206">
        <v>27213</v>
      </c>
      <c r="G790" s="206">
        <v>2721</v>
      </c>
      <c r="H790" s="206">
        <v>136</v>
      </c>
      <c r="I790" s="202">
        <f t="shared" si="12"/>
        <v>24628</v>
      </c>
      <c r="J790" s="205" t="s">
        <v>38</v>
      </c>
      <c r="K790" s="205" t="s">
        <v>23</v>
      </c>
      <c r="L790" s="209" t="s">
        <v>1042</v>
      </c>
      <c r="M790" s="205" t="s">
        <v>3855</v>
      </c>
      <c r="N790" s="201" t="s">
        <v>1030</v>
      </c>
      <c r="O790" s="205" t="s">
        <v>652</v>
      </c>
      <c r="P790" s="205" t="s">
        <v>652</v>
      </c>
      <c r="Q790" s="216" t="s">
        <v>724</v>
      </c>
      <c r="R790" s="216" t="s">
        <v>725</v>
      </c>
      <c r="S790" s="218" t="s">
        <v>3716</v>
      </c>
    </row>
    <row r="791" spans="1:19" s="205" customFormat="1" hidden="1" x14ac:dyDescent="0.2">
      <c r="A791" s="205" t="s">
        <v>244</v>
      </c>
      <c r="B791" s="205" t="s">
        <v>3856</v>
      </c>
      <c r="C791" s="200" t="s">
        <v>3716</v>
      </c>
      <c r="D791" s="209" t="s">
        <v>152</v>
      </c>
      <c r="E791" s="209"/>
      <c r="F791" s="206">
        <v>52535</v>
      </c>
      <c r="G791" s="206">
        <v>5254</v>
      </c>
      <c r="H791" s="206">
        <v>263</v>
      </c>
      <c r="I791" s="202">
        <f t="shared" si="12"/>
        <v>47544</v>
      </c>
      <c r="J791" s="205" t="s">
        <v>38</v>
      </c>
      <c r="K791" s="205" t="s">
        <v>23</v>
      </c>
      <c r="L791" s="209" t="s">
        <v>1028</v>
      </c>
      <c r="M791" s="205" t="s">
        <v>3857</v>
      </c>
      <c r="N791" s="201" t="s">
        <v>1030</v>
      </c>
      <c r="O791" s="205" t="s">
        <v>652</v>
      </c>
      <c r="P791" s="205" t="s">
        <v>652</v>
      </c>
      <c r="Q791" s="208" t="s">
        <v>653</v>
      </c>
      <c r="R791" s="208" t="s">
        <v>654</v>
      </c>
      <c r="S791" s="208" t="s">
        <v>3716</v>
      </c>
    </row>
    <row r="792" spans="1:19" s="205" customFormat="1" hidden="1" x14ac:dyDescent="0.2">
      <c r="A792" s="205" t="s">
        <v>244</v>
      </c>
      <c r="B792" s="205" t="s">
        <v>3858</v>
      </c>
      <c r="C792" s="200" t="s">
        <v>3716</v>
      </c>
      <c r="D792" s="209" t="s">
        <v>152</v>
      </c>
      <c r="E792" s="209"/>
      <c r="F792" s="206">
        <v>52535</v>
      </c>
      <c r="G792" s="206">
        <v>5254</v>
      </c>
      <c r="H792" s="206">
        <v>263</v>
      </c>
      <c r="I792" s="202">
        <f t="shared" si="12"/>
        <v>47544</v>
      </c>
      <c r="J792" s="205" t="s">
        <v>38</v>
      </c>
      <c r="K792" s="205" t="s">
        <v>23</v>
      </c>
      <c r="L792" s="209" t="s">
        <v>1028</v>
      </c>
      <c r="M792" s="205" t="s">
        <v>3859</v>
      </c>
      <c r="N792" s="201" t="s">
        <v>1030</v>
      </c>
      <c r="O792" s="205" t="s">
        <v>652</v>
      </c>
      <c r="P792" s="205" t="s">
        <v>652</v>
      </c>
      <c r="Q792" s="208" t="s">
        <v>653</v>
      </c>
      <c r="R792" s="208" t="s">
        <v>654</v>
      </c>
      <c r="S792" s="208" t="s">
        <v>3716</v>
      </c>
    </row>
    <row r="793" spans="1:19" s="205" customFormat="1" hidden="1" x14ac:dyDescent="0.2">
      <c r="A793" s="205" t="s">
        <v>244</v>
      </c>
      <c r="B793" s="205" t="s">
        <v>3860</v>
      </c>
      <c r="C793" s="200" t="s">
        <v>3716</v>
      </c>
      <c r="D793" s="209" t="s">
        <v>152</v>
      </c>
      <c r="E793" s="209"/>
      <c r="F793" s="206">
        <v>65669</v>
      </c>
      <c r="G793" s="206">
        <v>6567</v>
      </c>
      <c r="H793" s="206">
        <v>328</v>
      </c>
      <c r="I793" s="202">
        <f t="shared" si="12"/>
        <v>59430</v>
      </c>
      <c r="J793" s="205" t="s">
        <v>38</v>
      </c>
      <c r="K793" s="205" t="s">
        <v>23</v>
      </c>
      <c r="L793" s="209" t="s">
        <v>1028</v>
      </c>
      <c r="M793" s="205" t="s">
        <v>3861</v>
      </c>
      <c r="N793" s="201" t="s">
        <v>1030</v>
      </c>
      <c r="O793" s="205" t="s">
        <v>652</v>
      </c>
      <c r="P793" s="205" t="s">
        <v>652</v>
      </c>
      <c r="Q793" s="208" t="s">
        <v>653</v>
      </c>
      <c r="R793" s="208" t="s">
        <v>654</v>
      </c>
      <c r="S793" s="208" t="s">
        <v>3716</v>
      </c>
    </row>
    <row r="794" spans="1:19" s="205" customFormat="1" hidden="1" x14ac:dyDescent="0.2">
      <c r="A794" s="205" t="s">
        <v>244</v>
      </c>
      <c r="B794" s="205" t="s">
        <v>3862</v>
      </c>
      <c r="C794" s="200" t="s">
        <v>3716</v>
      </c>
      <c r="D794" s="209" t="s">
        <v>152</v>
      </c>
      <c r="E794" s="209"/>
      <c r="F794" s="206">
        <v>40412</v>
      </c>
      <c r="G794" s="206">
        <v>4041</v>
      </c>
      <c r="H794" s="206">
        <v>202</v>
      </c>
      <c r="I794" s="202">
        <f t="shared" si="12"/>
        <v>36573</v>
      </c>
      <c r="J794" s="205" t="s">
        <v>38</v>
      </c>
      <c r="K794" s="205" t="s">
        <v>23</v>
      </c>
      <c r="L794" s="209" t="s">
        <v>1028</v>
      </c>
      <c r="M794" s="205" t="s">
        <v>3863</v>
      </c>
      <c r="N794" s="201" t="s">
        <v>1030</v>
      </c>
      <c r="O794" s="205" t="s">
        <v>652</v>
      </c>
      <c r="P794" s="205" t="s">
        <v>652</v>
      </c>
      <c r="Q794" s="208" t="s">
        <v>653</v>
      </c>
      <c r="R794" s="208" t="s">
        <v>654</v>
      </c>
      <c r="S794" s="208" t="s">
        <v>3716</v>
      </c>
    </row>
    <row r="795" spans="1:19" s="199" customFormat="1" hidden="1" x14ac:dyDescent="0.2">
      <c r="A795" s="199" t="s">
        <v>244</v>
      </c>
      <c r="B795" s="199" t="s">
        <v>3864</v>
      </c>
      <c r="C795" s="200" t="s">
        <v>3716</v>
      </c>
      <c r="D795" s="201" t="s">
        <v>152</v>
      </c>
      <c r="E795" s="201"/>
      <c r="F795" s="202">
        <v>29935</v>
      </c>
      <c r="G795" s="202">
        <v>2994</v>
      </c>
      <c r="H795" s="202">
        <v>150</v>
      </c>
      <c r="I795" s="202">
        <f t="shared" si="12"/>
        <v>27091</v>
      </c>
      <c r="J795" s="199" t="s">
        <v>38</v>
      </c>
      <c r="K795" s="199" t="s">
        <v>23</v>
      </c>
      <c r="L795" s="201" t="s">
        <v>1028</v>
      </c>
      <c r="M795" s="199" t="s">
        <v>3865</v>
      </c>
      <c r="N795" s="201" t="s">
        <v>1030</v>
      </c>
      <c r="O795" s="199" t="s">
        <v>652</v>
      </c>
      <c r="P795" s="199" t="s">
        <v>652</v>
      </c>
      <c r="Q795" s="204" t="s">
        <v>653</v>
      </c>
      <c r="R795" s="204" t="s">
        <v>654</v>
      </c>
      <c r="S795" s="204" t="s">
        <v>3716</v>
      </c>
    </row>
    <row r="796" spans="1:19" s="205" customFormat="1" hidden="1" x14ac:dyDescent="0.2">
      <c r="A796" s="205" t="s">
        <v>3241</v>
      </c>
      <c r="B796" s="205" t="s">
        <v>3242</v>
      </c>
      <c r="C796" s="200" t="s">
        <v>3716</v>
      </c>
      <c r="D796" s="205" t="s">
        <v>166</v>
      </c>
      <c r="F796" s="206">
        <v>-39367</v>
      </c>
      <c r="G796" s="206">
        <v>-3937</v>
      </c>
      <c r="H796" s="206">
        <v>-197</v>
      </c>
      <c r="I796" s="202">
        <f t="shared" si="12"/>
        <v>-35627</v>
      </c>
      <c r="J796" s="205" t="s">
        <v>52</v>
      </c>
      <c r="K796" s="205" t="s">
        <v>23</v>
      </c>
      <c r="L796" s="209" t="s">
        <v>1068</v>
      </c>
      <c r="M796" s="205" t="s">
        <v>3866</v>
      </c>
      <c r="N796" s="201" t="s">
        <v>1030</v>
      </c>
      <c r="O796" s="205" t="s">
        <v>1190</v>
      </c>
      <c r="P796" s="205" t="s">
        <v>1191</v>
      </c>
      <c r="Q796" s="208" t="s">
        <v>846</v>
      </c>
      <c r="R796" s="208" t="s">
        <v>2922</v>
      </c>
      <c r="S796" s="208" t="s">
        <v>3716</v>
      </c>
    </row>
    <row r="797" spans="1:19" s="205" customFormat="1" hidden="1" x14ac:dyDescent="0.2">
      <c r="A797" s="205" t="s">
        <v>213</v>
      </c>
      <c r="B797" s="205" t="s">
        <v>972</v>
      </c>
      <c r="C797" s="200" t="s">
        <v>3716</v>
      </c>
      <c r="D797" s="209" t="s">
        <v>152</v>
      </c>
      <c r="E797" s="209"/>
      <c r="F797" s="206">
        <v>25831</v>
      </c>
      <c r="G797" s="206">
        <v>2583</v>
      </c>
      <c r="H797" s="206">
        <v>129</v>
      </c>
      <c r="I797" s="202">
        <f t="shared" si="12"/>
        <v>23377</v>
      </c>
      <c r="J797" s="205" t="s">
        <v>22</v>
      </c>
      <c r="K797" s="205" t="s">
        <v>23</v>
      </c>
      <c r="L797" s="209" t="s">
        <v>1042</v>
      </c>
      <c r="M797" s="205" t="s">
        <v>3867</v>
      </c>
      <c r="N797" s="201" t="s">
        <v>1030</v>
      </c>
      <c r="O797" s="205" t="s">
        <v>652</v>
      </c>
      <c r="P797" s="205" t="s">
        <v>652</v>
      </c>
      <c r="Q797" s="208" t="s">
        <v>879</v>
      </c>
      <c r="R797" s="208" t="s">
        <v>971</v>
      </c>
      <c r="S797" s="208" t="s">
        <v>3716</v>
      </c>
    </row>
    <row r="798" spans="1:19" s="205" customFormat="1" hidden="1" x14ac:dyDescent="0.2">
      <c r="A798" s="205" t="s">
        <v>221</v>
      </c>
      <c r="B798" s="205" t="s">
        <v>1062</v>
      </c>
      <c r="C798" s="200" t="s">
        <v>3716</v>
      </c>
      <c r="D798" s="209" t="s">
        <v>152</v>
      </c>
      <c r="E798" s="209"/>
      <c r="F798" s="206">
        <v>110520</v>
      </c>
      <c r="G798" s="206">
        <v>11052</v>
      </c>
      <c r="H798" s="206">
        <v>553</v>
      </c>
      <c r="I798" s="202">
        <f t="shared" si="12"/>
        <v>100021</v>
      </c>
      <c r="J798" s="205" t="s">
        <v>224</v>
      </c>
      <c r="K798" s="205" t="s">
        <v>23</v>
      </c>
      <c r="L798" s="209" t="s">
        <v>1042</v>
      </c>
      <c r="M798" s="205" t="s">
        <v>3868</v>
      </c>
      <c r="N798" s="209" t="s">
        <v>1030</v>
      </c>
      <c r="O798" s="205" t="s">
        <v>652</v>
      </c>
      <c r="P798" s="205" t="s">
        <v>652</v>
      </c>
      <c r="Q798" s="208" t="s">
        <v>987</v>
      </c>
      <c r="R798" s="208" t="s">
        <v>988</v>
      </c>
      <c r="S798" s="208" t="s">
        <v>3716</v>
      </c>
    </row>
    <row r="799" spans="1:19" s="205" customFormat="1" hidden="1" x14ac:dyDescent="0.2">
      <c r="A799" s="205" t="s">
        <v>313</v>
      </c>
      <c r="B799" s="205" t="s">
        <v>758</v>
      </c>
      <c r="C799" s="200" t="s">
        <v>3716</v>
      </c>
      <c r="D799" s="209" t="s">
        <v>166</v>
      </c>
      <c r="E799" s="209"/>
      <c r="F799" s="206">
        <v>-347211</v>
      </c>
      <c r="G799" s="206">
        <v>-34721</v>
      </c>
      <c r="H799" s="206">
        <v>-1736</v>
      </c>
      <c r="I799" s="202">
        <f t="shared" si="12"/>
        <v>-314226</v>
      </c>
      <c r="J799" s="205" t="s">
        <v>22</v>
      </c>
      <c r="K799" s="205" t="s">
        <v>23</v>
      </c>
      <c r="L799" s="209" t="s">
        <v>1068</v>
      </c>
      <c r="M799" s="205" t="s">
        <v>3869</v>
      </c>
      <c r="N799" s="201" t="s">
        <v>1030</v>
      </c>
      <c r="O799" s="205" t="s">
        <v>1382</v>
      </c>
      <c r="P799" s="205" t="s">
        <v>1382</v>
      </c>
      <c r="Q799" s="208" t="s">
        <v>651</v>
      </c>
      <c r="R799" s="208" t="s">
        <v>673</v>
      </c>
      <c r="S799" s="208" t="s">
        <v>3716</v>
      </c>
    </row>
    <row r="800" spans="1:19" s="205" customFormat="1" hidden="1" x14ac:dyDescent="0.2">
      <c r="A800" s="205" t="s">
        <v>245</v>
      </c>
      <c r="B800" s="205" t="s">
        <v>3870</v>
      </c>
      <c r="C800" s="200" t="s">
        <v>3716</v>
      </c>
      <c r="D800" s="209" t="s">
        <v>152</v>
      </c>
      <c r="E800" s="209"/>
      <c r="F800" s="206">
        <v>38001</v>
      </c>
      <c r="G800" s="206">
        <v>3800</v>
      </c>
      <c r="H800" s="206">
        <v>190</v>
      </c>
      <c r="I800" s="202">
        <f t="shared" si="12"/>
        <v>34391</v>
      </c>
      <c r="J800" s="205" t="s">
        <v>489</v>
      </c>
      <c r="K800" s="205" t="s">
        <v>23</v>
      </c>
      <c r="L800" s="209" t="s">
        <v>1042</v>
      </c>
      <c r="M800" s="205" t="s">
        <v>3871</v>
      </c>
      <c r="N800" s="201" t="s">
        <v>1030</v>
      </c>
      <c r="O800" s="205" t="s">
        <v>652</v>
      </c>
      <c r="P800" s="205" t="s">
        <v>652</v>
      </c>
      <c r="Q800" s="208" t="s">
        <v>987</v>
      </c>
      <c r="R800" s="208" t="s">
        <v>988</v>
      </c>
      <c r="S800" s="208" t="s">
        <v>3716</v>
      </c>
    </row>
    <row r="801" spans="1:24" s="205" customFormat="1" hidden="1" x14ac:dyDescent="0.2">
      <c r="A801" s="205" t="s">
        <v>245</v>
      </c>
      <c r="B801" s="205" t="s">
        <v>3872</v>
      </c>
      <c r="C801" s="200" t="s">
        <v>3716</v>
      </c>
      <c r="D801" s="209" t="s">
        <v>152</v>
      </c>
      <c r="E801" s="209"/>
      <c r="F801" s="206">
        <v>31332</v>
      </c>
      <c r="G801" s="206">
        <v>3133</v>
      </c>
      <c r="H801" s="206">
        <v>157</v>
      </c>
      <c r="I801" s="202">
        <f t="shared" si="12"/>
        <v>28356</v>
      </c>
      <c r="J801" s="205" t="s">
        <v>489</v>
      </c>
      <c r="K801" s="205" t="s">
        <v>23</v>
      </c>
      <c r="L801" s="209" t="s">
        <v>1042</v>
      </c>
      <c r="M801" s="205" t="s">
        <v>3873</v>
      </c>
      <c r="N801" s="201" t="s">
        <v>1030</v>
      </c>
      <c r="O801" s="205" t="s">
        <v>652</v>
      </c>
      <c r="P801" s="205" t="s">
        <v>652</v>
      </c>
      <c r="Q801" s="208" t="s">
        <v>987</v>
      </c>
      <c r="R801" s="208" t="s">
        <v>988</v>
      </c>
      <c r="S801" s="208" t="s">
        <v>3716</v>
      </c>
    </row>
    <row r="802" spans="1:24" s="205" customFormat="1" hidden="1" x14ac:dyDescent="0.2">
      <c r="A802" s="205" t="s">
        <v>196</v>
      </c>
      <c r="B802" s="205" t="s">
        <v>539</v>
      </c>
      <c r="C802" s="200" t="s">
        <v>3716</v>
      </c>
      <c r="D802" s="209" t="s">
        <v>152</v>
      </c>
      <c r="E802" s="209"/>
      <c r="F802" s="206">
        <v>62463</v>
      </c>
      <c r="G802" s="206">
        <v>6246</v>
      </c>
      <c r="H802" s="206">
        <v>312</v>
      </c>
      <c r="I802" s="202">
        <f t="shared" si="12"/>
        <v>56529</v>
      </c>
      <c r="J802" s="205" t="s">
        <v>59</v>
      </c>
      <c r="K802" s="205" t="s">
        <v>23</v>
      </c>
      <c r="L802" s="209" t="s">
        <v>1042</v>
      </c>
      <c r="M802" s="205" t="s">
        <v>3874</v>
      </c>
      <c r="N802" s="201" t="s">
        <v>1030</v>
      </c>
      <c r="O802" s="205" t="s">
        <v>652</v>
      </c>
      <c r="P802" s="205" t="s">
        <v>652</v>
      </c>
      <c r="Q802" s="208" t="s">
        <v>688</v>
      </c>
      <c r="R802" s="208" t="s">
        <v>689</v>
      </c>
      <c r="S802" s="208" t="s">
        <v>3716</v>
      </c>
    </row>
    <row r="803" spans="1:24" s="205" customFormat="1" hidden="1" x14ac:dyDescent="0.2">
      <c r="A803" s="205" t="s">
        <v>3875</v>
      </c>
      <c r="B803" s="205" t="s">
        <v>3876</v>
      </c>
      <c r="C803" s="200" t="s">
        <v>3716</v>
      </c>
      <c r="D803" s="205" t="s">
        <v>152</v>
      </c>
      <c r="F803" s="206">
        <v>417137</v>
      </c>
      <c r="G803" s="206">
        <v>41714</v>
      </c>
      <c r="H803" s="206">
        <v>2086</v>
      </c>
      <c r="I803" s="202">
        <f t="shared" si="12"/>
        <v>377509</v>
      </c>
      <c r="J803" s="205" t="s">
        <v>50</v>
      </c>
      <c r="K803" s="205" t="s">
        <v>23</v>
      </c>
      <c r="L803" s="205" t="s">
        <v>1058</v>
      </c>
      <c r="M803" s="205" t="s">
        <v>3877</v>
      </c>
      <c r="N803" s="201" t="s">
        <v>1030</v>
      </c>
      <c r="O803" s="205" t="s">
        <v>1488</v>
      </c>
      <c r="P803" s="205" t="s">
        <v>1191</v>
      </c>
      <c r="Q803" s="208" t="s">
        <v>3279</v>
      </c>
      <c r="R803" s="208" t="s">
        <v>3280</v>
      </c>
      <c r="S803" s="208" t="s">
        <v>3716</v>
      </c>
    </row>
    <row r="804" spans="1:24" s="205" customFormat="1" hidden="1" x14ac:dyDescent="0.2">
      <c r="A804" s="205" t="s">
        <v>3878</v>
      </c>
      <c r="B804" s="205" t="s">
        <v>3879</v>
      </c>
      <c r="C804" s="200" t="s">
        <v>3716</v>
      </c>
      <c r="D804" s="205" t="s">
        <v>152</v>
      </c>
      <c r="F804" s="206">
        <v>101827</v>
      </c>
      <c r="G804" s="206">
        <v>10183</v>
      </c>
      <c r="H804" s="206">
        <v>509</v>
      </c>
      <c r="I804" s="202">
        <f t="shared" si="12"/>
        <v>92153</v>
      </c>
      <c r="J804" s="205" t="s">
        <v>54</v>
      </c>
      <c r="K804" s="205" t="s">
        <v>23</v>
      </c>
      <c r="L804" s="205" t="s">
        <v>1058</v>
      </c>
      <c r="M804" s="205" t="s">
        <v>3880</v>
      </c>
      <c r="N804" s="201" t="s">
        <v>1030</v>
      </c>
      <c r="O804" s="205" t="s">
        <v>652</v>
      </c>
      <c r="P804" s="205" t="s">
        <v>652</v>
      </c>
      <c r="Q804" s="208" t="s">
        <v>2747</v>
      </c>
      <c r="R804" s="208" t="s">
        <v>3881</v>
      </c>
      <c r="S804" s="208" t="s">
        <v>3716</v>
      </c>
    </row>
    <row r="805" spans="1:24" s="205" customFormat="1" hidden="1" x14ac:dyDescent="0.2">
      <c r="A805" s="209" t="s">
        <v>3882</v>
      </c>
      <c r="B805" s="209" t="s">
        <v>3883</v>
      </c>
      <c r="C805" s="234" t="s">
        <v>3716</v>
      </c>
      <c r="D805" s="209" t="s">
        <v>152</v>
      </c>
      <c r="E805" s="209"/>
      <c r="F805" s="211">
        <v>2356678</v>
      </c>
      <c r="G805" s="211">
        <v>235668</v>
      </c>
      <c r="H805" s="211">
        <v>11783</v>
      </c>
      <c r="I805" s="202">
        <f t="shared" si="12"/>
        <v>2132793</v>
      </c>
      <c r="J805" s="209" t="s">
        <v>44</v>
      </c>
      <c r="K805" s="209" t="s">
        <v>23</v>
      </c>
      <c r="L805" s="209" t="s">
        <v>1058</v>
      </c>
      <c r="M805" s="209" t="s">
        <v>3884</v>
      </c>
      <c r="N805" s="201" t="s">
        <v>1030</v>
      </c>
      <c r="O805" s="209" t="s">
        <v>1274</v>
      </c>
      <c r="P805" s="209" t="s">
        <v>1111</v>
      </c>
      <c r="Q805" s="213" t="s">
        <v>846</v>
      </c>
      <c r="R805" s="213" t="s">
        <v>2922</v>
      </c>
      <c r="S805" s="213" t="s">
        <v>3716</v>
      </c>
      <c r="T805" s="209"/>
    </row>
    <row r="806" spans="1:24" s="205" customFormat="1" hidden="1" x14ac:dyDescent="0.2">
      <c r="A806" s="209" t="s">
        <v>63</v>
      </c>
      <c r="B806" s="209" t="s">
        <v>555</v>
      </c>
      <c r="C806" s="234" t="s">
        <v>3716</v>
      </c>
      <c r="D806" s="209" t="s">
        <v>166</v>
      </c>
      <c r="E806" s="209"/>
      <c r="F806" s="211">
        <v>-95457</v>
      </c>
      <c r="G806" s="211">
        <v>-9546</v>
      </c>
      <c r="H806" s="211">
        <v>-477</v>
      </c>
      <c r="I806" s="202">
        <f t="shared" si="12"/>
        <v>-86388</v>
      </c>
      <c r="J806" s="209" t="s">
        <v>22</v>
      </c>
      <c r="K806" s="209" t="s">
        <v>23</v>
      </c>
      <c r="L806" s="209" t="s">
        <v>1151</v>
      </c>
      <c r="M806" s="209" t="s">
        <v>3885</v>
      </c>
      <c r="N806" s="201" t="s">
        <v>1030</v>
      </c>
      <c r="O806" s="209" t="s">
        <v>652</v>
      </c>
      <c r="P806" s="209" t="s">
        <v>652</v>
      </c>
      <c r="Q806" s="213" t="s">
        <v>858</v>
      </c>
      <c r="R806" s="213" t="s">
        <v>859</v>
      </c>
      <c r="S806" s="213" t="s">
        <v>3716</v>
      </c>
      <c r="T806" s="209"/>
      <c r="U806" s="209"/>
      <c r="V806" s="209"/>
      <c r="W806" s="209"/>
      <c r="X806" s="209"/>
    </row>
    <row r="807" spans="1:24" s="205" customFormat="1" hidden="1" x14ac:dyDescent="0.2">
      <c r="A807" s="205" t="s">
        <v>1298</v>
      </c>
      <c r="B807" s="205" t="s">
        <v>1299</v>
      </c>
      <c r="C807" s="200" t="s">
        <v>3716</v>
      </c>
      <c r="D807" s="205" t="s">
        <v>152</v>
      </c>
      <c r="F807" s="206">
        <v>19744</v>
      </c>
      <c r="G807" s="206">
        <v>0</v>
      </c>
      <c r="H807" s="206">
        <v>0</v>
      </c>
      <c r="I807" s="202">
        <f t="shared" si="12"/>
        <v>19744</v>
      </c>
      <c r="J807" s="205" t="s">
        <v>25</v>
      </c>
      <c r="K807" s="205" t="s">
        <v>214</v>
      </c>
      <c r="L807" s="205" t="s">
        <v>1042</v>
      </c>
      <c r="M807" s="205" t="s">
        <v>3886</v>
      </c>
      <c r="N807" s="201" t="s">
        <v>1301</v>
      </c>
      <c r="O807" s="205" t="s">
        <v>1302</v>
      </c>
      <c r="P807" s="205" t="s">
        <v>1066</v>
      </c>
      <c r="Q807" s="208" t="s">
        <v>866</v>
      </c>
      <c r="R807" s="208" t="s">
        <v>986</v>
      </c>
      <c r="S807" s="208" t="s">
        <v>3716</v>
      </c>
      <c r="U807" s="209"/>
      <c r="V807" s="209"/>
      <c r="W807" s="209"/>
      <c r="X807" s="209"/>
    </row>
    <row r="808" spans="1:24" s="205" customFormat="1" hidden="1" x14ac:dyDescent="0.2">
      <c r="A808" s="209" t="s">
        <v>164</v>
      </c>
      <c r="B808" s="209" t="s">
        <v>301</v>
      </c>
      <c r="C808" s="234" t="s">
        <v>3716</v>
      </c>
      <c r="D808" s="209" t="s">
        <v>152</v>
      </c>
      <c r="E808" s="209"/>
      <c r="F808" s="211">
        <v>30756</v>
      </c>
      <c r="G808" s="206">
        <v>0</v>
      </c>
      <c r="H808" s="206">
        <v>0</v>
      </c>
      <c r="I808" s="202">
        <f t="shared" si="12"/>
        <v>30756</v>
      </c>
      <c r="J808" s="209" t="s">
        <v>25</v>
      </c>
      <c r="K808" s="209" t="s">
        <v>214</v>
      </c>
      <c r="L808" s="209" t="s">
        <v>1042</v>
      </c>
      <c r="M808" s="209" t="s">
        <v>3887</v>
      </c>
      <c r="N808" s="201" t="s">
        <v>1030</v>
      </c>
      <c r="O808" s="209" t="s">
        <v>652</v>
      </c>
      <c r="P808" s="209" t="s">
        <v>652</v>
      </c>
      <c r="Q808" s="213" t="s">
        <v>491</v>
      </c>
      <c r="R808" s="213" t="s">
        <v>884</v>
      </c>
      <c r="S808" s="213" t="s">
        <v>3716</v>
      </c>
      <c r="T808" s="209"/>
      <c r="U808" s="209"/>
      <c r="V808" s="209"/>
      <c r="W808" s="209"/>
      <c r="X808" s="209"/>
    </row>
    <row r="809" spans="1:24" s="205" customFormat="1" hidden="1" x14ac:dyDescent="0.2">
      <c r="A809" s="209" t="s">
        <v>165</v>
      </c>
      <c r="B809" s="209" t="s">
        <v>302</v>
      </c>
      <c r="C809" s="234" t="s">
        <v>3716</v>
      </c>
      <c r="D809" s="209" t="s">
        <v>152</v>
      </c>
      <c r="E809" s="209"/>
      <c r="F809" s="211">
        <v>59515</v>
      </c>
      <c r="G809" s="206">
        <v>0</v>
      </c>
      <c r="H809" s="206">
        <v>0</v>
      </c>
      <c r="I809" s="202">
        <f t="shared" si="12"/>
        <v>59515</v>
      </c>
      <c r="J809" s="209" t="s">
        <v>25</v>
      </c>
      <c r="K809" s="209" t="s">
        <v>214</v>
      </c>
      <c r="L809" s="209" t="s">
        <v>1042</v>
      </c>
      <c r="M809" s="209" t="s">
        <v>3888</v>
      </c>
      <c r="N809" s="201" t="s">
        <v>1030</v>
      </c>
      <c r="O809" s="209" t="s">
        <v>652</v>
      </c>
      <c r="P809" s="209" t="s">
        <v>652</v>
      </c>
      <c r="Q809" s="213" t="s">
        <v>491</v>
      </c>
      <c r="R809" s="213" t="s">
        <v>884</v>
      </c>
      <c r="S809" s="213" t="s">
        <v>3716</v>
      </c>
      <c r="T809" s="209"/>
      <c r="U809" s="209"/>
      <c r="V809" s="209"/>
      <c r="W809" s="209"/>
      <c r="X809" s="209"/>
    </row>
    <row r="810" spans="1:24" s="205" customFormat="1" hidden="1" x14ac:dyDescent="0.2">
      <c r="A810" s="209" t="s">
        <v>165</v>
      </c>
      <c r="B810" s="209" t="s">
        <v>302</v>
      </c>
      <c r="C810" s="234" t="s">
        <v>3716</v>
      </c>
      <c r="D810" s="209" t="s">
        <v>152</v>
      </c>
      <c r="E810" s="209"/>
      <c r="F810" s="211">
        <v>168669</v>
      </c>
      <c r="G810" s="206">
        <v>0</v>
      </c>
      <c r="H810" s="206">
        <v>0</v>
      </c>
      <c r="I810" s="202">
        <f t="shared" si="12"/>
        <v>168669</v>
      </c>
      <c r="J810" s="209" t="s">
        <v>25</v>
      </c>
      <c r="K810" s="209" t="s">
        <v>214</v>
      </c>
      <c r="L810" s="209" t="s">
        <v>1042</v>
      </c>
      <c r="M810" s="209" t="s">
        <v>3889</v>
      </c>
      <c r="N810" s="201" t="s">
        <v>1030</v>
      </c>
      <c r="O810" s="209" t="s">
        <v>652</v>
      </c>
      <c r="P810" s="209" t="s">
        <v>652</v>
      </c>
      <c r="Q810" s="213" t="s">
        <v>491</v>
      </c>
      <c r="R810" s="213" t="s">
        <v>884</v>
      </c>
      <c r="S810" s="213" t="s">
        <v>3716</v>
      </c>
      <c r="T810" s="209"/>
      <c r="U810" s="209"/>
      <c r="V810" s="209"/>
      <c r="W810" s="209"/>
      <c r="X810" s="209"/>
    </row>
    <row r="811" spans="1:24" s="205" customFormat="1" hidden="1" x14ac:dyDescent="0.2">
      <c r="A811" s="205" t="s">
        <v>3714</v>
      </c>
      <c r="B811" s="205" t="s">
        <v>3715</v>
      </c>
      <c r="C811" s="200" t="s">
        <v>3890</v>
      </c>
      <c r="D811" s="209" t="s">
        <v>166</v>
      </c>
      <c r="E811" s="209"/>
      <c r="F811" s="206">
        <v>-239521</v>
      </c>
      <c r="G811" s="206">
        <v>-23952</v>
      </c>
      <c r="H811" s="206">
        <v>-2395</v>
      </c>
      <c r="I811" s="202">
        <f t="shared" si="12"/>
        <v>-217964</v>
      </c>
      <c r="J811" s="205" t="s">
        <v>82</v>
      </c>
      <c r="K811" s="205" t="s">
        <v>29</v>
      </c>
      <c r="L811" s="209" t="s">
        <v>1058</v>
      </c>
      <c r="M811" s="205" t="s">
        <v>3891</v>
      </c>
      <c r="N811" s="201" t="s">
        <v>1030</v>
      </c>
      <c r="O811" s="205" t="s">
        <v>1274</v>
      </c>
      <c r="P811" s="205" t="s">
        <v>1111</v>
      </c>
      <c r="Q811" s="208" t="s">
        <v>2191</v>
      </c>
      <c r="R811" s="208" t="s">
        <v>2192</v>
      </c>
      <c r="S811" s="208" t="s">
        <v>3890</v>
      </c>
    </row>
    <row r="812" spans="1:24" s="205" customFormat="1" hidden="1" x14ac:dyDescent="0.2">
      <c r="A812" s="205" t="s">
        <v>64</v>
      </c>
      <c r="B812" s="205" t="s">
        <v>514</v>
      </c>
      <c r="C812" s="200" t="s">
        <v>3890</v>
      </c>
      <c r="D812" s="209" t="s">
        <v>152</v>
      </c>
      <c r="E812" s="209"/>
      <c r="F812" s="206">
        <v>173871</v>
      </c>
      <c r="G812" s="206">
        <v>17387</v>
      </c>
      <c r="H812" s="206">
        <v>1739</v>
      </c>
      <c r="I812" s="202">
        <f t="shared" si="12"/>
        <v>158223</v>
      </c>
      <c r="J812" s="205" t="s">
        <v>31</v>
      </c>
      <c r="K812" s="205" t="s">
        <v>29</v>
      </c>
      <c r="L812" s="209" t="s">
        <v>1042</v>
      </c>
      <c r="M812" s="205" t="s">
        <v>3892</v>
      </c>
      <c r="N812" s="201" t="s">
        <v>1030</v>
      </c>
      <c r="O812" s="205" t="s">
        <v>652</v>
      </c>
      <c r="P812" s="205" t="s">
        <v>652</v>
      </c>
      <c r="Q812" s="208" t="s">
        <v>653</v>
      </c>
      <c r="R812" s="208" t="s">
        <v>654</v>
      </c>
      <c r="S812" s="208" t="s">
        <v>3890</v>
      </c>
    </row>
    <row r="813" spans="1:24" s="205" customFormat="1" hidden="1" x14ac:dyDescent="0.2">
      <c r="A813" s="205" t="s">
        <v>517</v>
      </c>
      <c r="B813" s="205" t="s">
        <v>2679</v>
      </c>
      <c r="C813" s="200" t="s">
        <v>3890</v>
      </c>
      <c r="D813" s="209" t="s">
        <v>152</v>
      </c>
      <c r="E813" s="209"/>
      <c r="F813" s="206">
        <v>1161639</v>
      </c>
      <c r="G813" s="206">
        <v>116164</v>
      </c>
      <c r="H813" s="206">
        <v>11616</v>
      </c>
      <c r="I813" s="202">
        <f t="shared" si="12"/>
        <v>1057091</v>
      </c>
      <c r="J813" s="205" t="s">
        <v>82</v>
      </c>
      <c r="K813" s="205" t="s">
        <v>29</v>
      </c>
      <c r="L813" s="209" t="s">
        <v>1028</v>
      </c>
      <c r="M813" s="205" t="s">
        <v>3893</v>
      </c>
      <c r="N813" s="201" t="s">
        <v>1030</v>
      </c>
      <c r="O813" s="205" t="s">
        <v>652</v>
      </c>
      <c r="P813" s="205" t="s">
        <v>652</v>
      </c>
      <c r="Q813" s="208" t="s">
        <v>2191</v>
      </c>
      <c r="R813" s="208" t="s">
        <v>2192</v>
      </c>
      <c r="S813" s="208" t="s">
        <v>3890</v>
      </c>
    </row>
    <row r="814" spans="1:24" s="205" customFormat="1" hidden="1" x14ac:dyDescent="0.2">
      <c r="A814" s="205" t="s">
        <v>517</v>
      </c>
      <c r="B814" s="205" t="s">
        <v>2679</v>
      </c>
      <c r="C814" s="200" t="s">
        <v>3890</v>
      </c>
      <c r="D814" s="209" t="s">
        <v>166</v>
      </c>
      <c r="E814" s="209"/>
      <c r="F814" s="206">
        <v>-1161637</v>
      </c>
      <c r="G814" s="206">
        <v>-116164</v>
      </c>
      <c r="H814" s="206">
        <v>-11616</v>
      </c>
      <c r="I814" s="202">
        <f t="shared" si="12"/>
        <v>-1057089</v>
      </c>
      <c r="J814" s="205" t="s">
        <v>82</v>
      </c>
      <c r="K814" s="205" t="s">
        <v>29</v>
      </c>
      <c r="L814" s="209" t="s">
        <v>1028</v>
      </c>
      <c r="M814" s="205" t="s">
        <v>3894</v>
      </c>
      <c r="N814" s="201" t="s">
        <v>1030</v>
      </c>
      <c r="O814" s="205" t="s">
        <v>652</v>
      </c>
      <c r="P814" s="205" t="s">
        <v>652</v>
      </c>
      <c r="Q814" s="216" t="s">
        <v>2191</v>
      </c>
      <c r="R814" s="216" t="s">
        <v>2192</v>
      </c>
      <c r="S814" s="208" t="s">
        <v>3890</v>
      </c>
    </row>
    <row r="815" spans="1:24" s="205" customFormat="1" hidden="1" x14ac:dyDescent="0.2">
      <c r="A815" s="205" t="s">
        <v>3389</v>
      </c>
      <c r="B815" s="205" t="s">
        <v>3390</v>
      </c>
      <c r="C815" s="200" t="s">
        <v>3890</v>
      </c>
      <c r="D815" s="205" t="s">
        <v>152</v>
      </c>
      <c r="F815" s="206">
        <v>166417</v>
      </c>
      <c r="G815" s="206">
        <v>16642</v>
      </c>
      <c r="H815" s="206">
        <v>1664</v>
      </c>
      <c r="I815" s="202">
        <f t="shared" si="12"/>
        <v>151439</v>
      </c>
      <c r="J815" s="205" t="s">
        <v>3391</v>
      </c>
      <c r="K815" s="205" t="s">
        <v>29</v>
      </c>
      <c r="L815" s="205" t="s">
        <v>1028</v>
      </c>
      <c r="M815" s="205" t="s">
        <v>3895</v>
      </c>
      <c r="N815" s="201" t="s">
        <v>1030</v>
      </c>
      <c r="O815" s="205" t="s">
        <v>652</v>
      </c>
      <c r="P815" s="205" t="s">
        <v>652</v>
      </c>
      <c r="Q815" s="208" t="s">
        <v>651</v>
      </c>
      <c r="R815" s="208" t="s">
        <v>673</v>
      </c>
      <c r="S815" s="208" t="s">
        <v>3890</v>
      </c>
    </row>
    <row r="816" spans="1:24" s="205" customFormat="1" hidden="1" x14ac:dyDescent="0.2">
      <c r="A816" s="205" t="s">
        <v>3389</v>
      </c>
      <c r="B816" s="205" t="s">
        <v>3390</v>
      </c>
      <c r="C816" s="200" t="s">
        <v>3890</v>
      </c>
      <c r="D816" s="205" t="s">
        <v>166</v>
      </c>
      <c r="F816" s="206">
        <v>-166415</v>
      </c>
      <c r="G816" s="206">
        <v>-16642</v>
      </c>
      <c r="H816" s="206">
        <v>-1664</v>
      </c>
      <c r="I816" s="202">
        <f t="shared" si="12"/>
        <v>-151437</v>
      </c>
      <c r="J816" s="205" t="s">
        <v>3391</v>
      </c>
      <c r="K816" s="205" t="s">
        <v>29</v>
      </c>
      <c r="L816" s="205" t="s">
        <v>1028</v>
      </c>
      <c r="M816" s="205" t="s">
        <v>3896</v>
      </c>
      <c r="N816" s="201" t="s">
        <v>1030</v>
      </c>
      <c r="O816" s="205" t="s">
        <v>652</v>
      </c>
      <c r="P816" s="205" t="s">
        <v>652</v>
      </c>
      <c r="Q816" s="208" t="s">
        <v>651</v>
      </c>
      <c r="R816" s="208" t="s">
        <v>673</v>
      </c>
      <c r="S816" s="208" t="s">
        <v>3890</v>
      </c>
    </row>
    <row r="817" spans="1:20" s="205" customFormat="1" hidden="1" x14ac:dyDescent="0.2">
      <c r="A817" s="205" t="s">
        <v>558</v>
      </c>
      <c r="B817" s="205" t="s">
        <v>559</v>
      </c>
      <c r="C817" s="200" t="s">
        <v>3890</v>
      </c>
      <c r="D817" s="205" t="s">
        <v>152</v>
      </c>
      <c r="F817" s="206">
        <v>108219</v>
      </c>
      <c r="G817" s="206">
        <v>10822</v>
      </c>
      <c r="H817" s="206">
        <v>1082</v>
      </c>
      <c r="I817" s="202">
        <f t="shared" si="12"/>
        <v>98479</v>
      </c>
      <c r="J817" s="205" t="s">
        <v>31</v>
      </c>
      <c r="K817" s="205" t="s">
        <v>29</v>
      </c>
      <c r="L817" s="205" t="s">
        <v>1042</v>
      </c>
      <c r="M817" s="205" t="s">
        <v>3897</v>
      </c>
      <c r="N817" s="209" t="s">
        <v>1030</v>
      </c>
      <c r="O817" s="205" t="s">
        <v>1046</v>
      </c>
      <c r="P817" s="205" t="s">
        <v>1047</v>
      </c>
      <c r="Q817" s="208" t="s">
        <v>653</v>
      </c>
      <c r="R817" s="208" t="s">
        <v>654</v>
      </c>
      <c r="S817" s="208" t="s">
        <v>3890</v>
      </c>
    </row>
    <row r="818" spans="1:20" s="205" customFormat="1" hidden="1" x14ac:dyDescent="0.2">
      <c r="A818" s="205" t="s">
        <v>3898</v>
      </c>
      <c r="B818" s="205" t="s">
        <v>3899</v>
      </c>
      <c r="C818" s="200" t="s">
        <v>3890</v>
      </c>
      <c r="D818" s="205" t="s">
        <v>152</v>
      </c>
      <c r="F818" s="206">
        <v>3444</v>
      </c>
      <c r="G818" s="206">
        <v>344</v>
      </c>
      <c r="H818" s="206">
        <v>34</v>
      </c>
      <c r="I818" s="202">
        <f t="shared" si="12"/>
        <v>3134</v>
      </c>
      <c r="J818" s="205" t="s">
        <v>928</v>
      </c>
      <c r="K818" s="205" t="s">
        <v>29</v>
      </c>
      <c r="L818" s="205" t="s">
        <v>1058</v>
      </c>
      <c r="M818" s="205" t="s">
        <v>3900</v>
      </c>
      <c r="N818" s="209" t="s">
        <v>2041</v>
      </c>
      <c r="O818" s="205" t="s">
        <v>652</v>
      </c>
      <c r="P818" s="205" t="s">
        <v>652</v>
      </c>
      <c r="Q818" s="208" t="s">
        <v>2394</v>
      </c>
      <c r="R818" s="208" t="s">
        <v>2395</v>
      </c>
      <c r="S818" s="208" t="s">
        <v>3890</v>
      </c>
    </row>
    <row r="819" spans="1:20" s="205" customFormat="1" hidden="1" x14ac:dyDescent="0.2">
      <c r="A819" s="205" t="s">
        <v>3901</v>
      </c>
      <c r="B819" s="205" t="s">
        <v>3902</v>
      </c>
      <c r="C819" s="200" t="s">
        <v>3890</v>
      </c>
      <c r="D819" s="205" t="s">
        <v>152</v>
      </c>
      <c r="F819" s="206">
        <v>107325</v>
      </c>
      <c r="G819" s="206">
        <v>10733</v>
      </c>
      <c r="H819" s="206">
        <v>1073</v>
      </c>
      <c r="I819" s="202">
        <f t="shared" si="12"/>
        <v>97665</v>
      </c>
      <c r="J819" s="205" t="s">
        <v>3903</v>
      </c>
      <c r="K819" s="205" t="s">
        <v>29</v>
      </c>
      <c r="L819" s="205" t="s">
        <v>1028</v>
      </c>
      <c r="M819" s="205" t="s">
        <v>3904</v>
      </c>
      <c r="N819" s="209" t="s">
        <v>1030</v>
      </c>
      <c r="O819" s="205" t="s">
        <v>652</v>
      </c>
      <c r="P819" s="205" t="s">
        <v>652</v>
      </c>
      <c r="Q819" s="214" t="s">
        <v>882</v>
      </c>
      <c r="R819" s="214" t="s">
        <v>2881</v>
      </c>
      <c r="S819" s="214" t="s">
        <v>3890</v>
      </c>
    </row>
    <row r="820" spans="1:20" s="205" customFormat="1" hidden="1" x14ac:dyDescent="0.2">
      <c r="A820" s="205" t="s">
        <v>470</v>
      </c>
      <c r="B820" s="205" t="s">
        <v>551</v>
      </c>
      <c r="C820" s="200" t="s">
        <v>3890</v>
      </c>
      <c r="D820" s="205" t="s">
        <v>152</v>
      </c>
      <c r="F820" s="206">
        <v>71313</v>
      </c>
      <c r="G820" s="206">
        <v>7131</v>
      </c>
      <c r="H820" s="206">
        <v>713</v>
      </c>
      <c r="I820" s="202">
        <f t="shared" si="12"/>
        <v>64895</v>
      </c>
      <c r="J820" s="205" t="s">
        <v>109</v>
      </c>
      <c r="K820" s="205" t="s">
        <v>29</v>
      </c>
      <c r="L820" s="205" t="s">
        <v>1042</v>
      </c>
      <c r="M820" s="205" t="s">
        <v>3905</v>
      </c>
      <c r="N820" s="209" t="s">
        <v>1030</v>
      </c>
      <c r="O820" s="205" t="s">
        <v>652</v>
      </c>
      <c r="P820" s="205" t="s">
        <v>652</v>
      </c>
      <c r="Q820" s="214" t="s">
        <v>705</v>
      </c>
      <c r="R820" s="214" t="s">
        <v>706</v>
      </c>
      <c r="S820" s="214" t="s">
        <v>3890</v>
      </c>
    </row>
    <row r="821" spans="1:20" s="205" customFormat="1" hidden="1" x14ac:dyDescent="0.2">
      <c r="A821" s="209" t="s">
        <v>441</v>
      </c>
      <c r="B821" s="209" t="s">
        <v>1084</v>
      </c>
      <c r="C821" s="234" t="s">
        <v>3890</v>
      </c>
      <c r="D821" s="209" t="s">
        <v>152</v>
      </c>
      <c r="E821" s="209"/>
      <c r="F821" s="211">
        <v>130189</v>
      </c>
      <c r="G821" s="211">
        <v>13019</v>
      </c>
      <c r="H821" s="211">
        <v>1302</v>
      </c>
      <c r="I821" s="202">
        <f t="shared" si="12"/>
        <v>118472</v>
      </c>
      <c r="J821" s="209" t="s">
        <v>31</v>
      </c>
      <c r="K821" s="209" t="s">
        <v>29</v>
      </c>
      <c r="L821" s="209" t="s">
        <v>1042</v>
      </c>
      <c r="M821" s="209" t="s">
        <v>3906</v>
      </c>
      <c r="N821" s="209" t="s">
        <v>1030</v>
      </c>
      <c r="O821" s="209" t="s">
        <v>652</v>
      </c>
      <c r="P821" s="209" t="s">
        <v>652</v>
      </c>
      <c r="Q821" s="213" t="s">
        <v>987</v>
      </c>
      <c r="R821" s="213" t="s">
        <v>988</v>
      </c>
      <c r="S821" s="213" t="s">
        <v>3890</v>
      </c>
      <c r="T821" s="209"/>
    </row>
    <row r="822" spans="1:20" s="205" customFormat="1" hidden="1" x14ac:dyDescent="0.2">
      <c r="A822" s="209" t="s">
        <v>189</v>
      </c>
      <c r="B822" s="209" t="s">
        <v>970</v>
      </c>
      <c r="C822" s="234" t="s">
        <v>3890</v>
      </c>
      <c r="D822" s="209" t="s">
        <v>152</v>
      </c>
      <c r="E822" s="209"/>
      <c r="F822" s="211">
        <v>54804</v>
      </c>
      <c r="G822" s="211">
        <v>5480</v>
      </c>
      <c r="H822" s="211">
        <v>548</v>
      </c>
      <c r="I822" s="202">
        <f t="shared" si="12"/>
        <v>49872</v>
      </c>
      <c r="J822" s="209" t="s">
        <v>188</v>
      </c>
      <c r="K822" s="209" t="s">
        <v>29</v>
      </c>
      <c r="L822" s="209" t="s">
        <v>1042</v>
      </c>
      <c r="M822" s="209" t="s">
        <v>3907</v>
      </c>
      <c r="N822" s="201" t="s">
        <v>1030</v>
      </c>
      <c r="O822" s="209" t="s">
        <v>1110</v>
      </c>
      <c r="P822" s="209" t="s">
        <v>1111</v>
      </c>
      <c r="Q822" s="213" t="s">
        <v>873</v>
      </c>
      <c r="R822" s="213" t="s">
        <v>968</v>
      </c>
      <c r="S822" s="213" t="s">
        <v>3890</v>
      </c>
      <c r="T822" s="209"/>
    </row>
    <row r="823" spans="1:20" s="205" customFormat="1" hidden="1" x14ac:dyDescent="0.2">
      <c r="A823" s="209" t="s">
        <v>3908</v>
      </c>
      <c r="B823" s="209" t="s">
        <v>3909</v>
      </c>
      <c r="C823" s="234" t="s">
        <v>3890</v>
      </c>
      <c r="D823" s="209" t="s">
        <v>152</v>
      </c>
      <c r="E823" s="209"/>
      <c r="F823" s="211">
        <v>32253</v>
      </c>
      <c r="G823" s="211">
        <v>3225</v>
      </c>
      <c r="H823" s="211">
        <v>323</v>
      </c>
      <c r="I823" s="202">
        <f t="shared" si="12"/>
        <v>29351</v>
      </c>
      <c r="J823" s="209" t="s">
        <v>82</v>
      </c>
      <c r="K823" s="209" t="s">
        <v>29</v>
      </c>
      <c r="L823" s="209" t="s">
        <v>1058</v>
      </c>
      <c r="M823" s="209" t="s">
        <v>3910</v>
      </c>
      <c r="N823" s="201" t="s">
        <v>1030</v>
      </c>
      <c r="O823" s="209" t="s">
        <v>1274</v>
      </c>
      <c r="P823" s="209" t="s">
        <v>1111</v>
      </c>
      <c r="Q823" s="213" t="s">
        <v>2191</v>
      </c>
      <c r="R823" s="213" t="s">
        <v>2192</v>
      </c>
      <c r="S823" s="213" t="s">
        <v>3890</v>
      </c>
      <c r="T823" s="209"/>
    </row>
    <row r="824" spans="1:20" s="205" customFormat="1" hidden="1" x14ac:dyDescent="0.2">
      <c r="A824" s="205" t="s">
        <v>1271</v>
      </c>
      <c r="B824" s="205" t="s">
        <v>1272</v>
      </c>
      <c r="C824" s="200" t="s">
        <v>3890</v>
      </c>
      <c r="D824" s="209" t="s">
        <v>152</v>
      </c>
      <c r="E824" s="209"/>
      <c r="F824" s="206">
        <v>1</v>
      </c>
      <c r="G824" s="206">
        <v>0</v>
      </c>
      <c r="H824" s="206">
        <v>0</v>
      </c>
      <c r="I824" s="202">
        <f t="shared" si="12"/>
        <v>1</v>
      </c>
      <c r="J824" s="205" t="s">
        <v>22</v>
      </c>
      <c r="K824" s="205" t="s">
        <v>23</v>
      </c>
      <c r="L824" s="209" t="s">
        <v>1151</v>
      </c>
      <c r="M824" s="205" t="s">
        <v>3911</v>
      </c>
      <c r="N824" s="201" t="s">
        <v>1030</v>
      </c>
      <c r="O824" s="205" t="s">
        <v>1274</v>
      </c>
      <c r="P824" s="205" t="s">
        <v>1111</v>
      </c>
      <c r="Q824" s="208" t="s">
        <v>987</v>
      </c>
      <c r="R824" s="208" t="s">
        <v>988</v>
      </c>
      <c r="S824" s="208" t="s">
        <v>3890</v>
      </c>
    </row>
    <row r="825" spans="1:20" s="205" customFormat="1" hidden="1" x14ac:dyDescent="0.2">
      <c r="A825" s="205" t="s">
        <v>1271</v>
      </c>
      <c r="B825" s="205" t="s">
        <v>1272</v>
      </c>
      <c r="C825" s="200" t="s">
        <v>3890</v>
      </c>
      <c r="D825" s="209" t="s">
        <v>152</v>
      </c>
      <c r="E825" s="209"/>
      <c r="F825" s="206">
        <v>1</v>
      </c>
      <c r="G825" s="206">
        <v>0</v>
      </c>
      <c r="H825" s="206">
        <v>0</v>
      </c>
      <c r="I825" s="202">
        <f t="shared" si="12"/>
        <v>1</v>
      </c>
      <c r="J825" s="205" t="s">
        <v>22</v>
      </c>
      <c r="K825" s="205" t="s">
        <v>23</v>
      </c>
      <c r="L825" s="209" t="s">
        <v>1151</v>
      </c>
      <c r="M825" s="205" t="s">
        <v>3912</v>
      </c>
      <c r="N825" s="201" t="s">
        <v>1030</v>
      </c>
      <c r="O825" s="205" t="s">
        <v>1274</v>
      </c>
      <c r="P825" s="205" t="s">
        <v>1111</v>
      </c>
      <c r="Q825" s="208" t="s">
        <v>987</v>
      </c>
      <c r="R825" s="208" t="s">
        <v>988</v>
      </c>
      <c r="S825" s="208" t="s">
        <v>3890</v>
      </c>
    </row>
    <row r="826" spans="1:20" s="205" customFormat="1" hidden="1" x14ac:dyDescent="0.2">
      <c r="A826" s="205" t="s">
        <v>1271</v>
      </c>
      <c r="B826" s="205" t="s">
        <v>1272</v>
      </c>
      <c r="C826" s="200" t="s">
        <v>3890</v>
      </c>
      <c r="D826" s="209" t="s">
        <v>152</v>
      </c>
      <c r="E826" s="209"/>
      <c r="F826" s="206">
        <v>1</v>
      </c>
      <c r="G826" s="206">
        <v>0</v>
      </c>
      <c r="H826" s="206">
        <v>0</v>
      </c>
      <c r="I826" s="202">
        <f t="shared" si="12"/>
        <v>1</v>
      </c>
      <c r="J826" s="205" t="s">
        <v>22</v>
      </c>
      <c r="K826" s="205" t="s">
        <v>23</v>
      </c>
      <c r="L826" s="209" t="s">
        <v>1151</v>
      </c>
      <c r="M826" s="205" t="s">
        <v>3913</v>
      </c>
      <c r="N826" s="201" t="s">
        <v>1030</v>
      </c>
      <c r="O826" s="205" t="s">
        <v>1274</v>
      </c>
      <c r="P826" s="205" t="s">
        <v>1111</v>
      </c>
      <c r="Q826" s="208" t="s">
        <v>987</v>
      </c>
      <c r="R826" s="208" t="s">
        <v>988</v>
      </c>
      <c r="S826" s="208" t="s">
        <v>3890</v>
      </c>
    </row>
    <row r="827" spans="1:20" s="205" customFormat="1" hidden="1" x14ac:dyDescent="0.2">
      <c r="A827" s="205" t="s">
        <v>1271</v>
      </c>
      <c r="B827" s="205" t="s">
        <v>1272</v>
      </c>
      <c r="C827" s="200" t="s">
        <v>3890</v>
      </c>
      <c r="D827" s="209" t="s">
        <v>166</v>
      </c>
      <c r="E827" s="209"/>
      <c r="F827" s="206">
        <v>-1</v>
      </c>
      <c r="G827" s="206">
        <v>0</v>
      </c>
      <c r="H827" s="206">
        <v>0</v>
      </c>
      <c r="I827" s="202">
        <f t="shared" si="12"/>
        <v>-1</v>
      </c>
      <c r="J827" s="205" t="s">
        <v>22</v>
      </c>
      <c r="K827" s="205" t="s">
        <v>23</v>
      </c>
      <c r="L827" s="209" t="s">
        <v>1325</v>
      </c>
      <c r="M827" s="205" t="s">
        <v>3914</v>
      </c>
      <c r="N827" s="201" t="s">
        <v>1030</v>
      </c>
      <c r="O827" s="205" t="s">
        <v>1274</v>
      </c>
      <c r="P827" s="205" t="s">
        <v>1111</v>
      </c>
      <c r="Q827" s="208" t="s">
        <v>987</v>
      </c>
      <c r="R827" s="208" t="s">
        <v>988</v>
      </c>
      <c r="S827" s="208" t="s">
        <v>3890</v>
      </c>
    </row>
    <row r="828" spans="1:20" s="205" customFormat="1" hidden="1" x14ac:dyDescent="0.2">
      <c r="A828" s="205" t="s">
        <v>1271</v>
      </c>
      <c r="B828" s="205" t="s">
        <v>1272</v>
      </c>
      <c r="C828" s="200" t="s">
        <v>3890</v>
      </c>
      <c r="D828" s="209" t="s">
        <v>166</v>
      </c>
      <c r="E828" s="209"/>
      <c r="F828" s="206">
        <v>-1</v>
      </c>
      <c r="G828" s="206">
        <v>0</v>
      </c>
      <c r="H828" s="206">
        <v>0</v>
      </c>
      <c r="I828" s="202">
        <f t="shared" si="12"/>
        <v>-1</v>
      </c>
      <c r="J828" s="205" t="s">
        <v>22</v>
      </c>
      <c r="K828" s="205" t="s">
        <v>23</v>
      </c>
      <c r="L828" s="209" t="s">
        <v>1325</v>
      </c>
      <c r="M828" s="205" t="s">
        <v>3915</v>
      </c>
      <c r="N828" s="201" t="s">
        <v>1030</v>
      </c>
      <c r="O828" s="205" t="s">
        <v>1274</v>
      </c>
      <c r="P828" s="205" t="s">
        <v>1111</v>
      </c>
      <c r="Q828" s="208" t="s">
        <v>987</v>
      </c>
      <c r="R828" s="208" t="s">
        <v>988</v>
      </c>
      <c r="S828" s="208" t="s">
        <v>3890</v>
      </c>
    </row>
    <row r="829" spans="1:20" s="205" customFormat="1" hidden="1" x14ac:dyDescent="0.2">
      <c r="A829" s="205" t="s">
        <v>1271</v>
      </c>
      <c r="B829" s="205" t="s">
        <v>1272</v>
      </c>
      <c r="C829" s="200" t="s">
        <v>3890</v>
      </c>
      <c r="D829" s="209" t="s">
        <v>166</v>
      </c>
      <c r="E829" s="209"/>
      <c r="F829" s="206">
        <v>-1</v>
      </c>
      <c r="G829" s="206">
        <v>0</v>
      </c>
      <c r="H829" s="206">
        <v>0</v>
      </c>
      <c r="I829" s="202">
        <f t="shared" si="12"/>
        <v>-1</v>
      </c>
      <c r="J829" s="205" t="s">
        <v>22</v>
      </c>
      <c r="K829" s="205" t="s">
        <v>23</v>
      </c>
      <c r="L829" s="209" t="s">
        <v>1325</v>
      </c>
      <c r="M829" s="205" t="s">
        <v>3916</v>
      </c>
      <c r="N829" s="201" t="s">
        <v>1030</v>
      </c>
      <c r="O829" s="205" t="s">
        <v>1274</v>
      </c>
      <c r="P829" s="205" t="s">
        <v>1111</v>
      </c>
      <c r="Q829" s="208" t="s">
        <v>987</v>
      </c>
      <c r="R829" s="208" t="s">
        <v>988</v>
      </c>
      <c r="S829" s="208" t="s">
        <v>3890</v>
      </c>
    </row>
    <row r="830" spans="1:20" s="205" customFormat="1" hidden="1" x14ac:dyDescent="0.2">
      <c r="A830" s="205" t="s">
        <v>138</v>
      </c>
      <c r="B830" s="205" t="s">
        <v>3917</v>
      </c>
      <c r="C830" s="200" t="s">
        <v>3890</v>
      </c>
      <c r="D830" s="209" t="s">
        <v>152</v>
      </c>
      <c r="E830" s="209"/>
      <c r="F830" s="206">
        <v>615709</v>
      </c>
      <c r="G830" s="206">
        <v>61571</v>
      </c>
      <c r="H830" s="206">
        <v>3079</v>
      </c>
      <c r="I830" s="202">
        <f t="shared" si="12"/>
        <v>557217</v>
      </c>
      <c r="J830" s="205" t="s">
        <v>138</v>
      </c>
      <c r="K830" s="205" t="s">
        <v>23</v>
      </c>
      <c r="L830" s="209" t="s">
        <v>1028</v>
      </c>
      <c r="M830" s="205" t="s">
        <v>3918</v>
      </c>
      <c r="N830" s="209" t="s">
        <v>1030</v>
      </c>
      <c r="O830" s="205" t="s">
        <v>652</v>
      </c>
      <c r="P830" s="205" t="s">
        <v>652</v>
      </c>
      <c r="Q830" s="208" t="s">
        <v>987</v>
      </c>
      <c r="R830" s="208" t="s">
        <v>988</v>
      </c>
      <c r="S830" s="208" t="s">
        <v>3890</v>
      </c>
    </row>
    <row r="831" spans="1:20" s="205" customFormat="1" hidden="1" x14ac:dyDescent="0.2">
      <c r="A831" s="205" t="s">
        <v>537</v>
      </c>
      <c r="B831" s="205" t="s">
        <v>538</v>
      </c>
      <c r="C831" s="200" t="s">
        <v>3890</v>
      </c>
      <c r="D831" s="209" t="s">
        <v>152</v>
      </c>
      <c r="E831" s="209"/>
      <c r="F831" s="206">
        <v>6588</v>
      </c>
      <c r="G831" s="206">
        <v>659</v>
      </c>
      <c r="H831" s="206">
        <v>33</v>
      </c>
      <c r="I831" s="202">
        <f t="shared" si="12"/>
        <v>5962</v>
      </c>
      <c r="J831" s="205" t="s">
        <v>344</v>
      </c>
      <c r="K831" s="205" t="s">
        <v>23</v>
      </c>
      <c r="L831" s="209" t="s">
        <v>1042</v>
      </c>
      <c r="M831" s="205" t="s">
        <v>3919</v>
      </c>
      <c r="N831" s="201" t="s">
        <v>1030</v>
      </c>
      <c r="O831" s="205" t="s">
        <v>1065</v>
      </c>
      <c r="P831" s="205" t="s">
        <v>1066</v>
      </c>
      <c r="Q831" s="208" t="s">
        <v>688</v>
      </c>
      <c r="R831" s="208" t="s">
        <v>689</v>
      </c>
      <c r="S831" s="208" t="s">
        <v>3890</v>
      </c>
    </row>
    <row r="832" spans="1:20" s="205" customFormat="1" hidden="1" x14ac:dyDescent="0.2">
      <c r="A832" s="205" t="s">
        <v>100</v>
      </c>
      <c r="B832" s="205" t="s">
        <v>608</v>
      </c>
      <c r="C832" s="200" t="s">
        <v>3890</v>
      </c>
      <c r="D832" s="209" t="s">
        <v>152</v>
      </c>
      <c r="E832" s="209"/>
      <c r="F832" s="206">
        <v>41736</v>
      </c>
      <c r="G832" s="206">
        <v>4174</v>
      </c>
      <c r="H832" s="206">
        <v>209</v>
      </c>
      <c r="I832" s="202">
        <f t="shared" si="12"/>
        <v>37771</v>
      </c>
      <c r="J832" s="205" t="s">
        <v>101</v>
      </c>
      <c r="K832" s="205" t="s">
        <v>23</v>
      </c>
      <c r="L832" s="209" t="s">
        <v>1042</v>
      </c>
      <c r="M832" s="205" t="s">
        <v>3920</v>
      </c>
      <c r="N832" s="201" t="s">
        <v>1030</v>
      </c>
      <c r="O832" s="205" t="s">
        <v>652</v>
      </c>
      <c r="P832" s="205" t="s">
        <v>652</v>
      </c>
      <c r="Q832" s="208" t="s">
        <v>653</v>
      </c>
      <c r="R832" s="208" t="s">
        <v>654</v>
      </c>
      <c r="S832" s="208" t="s">
        <v>3890</v>
      </c>
    </row>
    <row r="833" spans="1:19" s="205" customFormat="1" hidden="1" x14ac:dyDescent="0.2">
      <c r="A833" s="205" t="s">
        <v>245</v>
      </c>
      <c r="B833" s="205" t="s">
        <v>3921</v>
      </c>
      <c r="C833" s="200" t="s">
        <v>3890</v>
      </c>
      <c r="D833" s="209" t="s">
        <v>152</v>
      </c>
      <c r="E833" s="209"/>
      <c r="F833" s="206">
        <v>22716</v>
      </c>
      <c r="G833" s="206">
        <v>2272</v>
      </c>
      <c r="H833" s="206">
        <v>114</v>
      </c>
      <c r="I833" s="202">
        <f t="shared" si="12"/>
        <v>20558</v>
      </c>
      <c r="J833" s="205" t="s">
        <v>489</v>
      </c>
      <c r="K833" s="205" t="s">
        <v>23</v>
      </c>
      <c r="L833" s="209" t="s">
        <v>1042</v>
      </c>
      <c r="M833" s="205" t="s">
        <v>3922</v>
      </c>
      <c r="N833" s="201" t="s">
        <v>1030</v>
      </c>
      <c r="O833" s="205" t="s">
        <v>652</v>
      </c>
      <c r="P833" s="205" t="s">
        <v>652</v>
      </c>
      <c r="Q833" s="208" t="s">
        <v>2191</v>
      </c>
      <c r="R833" s="208" t="s">
        <v>2192</v>
      </c>
      <c r="S833" s="208" t="s">
        <v>3890</v>
      </c>
    </row>
    <row r="834" spans="1:19" s="205" customFormat="1" hidden="1" x14ac:dyDescent="0.2">
      <c r="A834" s="205" t="s">
        <v>245</v>
      </c>
      <c r="B834" s="205" t="s">
        <v>3923</v>
      </c>
      <c r="C834" s="200" t="s">
        <v>3890</v>
      </c>
      <c r="D834" s="209" t="s">
        <v>152</v>
      </c>
      <c r="E834" s="209"/>
      <c r="F834" s="206">
        <v>56891</v>
      </c>
      <c r="G834" s="206">
        <v>5689</v>
      </c>
      <c r="H834" s="206">
        <v>284</v>
      </c>
      <c r="I834" s="202">
        <f t="shared" si="12"/>
        <v>51486</v>
      </c>
      <c r="J834" s="205" t="s">
        <v>489</v>
      </c>
      <c r="K834" s="205" t="s">
        <v>23</v>
      </c>
      <c r="L834" s="209" t="s">
        <v>1042</v>
      </c>
      <c r="M834" s="205" t="s">
        <v>3924</v>
      </c>
      <c r="N834" s="201" t="s">
        <v>1030</v>
      </c>
      <c r="O834" s="205" t="s">
        <v>652</v>
      </c>
      <c r="P834" s="205" t="s">
        <v>652</v>
      </c>
      <c r="Q834" s="208" t="s">
        <v>2191</v>
      </c>
      <c r="R834" s="208" t="s">
        <v>2192</v>
      </c>
      <c r="S834" s="208" t="s">
        <v>3890</v>
      </c>
    </row>
    <row r="835" spans="1:19" s="205" customFormat="1" hidden="1" x14ac:dyDescent="0.2">
      <c r="A835" s="205" t="s">
        <v>245</v>
      </c>
      <c r="B835" s="205" t="s">
        <v>3925</v>
      </c>
      <c r="C835" s="200" t="s">
        <v>3890</v>
      </c>
      <c r="D835" s="209" t="s">
        <v>152</v>
      </c>
      <c r="E835" s="209"/>
      <c r="F835" s="206">
        <v>22716</v>
      </c>
      <c r="G835" s="206">
        <v>2272</v>
      </c>
      <c r="H835" s="206">
        <v>114</v>
      </c>
      <c r="I835" s="202">
        <f t="shared" ref="I835:I898" si="13">F835+H835-G835</f>
        <v>20558</v>
      </c>
      <c r="J835" s="205" t="s">
        <v>489</v>
      </c>
      <c r="K835" s="205" t="s">
        <v>23</v>
      </c>
      <c r="L835" s="209" t="s">
        <v>1042</v>
      </c>
      <c r="M835" s="205" t="s">
        <v>3926</v>
      </c>
      <c r="N835" s="201" t="s">
        <v>1030</v>
      </c>
      <c r="O835" s="205" t="s">
        <v>652</v>
      </c>
      <c r="P835" s="205" t="s">
        <v>652</v>
      </c>
      <c r="Q835" s="208" t="s">
        <v>2191</v>
      </c>
      <c r="R835" s="208" t="s">
        <v>2192</v>
      </c>
      <c r="S835" s="208" t="s">
        <v>3890</v>
      </c>
    </row>
    <row r="836" spans="1:19" s="205" customFormat="1" hidden="1" x14ac:dyDescent="0.2">
      <c r="A836" s="205" t="s">
        <v>245</v>
      </c>
      <c r="B836" s="205" t="s">
        <v>3927</v>
      </c>
      <c r="C836" s="200" t="s">
        <v>3890</v>
      </c>
      <c r="D836" s="209" t="s">
        <v>152</v>
      </c>
      <c r="E836" s="209"/>
      <c r="F836" s="206">
        <v>22716</v>
      </c>
      <c r="G836" s="206">
        <v>2272</v>
      </c>
      <c r="H836" s="206">
        <v>114</v>
      </c>
      <c r="I836" s="202">
        <f t="shared" si="13"/>
        <v>20558</v>
      </c>
      <c r="J836" s="205" t="s">
        <v>489</v>
      </c>
      <c r="K836" s="205" t="s">
        <v>23</v>
      </c>
      <c r="L836" s="209" t="s">
        <v>1042</v>
      </c>
      <c r="M836" s="205" t="s">
        <v>3928</v>
      </c>
      <c r="N836" s="201" t="s">
        <v>1030</v>
      </c>
      <c r="O836" s="205" t="s">
        <v>652</v>
      </c>
      <c r="P836" s="205" t="s">
        <v>652</v>
      </c>
      <c r="Q836" s="208" t="s">
        <v>2191</v>
      </c>
      <c r="R836" s="208" t="s">
        <v>2192</v>
      </c>
      <c r="S836" s="208" t="s">
        <v>3890</v>
      </c>
    </row>
    <row r="837" spans="1:19" s="205" customFormat="1" hidden="1" x14ac:dyDescent="0.2">
      <c r="A837" s="205" t="s">
        <v>245</v>
      </c>
      <c r="B837" s="205" t="s">
        <v>3929</v>
      </c>
      <c r="C837" s="200" t="s">
        <v>3890</v>
      </c>
      <c r="D837" s="209" t="s">
        <v>152</v>
      </c>
      <c r="E837" s="209"/>
      <c r="F837" s="206">
        <v>38001</v>
      </c>
      <c r="G837" s="206">
        <v>3800</v>
      </c>
      <c r="H837" s="206">
        <v>190</v>
      </c>
      <c r="I837" s="202">
        <f t="shared" si="13"/>
        <v>34391</v>
      </c>
      <c r="J837" s="205" t="s">
        <v>489</v>
      </c>
      <c r="K837" s="205" t="s">
        <v>23</v>
      </c>
      <c r="L837" s="209" t="s">
        <v>1042</v>
      </c>
      <c r="M837" s="205" t="s">
        <v>3930</v>
      </c>
      <c r="N837" s="201" t="s">
        <v>1030</v>
      </c>
      <c r="O837" s="205" t="s">
        <v>652</v>
      </c>
      <c r="P837" s="205" t="s">
        <v>652</v>
      </c>
      <c r="Q837" s="208" t="s">
        <v>2191</v>
      </c>
      <c r="R837" s="208" t="s">
        <v>2192</v>
      </c>
      <c r="S837" s="208" t="s">
        <v>3890</v>
      </c>
    </row>
    <row r="838" spans="1:19" s="205" customFormat="1" hidden="1" x14ac:dyDescent="0.2">
      <c r="A838" s="205" t="s">
        <v>245</v>
      </c>
      <c r="B838" s="205" t="s">
        <v>3931</v>
      </c>
      <c r="C838" s="200" t="s">
        <v>3890</v>
      </c>
      <c r="D838" s="209" t="s">
        <v>152</v>
      </c>
      <c r="E838" s="209"/>
      <c r="F838" s="206">
        <v>38001</v>
      </c>
      <c r="G838" s="206">
        <v>3800</v>
      </c>
      <c r="H838" s="206">
        <v>190</v>
      </c>
      <c r="I838" s="202">
        <f t="shared" si="13"/>
        <v>34391</v>
      </c>
      <c r="J838" s="205" t="s">
        <v>489</v>
      </c>
      <c r="K838" s="205" t="s">
        <v>23</v>
      </c>
      <c r="L838" s="209" t="s">
        <v>1042</v>
      </c>
      <c r="M838" s="205" t="s">
        <v>3932</v>
      </c>
      <c r="N838" s="201" t="s">
        <v>1030</v>
      </c>
      <c r="O838" s="205" t="s">
        <v>652</v>
      </c>
      <c r="P838" s="205" t="s">
        <v>652</v>
      </c>
      <c r="Q838" s="208" t="s">
        <v>987</v>
      </c>
      <c r="R838" s="208" t="s">
        <v>988</v>
      </c>
      <c r="S838" s="208" t="s">
        <v>3890</v>
      </c>
    </row>
    <row r="839" spans="1:19" s="205" customFormat="1" hidden="1" x14ac:dyDescent="0.2">
      <c r="A839" s="205" t="s">
        <v>247</v>
      </c>
      <c r="B839" s="205" t="s">
        <v>3933</v>
      </c>
      <c r="C839" s="200" t="s">
        <v>3890</v>
      </c>
      <c r="D839" s="209" t="s">
        <v>152</v>
      </c>
      <c r="E839" s="209"/>
      <c r="F839" s="206">
        <v>42459</v>
      </c>
      <c r="G839" s="206">
        <v>4246</v>
      </c>
      <c r="H839" s="206">
        <v>212</v>
      </c>
      <c r="I839" s="202">
        <f t="shared" si="13"/>
        <v>38425</v>
      </c>
      <c r="J839" s="205" t="s">
        <v>489</v>
      </c>
      <c r="K839" s="205" t="s">
        <v>23</v>
      </c>
      <c r="L839" s="209" t="s">
        <v>1058</v>
      </c>
      <c r="M839" s="205" t="s">
        <v>3934</v>
      </c>
      <c r="N839" s="201" t="s">
        <v>1030</v>
      </c>
      <c r="O839" s="205" t="s">
        <v>652</v>
      </c>
      <c r="P839" s="205" t="s">
        <v>652</v>
      </c>
      <c r="Q839" s="208" t="s">
        <v>2191</v>
      </c>
      <c r="R839" s="208" t="s">
        <v>2192</v>
      </c>
      <c r="S839" s="208" t="s">
        <v>3890</v>
      </c>
    </row>
    <row r="840" spans="1:19" s="205" customFormat="1" hidden="1" x14ac:dyDescent="0.2">
      <c r="A840" s="205" t="s">
        <v>247</v>
      </c>
      <c r="B840" s="205" t="s">
        <v>3935</v>
      </c>
      <c r="C840" s="200" t="s">
        <v>3890</v>
      </c>
      <c r="D840" s="209" t="s">
        <v>152</v>
      </c>
      <c r="E840" s="209"/>
      <c r="F840" s="206">
        <v>57986</v>
      </c>
      <c r="G840" s="206">
        <v>5799</v>
      </c>
      <c r="H840" s="206">
        <v>290</v>
      </c>
      <c r="I840" s="202">
        <f t="shared" si="13"/>
        <v>52477</v>
      </c>
      <c r="J840" s="205" t="s">
        <v>489</v>
      </c>
      <c r="K840" s="205" t="s">
        <v>23</v>
      </c>
      <c r="L840" s="209" t="s">
        <v>1058</v>
      </c>
      <c r="M840" s="205" t="s">
        <v>3936</v>
      </c>
      <c r="N840" s="201" t="s">
        <v>1030</v>
      </c>
      <c r="O840" s="205" t="s">
        <v>652</v>
      </c>
      <c r="P840" s="205" t="s">
        <v>652</v>
      </c>
      <c r="Q840" s="208" t="s">
        <v>2191</v>
      </c>
      <c r="R840" s="208" t="s">
        <v>2192</v>
      </c>
      <c r="S840" s="216" t="s">
        <v>3890</v>
      </c>
    </row>
    <row r="841" spans="1:19" s="205" customFormat="1" hidden="1" x14ac:dyDescent="0.2">
      <c r="A841" s="205" t="s">
        <v>247</v>
      </c>
      <c r="B841" s="205" t="s">
        <v>3937</v>
      </c>
      <c r="C841" s="200" t="s">
        <v>3890</v>
      </c>
      <c r="D841" s="209" t="s">
        <v>152</v>
      </c>
      <c r="E841" s="209"/>
      <c r="F841" s="206">
        <v>69985</v>
      </c>
      <c r="G841" s="206">
        <v>6999</v>
      </c>
      <c r="H841" s="206">
        <v>350</v>
      </c>
      <c r="I841" s="202">
        <f t="shared" si="13"/>
        <v>63336</v>
      </c>
      <c r="J841" s="205" t="s">
        <v>489</v>
      </c>
      <c r="K841" s="205" t="s">
        <v>23</v>
      </c>
      <c r="L841" s="209" t="s">
        <v>1058</v>
      </c>
      <c r="M841" s="205" t="s">
        <v>3938</v>
      </c>
      <c r="N841" s="201" t="s">
        <v>1030</v>
      </c>
      <c r="O841" s="205" t="s">
        <v>652</v>
      </c>
      <c r="P841" s="205" t="s">
        <v>652</v>
      </c>
      <c r="Q841" s="208" t="s">
        <v>2191</v>
      </c>
      <c r="R841" s="208" t="s">
        <v>2192</v>
      </c>
      <c r="S841" s="208" t="s">
        <v>3890</v>
      </c>
    </row>
    <row r="842" spans="1:19" s="205" customFormat="1" hidden="1" x14ac:dyDescent="0.2">
      <c r="A842" s="205" t="s">
        <v>249</v>
      </c>
      <c r="B842" s="205" t="s">
        <v>3939</v>
      </c>
      <c r="C842" s="200" t="s">
        <v>3890</v>
      </c>
      <c r="D842" s="209" t="s">
        <v>152</v>
      </c>
      <c r="E842" s="209"/>
      <c r="F842" s="206">
        <v>120957</v>
      </c>
      <c r="G842" s="206">
        <v>12096</v>
      </c>
      <c r="H842" s="206">
        <v>605</v>
      </c>
      <c r="I842" s="202">
        <f t="shared" si="13"/>
        <v>109466</v>
      </c>
      <c r="J842" s="205" t="s">
        <v>489</v>
      </c>
      <c r="K842" s="205" t="s">
        <v>23</v>
      </c>
      <c r="L842" s="209" t="s">
        <v>1042</v>
      </c>
      <c r="M842" s="205" t="s">
        <v>3940</v>
      </c>
      <c r="N842" s="201" t="s">
        <v>1030</v>
      </c>
      <c r="O842" s="205" t="s">
        <v>652</v>
      </c>
      <c r="P842" s="205" t="s">
        <v>652</v>
      </c>
      <c r="Q842" s="208" t="s">
        <v>2191</v>
      </c>
      <c r="R842" s="208" t="s">
        <v>2192</v>
      </c>
      <c r="S842" s="208" t="s">
        <v>3890</v>
      </c>
    </row>
    <row r="843" spans="1:19" s="205" customFormat="1" hidden="1" x14ac:dyDescent="0.2">
      <c r="A843" s="205" t="s">
        <v>249</v>
      </c>
      <c r="B843" s="205" t="s">
        <v>3941</v>
      </c>
      <c r="C843" s="200" t="s">
        <v>3890</v>
      </c>
      <c r="D843" s="209" t="s">
        <v>152</v>
      </c>
      <c r="E843" s="209"/>
      <c r="F843" s="206">
        <v>120957</v>
      </c>
      <c r="G843" s="206">
        <v>12096</v>
      </c>
      <c r="H843" s="206">
        <v>605</v>
      </c>
      <c r="I843" s="202">
        <f t="shared" si="13"/>
        <v>109466</v>
      </c>
      <c r="J843" s="205" t="s">
        <v>489</v>
      </c>
      <c r="K843" s="205" t="s">
        <v>23</v>
      </c>
      <c r="L843" s="209" t="s">
        <v>1042</v>
      </c>
      <c r="M843" s="205" t="s">
        <v>3942</v>
      </c>
      <c r="N843" s="201" t="s">
        <v>1030</v>
      </c>
      <c r="O843" s="205" t="s">
        <v>652</v>
      </c>
      <c r="P843" s="205" t="s">
        <v>652</v>
      </c>
      <c r="Q843" s="208" t="s">
        <v>2191</v>
      </c>
      <c r="R843" s="208" t="s">
        <v>2192</v>
      </c>
      <c r="S843" s="208" t="s">
        <v>3890</v>
      </c>
    </row>
    <row r="844" spans="1:19" s="205" customFormat="1" hidden="1" x14ac:dyDescent="0.2">
      <c r="A844" s="205" t="s">
        <v>249</v>
      </c>
      <c r="B844" s="205" t="s">
        <v>3943</v>
      </c>
      <c r="C844" s="200" t="s">
        <v>3890</v>
      </c>
      <c r="D844" s="209" t="s">
        <v>152</v>
      </c>
      <c r="E844" s="209"/>
      <c r="F844" s="206">
        <v>85607</v>
      </c>
      <c r="G844" s="206">
        <v>8561</v>
      </c>
      <c r="H844" s="206">
        <v>428</v>
      </c>
      <c r="I844" s="202">
        <f t="shared" si="13"/>
        <v>77474</v>
      </c>
      <c r="J844" s="205" t="s">
        <v>489</v>
      </c>
      <c r="K844" s="205" t="s">
        <v>23</v>
      </c>
      <c r="L844" s="209" t="s">
        <v>1042</v>
      </c>
      <c r="M844" s="205" t="s">
        <v>3944</v>
      </c>
      <c r="N844" s="201" t="s">
        <v>1030</v>
      </c>
      <c r="O844" s="205" t="s">
        <v>652</v>
      </c>
      <c r="P844" s="205" t="s">
        <v>652</v>
      </c>
      <c r="Q844" s="208" t="s">
        <v>2191</v>
      </c>
      <c r="R844" s="208" t="s">
        <v>2192</v>
      </c>
      <c r="S844" s="208" t="s">
        <v>3890</v>
      </c>
    </row>
    <row r="845" spans="1:19" s="205" customFormat="1" hidden="1" x14ac:dyDescent="0.2">
      <c r="A845" s="205" t="s">
        <v>249</v>
      </c>
      <c r="B845" s="205" t="s">
        <v>3945</v>
      </c>
      <c r="C845" s="200" t="s">
        <v>3890</v>
      </c>
      <c r="D845" s="209" t="s">
        <v>152</v>
      </c>
      <c r="E845" s="209"/>
      <c r="F845" s="206">
        <v>120957</v>
      </c>
      <c r="G845" s="206">
        <v>12096</v>
      </c>
      <c r="H845" s="206">
        <v>605</v>
      </c>
      <c r="I845" s="202">
        <f t="shared" si="13"/>
        <v>109466</v>
      </c>
      <c r="J845" s="205" t="s">
        <v>489</v>
      </c>
      <c r="K845" s="205" t="s">
        <v>23</v>
      </c>
      <c r="L845" s="209" t="s">
        <v>1042</v>
      </c>
      <c r="M845" s="205" t="s">
        <v>3946</v>
      </c>
      <c r="N845" s="201" t="s">
        <v>1030</v>
      </c>
      <c r="O845" s="205" t="s">
        <v>652</v>
      </c>
      <c r="P845" s="205" t="s">
        <v>652</v>
      </c>
      <c r="Q845" s="208" t="s">
        <v>2191</v>
      </c>
      <c r="R845" s="208" t="s">
        <v>2192</v>
      </c>
      <c r="S845" s="208" t="s">
        <v>3890</v>
      </c>
    </row>
    <row r="846" spans="1:19" s="205" customFormat="1" hidden="1" x14ac:dyDescent="0.2">
      <c r="A846" s="205" t="s">
        <v>283</v>
      </c>
      <c r="B846" s="205" t="s">
        <v>3947</v>
      </c>
      <c r="C846" s="200" t="s">
        <v>3890</v>
      </c>
      <c r="D846" s="209" t="s">
        <v>152</v>
      </c>
      <c r="E846" s="209"/>
      <c r="F846" s="206">
        <v>94377</v>
      </c>
      <c r="G846" s="206">
        <v>9438</v>
      </c>
      <c r="H846" s="206">
        <v>472</v>
      </c>
      <c r="I846" s="202">
        <f t="shared" si="13"/>
        <v>85411</v>
      </c>
      <c r="J846" s="205" t="s">
        <v>489</v>
      </c>
      <c r="K846" s="205" t="s">
        <v>23</v>
      </c>
      <c r="L846" s="209" t="s">
        <v>1058</v>
      </c>
      <c r="M846" s="205" t="s">
        <v>3948</v>
      </c>
      <c r="N846" s="201" t="s">
        <v>1030</v>
      </c>
      <c r="O846" s="205" t="s">
        <v>652</v>
      </c>
      <c r="P846" s="205" t="s">
        <v>652</v>
      </c>
      <c r="Q846" s="208" t="s">
        <v>2191</v>
      </c>
      <c r="R846" s="208" t="s">
        <v>2192</v>
      </c>
      <c r="S846" s="208" t="s">
        <v>3890</v>
      </c>
    </row>
    <row r="847" spans="1:19" s="205" customFormat="1" hidden="1" x14ac:dyDescent="0.2">
      <c r="A847" s="205" t="s">
        <v>283</v>
      </c>
      <c r="B847" s="205" t="s">
        <v>3949</v>
      </c>
      <c r="C847" s="200" t="s">
        <v>3890</v>
      </c>
      <c r="D847" s="209" t="s">
        <v>152</v>
      </c>
      <c r="E847" s="209"/>
      <c r="F847" s="206">
        <v>94377</v>
      </c>
      <c r="G847" s="206">
        <v>9438</v>
      </c>
      <c r="H847" s="206">
        <v>472</v>
      </c>
      <c r="I847" s="202">
        <f t="shared" si="13"/>
        <v>85411</v>
      </c>
      <c r="J847" s="205" t="s">
        <v>489</v>
      </c>
      <c r="K847" s="205" t="s">
        <v>23</v>
      </c>
      <c r="L847" s="209" t="s">
        <v>1058</v>
      </c>
      <c r="M847" s="205" t="s">
        <v>3950</v>
      </c>
      <c r="N847" s="209" t="s">
        <v>1030</v>
      </c>
      <c r="O847" s="205" t="s">
        <v>652</v>
      </c>
      <c r="P847" s="205" t="s">
        <v>652</v>
      </c>
      <c r="Q847" s="208" t="s">
        <v>2191</v>
      </c>
      <c r="R847" s="208" t="s">
        <v>2192</v>
      </c>
      <c r="S847" s="208" t="s">
        <v>3890</v>
      </c>
    </row>
    <row r="848" spans="1:19" s="205" customFormat="1" hidden="1" x14ac:dyDescent="0.2">
      <c r="A848" s="205" t="s">
        <v>3951</v>
      </c>
      <c r="B848" s="205" t="s">
        <v>3952</v>
      </c>
      <c r="C848" s="200" t="s">
        <v>3890</v>
      </c>
      <c r="D848" s="205" t="s">
        <v>152</v>
      </c>
      <c r="F848" s="206">
        <v>43137</v>
      </c>
      <c r="G848" s="206">
        <v>4314</v>
      </c>
      <c r="H848" s="206">
        <v>216</v>
      </c>
      <c r="I848" s="202">
        <f t="shared" si="13"/>
        <v>39039</v>
      </c>
      <c r="J848" s="205" t="s">
        <v>37</v>
      </c>
      <c r="K848" s="205" t="s">
        <v>23</v>
      </c>
      <c r="L848" s="205" t="s">
        <v>1028</v>
      </c>
      <c r="M848" s="205" t="s">
        <v>3953</v>
      </c>
      <c r="N848" s="201" t="s">
        <v>1030</v>
      </c>
      <c r="O848" s="205" t="s">
        <v>652</v>
      </c>
      <c r="P848" s="205" t="s">
        <v>652</v>
      </c>
      <c r="Q848" s="208" t="s">
        <v>678</v>
      </c>
      <c r="R848" s="208" t="s">
        <v>3954</v>
      </c>
      <c r="S848" s="208" t="s">
        <v>3890</v>
      </c>
    </row>
    <row r="849" spans="1:24" s="205" customFormat="1" hidden="1" x14ac:dyDescent="0.2">
      <c r="A849" s="205" t="s">
        <v>3955</v>
      </c>
      <c r="B849" s="205" t="s">
        <v>3956</v>
      </c>
      <c r="C849" s="200" t="s">
        <v>3890</v>
      </c>
      <c r="D849" s="205" t="s">
        <v>152</v>
      </c>
      <c r="F849" s="206">
        <v>52204</v>
      </c>
      <c r="G849" s="206">
        <v>5220</v>
      </c>
      <c r="H849" s="206">
        <v>261</v>
      </c>
      <c r="I849" s="202">
        <f t="shared" si="13"/>
        <v>47245</v>
      </c>
      <c r="J849" s="205" t="s">
        <v>37</v>
      </c>
      <c r="K849" s="205" t="s">
        <v>23</v>
      </c>
      <c r="L849" s="205" t="s">
        <v>1028</v>
      </c>
      <c r="M849" s="205" t="s">
        <v>3957</v>
      </c>
      <c r="N849" s="201" t="s">
        <v>1030</v>
      </c>
      <c r="O849" s="205" t="s">
        <v>652</v>
      </c>
      <c r="P849" s="205" t="s">
        <v>652</v>
      </c>
      <c r="Q849" s="208" t="s">
        <v>2467</v>
      </c>
      <c r="R849" s="208" t="s">
        <v>2468</v>
      </c>
      <c r="S849" s="208" t="s">
        <v>3890</v>
      </c>
    </row>
    <row r="850" spans="1:24" s="205" customFormat="1" hidden="1" x14ac:dyDescent="0.2">
      <c r="A850" s="205" t="s">
        <v>3958</v>
      </c>
      <c r="B850" s="205" t="s">
        <v>3959</v>
      </c>
      <c r="C850" s="200" t="s">
        <v>3890</v>
      </c>
      <c r="D850" s="205" t="s">
        <v>152</v>
      </c>
      <c r="F850" s="206">
        <v>52204</v>
      </c>
      <c r="G850" s="206">
        <v>5220</v>
      </c>
      <c r="H850" s="206">
        <v>261</v>
      </c>
      <c r="I850" s="202">
        <f t="shared" si="13"/>
        <v>47245</v>
      </c>
      <c r="J850" s="205" t="s">
        <v>37</v>
      </c>
      <c r="K850" s="205" t="s">
        <v>23</v>
      </c>
      <c r="L850" s="205" t="s">
        <v>1028</v>
      </c>
      <c r="M850" s="205" t="s">
        <v>3960</v>
      </c>
      <c r="N850" s="201" t="s">
        <v>1030</v>
      </c>
      <c r="O850" s="205" t="s">
        <v>652</v>
      </c>
      <c r="P850" s="205" t="s">
        <v>652</v>
      </c>
      <c r="Q850" s="208" t="s">
        <v>2467</v>
      </c>
      <c r="R850" s="208" t="s">
        <v>2468</v>
      </c>
      <c r="S850" s="208" t="s">
        <v>3890</v>
      </c>
    </row>
    <row r="851" spans="1:24" s="205" customFormat="1" ht="11.25" hidden="1" customHeight="1" x14ac:dyDescent="0.2">
      <c r="A851" s="205" t="s">
        <v>3961</v>
      </c>
      <c r="B851" s="205" t="s">
        <v>3962</v>
      </c>
      <c r="C851" s="200" t="s">
        <v>3890</v>
      </c>
      <c r="D851" s="205" t="s">
        <v>152</v>
      </c>
      <c r="F851" s="206">
        <v>52204</v>
      </c>
      <c r="G851" s="206">
        <v>5220</v>
      </c>
      <c r="H851" s="206">
        <v>261</v>
      </c>
      <c r="I851" s="202">
        <f t="shared" si="13"/>
        <v>47245</v>
      </c>
      <c r="J851" s="205" t="s">
        <v>37</v>
      </c>
      <c r="K851" s="205" t="s">
        <v>23</v>
      </c>
      <c r="L851" s="205" t="s">
        <v>1028</v>
      </c>
      <c r="M851" s="205" t="s">
        <v>3963</v>
      </c>
      <c r="N851" s="201" t="s">
        <v>1030</v>
      </c>
      <c r="O851" s="205" t="s">
        <v>652</v>
      </c>
      <c r="P851" s="205" t="s">
        <v>652</v>
      </c>
      <c r="Q851" s="208" t="s">
        <v>755</v>
      </c>
      <c r="R851" s="208" t="s">
        <v>2803</v>
      </c>
      <c r="S851" s="208" t="s">
        <v>3890</v>
      </c>
    </row>
    <row r="852" spans="1:24" s="205" customFormat="1" hidden="1" x14ac:dyDescent="0.2">
      <c r="A852" s="205" t="s">
        <v>3964</v>
      </c>
      <c r="B852" s="205" t="s">
        <v>3965</v>
      </c>
      <c r="C852" s="200" t="s">
        <v>3890</v>
      </c>
      <c r="D852" s="205" t="s">
        <v>152</v>
      </c>
      <c r="F852" s="206">
        <v>67877</v>
      </c>
      <c r="G852" s="206">
        <v>6788</v>
      </c>
      <c r="H852" s="206">
        <v>339</v>
      </c>
      <c r="I852" s="202">
        <f t="shared" si="13"/>
        <v>61428</v>
      </c>
      <c r="J852" s="205" t="s">
        <v>37</v>
      </c>
      <c r="K852" s="205" t="s">
        <v>23</v>
      </c>
      <c r="L852" s="205" t="s">
        <v>1028</v>
      </c>
      <c r="M852" s="205" t="s">
        <v>3966</v>
      </c>
      <c r="N852" s="201" t="s">
        <v>1030</v>
      </c>
      <c r="O852" s="205" t="s">
        <v>652</v>
      </c>
      <c r="P852" s="205" t="s">
        <v>652</v>
      </c>
      <c r="Q852" s="208" t="s">
        <v>3323</v>
      </c>
      <c r="R852" s="208" t="s">
        <v>3967</v>
      </c>
      <c r="S852" s="208" t="s">
        <v>3890</v>
      </c>
    </row>
    <row r="853" spans="1:24" s="205" customFormat="1" hidden="1" x14ac:dyDescent="0.2">
      <c r="A853" s="205" t="s">
        <v>3964</v>
      </c>
      <c r="B853" s="205" t="s">
        <v>3965</v>
      </c>
      <c r="C853" s="200" t="s">
        <v>3890</v>
      </c>
      <c r="D853" s="205" t="s">
        <v>166</v>
      </c>
      <c r="F853" s="206">
        <v>-67877</v>
      </c>
      <c r="G853" s="206">
        <v>-6788</v>
      </c>
      <c r="H853" s="206">
        <v>-339</v>
      </c>
      <c r="I853" s="202">
        <f t="shared" si="13"/>
        <v>-61428</v>
      </c>
      <c r="J853" s="205" t="s">
        <v>37</v>
      </c>
      <c r="K853" s="205" t="s">
        <v>23</v>
      </c>
      <c r="L853" s="205" t="s">
        <v>1028</v>
      </c>
      <c r="M853" s="205" t="s">
        <v>3968</v>
      </c>
      <c r="N853" s="201" t="s">
        <v>1030</v>
      </c>
      <c r="O853" s="205" t="s">
        <v>652</v>
      </c>
      <c r="P853" s="205" t="s">
        <v>652</v>
      </c>
      <c r="Q853" s="208" t="s">
        <v>3323</v>
      </c>
      <c r="R853" s="208" t="s">
        <v>3967</v>
      </c>
      <c r="S853" s="208" t="s">
        <v>3890</v>
      </c>
    </row>
    <row r="854" spans="1:24" s="205" customFormat="1" hidden="1" x14ac:dyDescent="0.2">
      <c r="A854" s="205" t="s">
        <v>3969</v>
      </c>
      <c r="B854" s="205" t="s">
        <v>3970</v>
      </c>
      <c r="C854" s="200" t="s">
        <v>3890</v>
      </c>
      <c r="D854" s="205" t="s">
        <v>152</v>
      </c>
      <c r="F854" s="206">
        <v>52204</v>
      </c>
      <c r="G854" s="206">
        <v>5220</v>
      </c>
      <c r="H854" s="206">
        <v>261</v>
      </c>
      <c r="I854" s="202">
        <f t="shared" si="13"/>
        <v>47245</v>
      </c>
      <c r="J854" s="205" t="s">
        <v>37</v>
      </c>
      <c r="K854" s="205" t="s">
        <v>23</v>
      </c>
      <c r="L854" s="205" t="s">
        <v>1028</v>
      </c>
      <c r="M854" s="205" t="s">
        <v>3971</v>
      </c>
      <c r="N854" s="201" t="s">
        <v>1030</v>
      </c>
      <c r="O854" s="205" t="s">
        <v>652</v>
      </c>
      <c r="P854" s="205" t="s">
        <v>652</v>
      </c>
      <c r="Q854" s="208" t="s">
        <v>2054</v>
      </c>
      <c r="R854" s="208" t="s">
        <v>2055</v>
      </c>
      <c r="S854" s="208" t="s">
        <v>3890</v>
      </c>
    </row>
    <row r="855" spans="1:24" s="205" customFormat="1" hidden="1" x14ac:dyDescent="0.2">
      <c r="A855" s="205" t="s">
        <v>425</v>
      </c>
      <c r="B855" s="205" t="s">
        <v>3176</v>
      </c>
      <c r="C855" s="200" t="s">
        <v>3890</v>
      </c>
      <c r="D855" s="205" t="s">
        <v>152</v>
      </c>
      <c r="F855" s="206">
        <v>832189</v>
      </c>
      <c r="G855" s="206">
        <v>83219</v>
      </c>
      <c r="H855" s="206">
        <v>4161</v>
      </c>
      <c r="I855" s="202">
        <f t="shared" si="13"/>
        <v>753131</v>
      </c>
      <c r="J855" s="205" t="s">
        <v>38</v>
      </c>
      <c r="K855" s="205" t="s">
        <v>23</v>
      </c>
      <c r="L855" s="205" t="s">
        <v>1042</v>
      </c>
      <c r="M855" s="205" t="s">
        <v>3972</v>
      </c>
      <c r="N855" s="201" t="s">
        <v>1030</v>
      </c>
      <c r="O855" s="205" t="s">
        <v>2050</v>
      </c>
      <c r="P855" s="205" t="s">
        <v>1115</v>
      </c>
      <c r="Q855" s="208" t="s">
        <v>846</v>
      </c>
      <c r="R855" s="208" t="s">
        <v>2922</v>
      </c>
      <c r="S855" s="208" t="s">
        <v>3890</v>
      </c>
    </row>
    <row r="856" spans="1:24" s="205" customFormat="1" hidden="1" x14ac:dyDescent="0.2">
      <c r="A856" s="205" t="s">
        <v>460</v>
      </c>
      <c r="B856" s="205" t="s">
        <v>621</v>
      </c>
      <c r="C856" s="200" t="s">
        <v>3890</v>
      </c>
      <c r="D856" s="205" t="s">
        <v>152</v>
      </c>
      <c r="F856" s="206">
        <v>11666</v>
      </c>
      <c r="G856" s="206">
        <v>1167</v>
      </c>
      <c r="H856" s="206">
        <v>58</v>
      </c>
      <c r="I856" s="202">
        <f t="shared" si="13"/>
        <v>10557</v>
      </c>
      <c r="J856" s="205" t="s">
        <v>74</v>
      </c>
      <c r="K856" s="205" t="s">
        <v>23</v>
      </c>
      <c r="L856" s="205" t="s">
        <v>1042</v>
      </c>
      <c r="M856" s="205" t="s">
        <v>3973</v>
      </c>
      <c r="N856" s="201" t="s">
        <v>1030</v>
      </c>
      <c r="O856" s="205" t="s">
        <v>652</v>
      </c>
      <c r="P856" s="205" t="s">
        <v>652</v>
      </c>
      <c r="Q856" s="208" t="s">
        <v>653</v>
      </c>
      <c r="R856" s="208" t="s">
        <v>654</v>
      </c>
      <c r="S856" s="208" t="s">
        <v>3890</v>
      </c>
    </row>
    <row r="857" spans="1:24" s="205" customFormat="1" hidden="1" x14ac:dyDescent="0.2">
      <c r="A857" s="205" t="s">
        <v>3974</v>
      </c>
      <c r="B857" s="205" t="s">
        <v>3975</v>
      </c>
      <c r="C857" s="200" t="s">
        <v>3890</v>
      </c>
      <c r="D857" s="205" t="s">
        <v>152</v>
      </c>
      <c r="F857" s="206">
        <v>67877</v>
      </c>
      <c r="G857" s="206">
        <v>6788</v>
      </c>
      <c r="H857" s="206">
        <v>339</v>
      </c>
      <c r="I857" s="202">
        <f t="shared" si="13"/>
        <v>61428</v>
      </c>
      <c r="J857" s="205" t="s">
        <v>37</v>
      </c>
      <c r="K857" s="205" t="s">
        <v>23</v>
      </c>
      <c r="L857" s="205" t="s">
        <v>1028</v>
      </c>
      <c r="M857" s="205" t="s">
        <v>3976</v>
      </c>
      <c r="N857" s="201" t="s">
        <v>1030</v>
      </c>
      <c r="O857" s="205" t="s">
        <v>652</v>
      </c>
      <c r="P857" s="205" t="s">
        <v>652</v>
      </c>
      <c r="Q857" s="208" t="s">
        <v>830</v>
      </c>
      <c r="R857" s="208" t="s">
        <v>3228</v>
      </c>
      <c r="S857" s="208" t="s">
        <v>3890</v>
      </c>
    </row>
    <row r="858" spans="1:24" s="205" customFormat="1" hidden="1" x14ac:dyDescent="0.2">
      <c r="A858" s="209" t="s">
        <v>207</v>
      </c>
      <c r="B858" s="209" t="s">
        <v>916</v>
      </c>
      <c r="C858" s="234" t="s">
        <v>3890</v>
      </c>
      <c r="D858" s="209" t="s">
        <v>152</v>
      </c>
      <c r="E858" s="209"/>
      <c r="F858" s="211">
        <v>48649</v>
      </c>
      <c r="G858" s="211">
        <v>4865</v>
      </c>
      <c r="H858" s="211">
        <v>243</v>
      </c>
      <c r="I858" s="202">
        <f t="shared" si="13"/>
        <v>44027</v>
      </c>
      <c r="J858" s="209" t="s">
        <v>44</v>
      </c>
      <c r="K858" s="209" t="s">
        <v>23</v>
      </c>
      <c r="L858" s="209" t="s">
        <v>1042</v>
      </c>
      <c r="M858" s="209" t="s">
        <v>3977</v>
      </c>
      <c r="N858" s="201" t="s">
        <v>1030</v>
      </c>
      <c r="O858" s="209" t="s">
        <v>652</v>
      </c>
      <c r="P858" s="209" t="s">
        <v>652</v>
      </c>
      <c r="Q858" s="213" t="s">
        <v>663</v>
      </c>
      <c r="R858" s="213" t="s">
        <v>745</v>
      </c>
      <c r="S858" s="213" t="s">
        <v>3890</v>
      </c>
      <c r="T858" s="209"/>
    </row>
    <row r="859" spans="1:24" s="205" customFormat="1" hidden="1" x14ac:dyDescent="0.2">
      <c r="A859" s="209" t="s">
        <v>3978</v>
      </c>
      <c r="B859" s="209" t="s">
        <v>3979</v>
      </c>
      <c r="C859" s="234" t="s">
        <v>3890</v>
      </c>
      <c r="D859" s="209" t="s">
        <v>152</v>
      </c>
      <c r="E859" s="209"/>
      <c r="F859" s="211">
        <v>52204</v>
      </c>
      <c r="G859" s="211">
        <v>5220</v>
      </c>
      <c r="H859" s="211">
        <v>261</v>
      </c>
      <c r="I859" s="202">
        <f t="shared" si="13"/>
        <v>47245</v>
      </c>
      <c r="J859" s="209" t="s">
        <v>37</v>
      </c>
      <c r="K859" s="209" t="s">
        <v>23</v>
      </c>
      <c r="L859" s="209" t="s">
        <v>1028</v>
      </c>
      <c r="M859" s="209" t="s">
        <v>3980</v>
      </c>
      <c r="N859" s="201" t="s">
        <v>1030</v>
      </c>
      <c r="O859" s="209" t="s">
        <v>652</v>
      </c>
      <c r="P859" s="209" t="s">
        <v>652</v>
      </c>
      <c r="Q859" s="213" t="s">
        <v>3254</v>
      </c>
      <c r="R859" s="213" t="s">
        <v>3285</v>
      </c>
      <c r="S859" s="213" t="s">
        <v>3890</v>
      </c>
      <c r="T859" s="209"/>
      <c r="U859" s="209"/>
      <c r="V859" s="209"/>
      <c r="W859" s="209"/>
      <c r="X859" s="209"/>
    </row>
    <row r="860" spans="1:24" s="205" customFormat="1" hidden="1" x14ac:dyDescent="0.2">
      <c r="A860" s="205" t="s">
        <v>204</v>
      </c>
      <c r="B860" s="205" t="s">
        <v>343</v>
      </c>
      <c r="C860" s="200" t="s">
        <v>3890</v>
      </c>
      <c r="D860" s="209" t="s">
        <v>152</v>
      </c>
      <c r="E860" s="209"/>
      <c r="F860" s="206">
        <v>34049</v>
      </c>
      <c r="G860" s="206">
        <v>0</v>
      </c>
      <c r="H860" s="206">
        <v>0</v>
      </c>
      <c r="I860" s="202">
        <f t="shared" si="13"/>
        <v>34049</v>
      </c>
      <c r="J860" s="205" t="s">
        <v>25</v>
      </c>
      <c r="K860" s="205" t="s">
        <v>214</v>
      </c>
      <c r="L860" s="209" t="s">
        <v>1042</v>
      </c>
      <c r="M860" s="205" t="s">
        <v>3981</v>
      </c>
      <c r="N860" s="201" t="s">
        <v>1030</v>
      </c>
      <c r="O860" s="205" t="s">
        <v>652</v>
      </c>
      <c r="P860" s="205" t="s">
        <v>652</v>
      </c>
      <c r="Q860" s="208" t="s">
        <v>696</v>
      </c>
      <c r="R860" s="208" t="s">
        <v>697</v>
      </c>
      <c r="S860" s="208" t="s">
        <v>3890</v>
      </c>
      <c r="U860" s="209"/>
      <c r="V860" s="209"/>
      <c r="W860" s="209"/>
      <c r="X860" s="209"/>
    </row>
    <row r="861" spans="1:24" s="205" customFormat="1" hidden="1" x14ac:dyDescent="0.2">
      <c r="A861" s="205" t="s">
        <v>268</v>
      </c>
      <c r="B861" s="205" t="s">
        <v>285</v>
      </c>
      <c r="C861" s="200" t="s">
        <v>3890</v>
      </c>
      <c r="D861" s="209" t="s">
        <v>152</v>
      </c>
      <c r="E861" s="209"/>
      <c r="F861" s="206">
        <v>3000</v>
      </c>
      <c r="G861" s="206">
        <v>0</v>
      </c>
      <c r="H861" s="206">
        <v>0</v>
      </c>
      <c r="I861" s="202">
        <f t="shared" si="13"/>
        <v>3000</v>
      </c>
      <c r="J861" s="205" t="s">
        <v>25</v>
      </c>
      <c r="K861" s="205" t="s">
        <v>214</v>
      </c>
      <c r="L861" s="209" t="s">
        <v>1042</v>
      </c>
      <c r="M861" s="205" t="s">
        <v>3982</v>
      </c>
      <c r="N861" s="201" t="s">
        <v>1030</v>
      </c>
      <c r="O861" s="205" t="s">
        <v>652</v>
      </c>
      <c r="P861" s="205" t="s">
        <v>652</v>
      </c>
      <c r="Q861" s="208" t="s">
        <v>677</v>
      </c>
      <c r="R861" s="208" t="s">
        <v>678</v>
      </c>
      <c r="S861" s="208" t="s">
        <v>3890</v>
      </c>
      <c r="U861" s="209"/>
      <c r="V861" s="209"/>
      <c r="W861" s="209"/>
      <c r="X861" s="209"/>
    </row>
    <row r="862" spans="1:24" s="205" customFormat="1" hidden="1" x14ac:dyDescent="0.2">
      <c r="A862" s="205" t="s">
        <v>260</v>
      </c>
      <c r="B862" s="205" t="s">
        <v>2428</v>
      </c>
      <c r="C862" s="200" t="s">
        <v>3890</v>
      </c>
      <c r="D862" s="205" t="s">
        <v>152</v>
      </c>
      <c r="F862" s="206">
        <v>23909</v>
      </c>
      <c r="G862" s="206">
        <v>0</v>
      </c>
      <c r="H862" s="206">
        <v>0</v>
      </c>
      <c r="I862" s="202">
        <f t="shared" si="13"/>
        <v>23909</v>
      </c>
      <c r="J862" s="205" t="s">
        <v>25</v>
      </c>
      <c r="K862" s="205" t="s">
        <v>214</v>
      </c>
      <c r="L862" s="205" t="s">
        <v>1141</v>
      </c>
      <c r="M862" s="205" t="s">
        <v>3983</v>
      </c>
      <c r="N862" s="201" t="s">
        <v>1030</v>
      </c>
      <c r="O862" s="205" t="s">
        <v>652</v>
      </c>
      <c r="P862" s="205" t="s">
        <v>652</v>
      </c>
      <c r="Q862" s="208" t="s">
        <v>2430</v>
      </c>
      <c r="R862" s="208" t="s">
        <v>2431</v>
      </c>
      <c r="S862" s="208" t="s">
        <v>3890</v>
      </c>
      <c r="U862" s="209"/>
      <c r="V862" s="209"/>
      <c r="W862" s="209"/>
      <c r="X862" s="209"/>
    </row>
    <row r="863" spans="1:24" s="205" customFormat="1" hidden="1" x14ac:dyDescent="0.2">
      <c r="A863" s="205" t="s">
        <v>75</v>
      </c>
      <c r="B863" s="205" t="s">
        <v>594</v>
      </c>
      <c r="C863" s="200" t="s">
        <v>3984</v>
      </c>
      <c r="D863" s="209" t="s">
        <v>152</v>
      </c>
      <c r="E863" s="209"/>
      <c r="F863" s="206">
        <v>81761</v>
      </c>
      <c r="G863" s="206">
        <v>0</v>
      </c>
      <c r="H863" s="206">
        <v>0</v>
      </c>
      <c r="I863" s="202">
        <f t="shared" si="13"/>
        <v>81761</v>
      </c>
      <c r="J863" s="205" t="s">
        <v>76</v>
      </c>
      <c r="K863" s="205" t="s">
        <v>29</v>
      </c>
      <c r="L863" s="209" t="s">
        <v>1042</v>
      </c>
      <c r="M863" s="205" t="s">
        <v>3985</v>
      </c>
      <c r="N863" s="201" t="s">
        <v>1030</v>
      </c>
      <c r="O863" s="205" t="s">
        <v>652</v>
      </c>
      <c r="P863" s="205" t="s">
        <v>652</v>
      </c>
      <c r="Q863" s="208" t="s">
        <v>653</v>
      </c>
      <c r="R863" s="208" t="s">
        <v>654</v>
      </c>
      <c r="S863" s="208" t="s">
        <v>3984</v>
      </c>
      <c r="T863" s="209"/>
    </row>
    <row r="864" spans="1:24" s="205" customFormat="1" hidden="1" x14ac:dyDescent="0.2">
      <c r="A864" s="205" t="s">
        <v>75</v>
      </c>
      <c r="B864" s="205" t="s">
        <v>590</v>
      </c>
      <c r="C864" s="200" t="s">
        <v>3984</v>
      </c>
      <c r="D864" s="209" t="s">
        <v>152</v>
      </c>
      <c r="E864" s="209"/>
      <c r="F864" s="206">
        <v>64545</v>
      </c>
      <c r="G864" s="206">
        <v>0</v>
      </c>
      <c r="H864" s="206">
        <v>0</v>
      </c>
      <c r="I864" s="202">
        <f t="shared" si="13"/>
        <v>64545</v>
      </c>
      <c r="J864" s="205" t="s">
        <v>76</v>
      </c>
      <c r="K864" s="205" t="s">
        <v>29</v>
      </c>
      <c r="L864" s="209" t="s">
        <v>1042</v>
      </c>
      <c r="M864" s="205" t="s">
        <v>3986</v>
      </c>
      <c r="N864" s="201" t="s">
        <v>1030</v>
      </c>
      <c r="O864" s="205" t="s">
        <v>652</v>
      </c>
      <c r="P864" s="205" t="s">
        <v>652</v>
      </c>
      <c r="Q864" s="208" t="s">
        <v>653</v>
      </c>
      <c r="R864" s="208" t="s">
        <v>654</v>
      </c>
      <c r="S864" s="208" t="s">
        <v>3984</v>
      </c>
      <c r="T864" s="209"/>
    </row>
    <row r="865" spans="1:20" s="205" customFormat="1" hidden="1" x14ac:dyDescent="0.2">
      <c r="A865" s="205" t="s">
        <v>75</v>
      </c>
      <c r="B865" s="205" t="s">
        <v>595</v>
      </c>
      <c r="C865" s="200" t="s">
        <v>3984</v>
      </c>
      <c r="D865" s="209" t="s">
        <v>152</v>
      </c>
      <c r="E865" s="209"/>
      <c r="F865" s="206">
        <v>63799</v>
      </c>
      <c r="G865" s="206">
        <v>0</v>
      </c>
      <c r="H865" s="206">
        <v>0</v>
      </c>
      <c r="I865" s="202">
        <f t="shared" si="13"/>
        <v>63799</v>
      </c>
      <c r="J865" s="205" t="s">
        <v>76</v>
      </c>
      <c r="K865" s="205" t="s">
        <v>29</v>
      </c>
      <c r="L865" s="209" t="s">
        <v>1042</v>
      </c>
      <c r="M865" s="205" t="s">
        <v>3987</v>
      </c>
      <c r="N865" s="201" t="s">
        <v>1030</v>
      </c>
      <c r="O865" s="205" t="s">
        <v>652</v>
      </c>
      <c r="P865" s="205" t="s">
        <v>652</v>
      </c>
      <c r="Q865" s="208" t="s">
        <v>653</v>
      </c>
      <c r="R865" s="208" t="s">
        <v>654</v>
      </c>
      <c r="S865" s="208" t="s">
        <v>3984</v>
      </c>
      <c r="T865" s="209"/>
    </row>
    <row r="866" spans="1:20" s="205" customFormat="1" hidden="1" x14ac:dyDescent="0.2">
      <c r="A866" s="205" t="s">
        <v>3714</v>
      </c>
      <c r="B866" s="205" t="s">
        <v>3715</v>
      </c>
      <c r="C866" s="200" t="s">
        <v>3984</v>
      </c>
      <c r="D866" s="209" t="s">
        <v>152</v>
      </c>
      <c r="E866" s="209"/>
      <c r="F866" s="206">
        <v>239521</v>
      </c>
      <c r="G866" s="206">
        <v>23952</v>
      </c>
      <c r="H866" s="206">
        <v>2395</v>
      </c>
      <c r="I866" s="202">
        <f t="shared" si="13"/>
        <v>217964</v>
      </c>
      <c r="J866" s="205" t="s">
        <v>82</v>
      </c>
      <c r="K866" s="205" t="s">
        <v>29</v>
      </c>
      <c r="L866" s="209" t="s">
        <v>1058</v>
      </c>
      <c r="M866" s="205" t="s">
        <v>3988</v>
      </c>
      <c r="N866" s="201" t="s">
        <v>1030</v>
      </c>
      <c r="O866" s="205" t="s">
        <v>1274</v>
      </c>
      <c r="P866" s="205" t="s">
        <v>1111</v>
      </c>
      <c r="Q866" s="208" t="s">
        <v>2191</v>
      </c>
      <c r="R866" s="208" t="s">
        <v>2192</v>
      </c>
      <c r="S866" s="208" t="s">
        <v>3984</v>
      </c>
    </row>
    <row r="867" spans="1:20" s="205" customFormat="1" hidden="1" x14ac:dyDescent="0.2">
      <c r="A867" s="205" t="s">
        <v>517</v>
      </c>
      <c r="B867" s="205" t="s">
        <v>2679</v>
      </c>
      <c r="C867" s="200" t="s">
        <v>3984</v>
      </c>
      <c r="D867" s="209" t="s">
        <v>166</v>
      </c>
      <c r="E867" s="209"/>
      <c r="F867" s="206">
        <v>-271774</v>
      </c>
      <c r="G867" s="206">
        <v>-27177</v>
      </c>
      <c r="H867" s="206">
        <v>-2718</v>
      </c>
      <c r="I867" s="202">
        <f t="shared" si="13"/>
        <v>-247315</v>
      </c>
      <c r="J867" s="205" t="s">
        <v>82</v>
      </c>
      <c r="K867" s="205" t="s">
        <v>29</v>
      </c>
      <c r="L867" s="209" t="s">
        <v>1068</v>
      </c>
      <c r="M867" s="205" t="s">
        <v>3989</v>
      </c>
      <c r="N867" s="201" t="s">
        <v>1030</v>
      </c>
      <c r="O867" s="205" t="s">
        <v>652</v>
      </c>
      <c r="P867" s="205" t="s">
        <v>652</v>
      </c>
      <c r="Q867" s="208" t="s">
        <v>2191</v>
      </c>
      <c r="R867" s="208" t="s">
        <v>2192</v>
      </c>
      <c r="S867" s="208" t="s">
        <v>3984</v>
      </c>
    </row>
    <row r="868" spans="1:20" s="205" customFormat="1" hidden="1" x14ac:dyDescent="0.2">
      <c r="A868" s="205" t="s">
        <v>3990</v>
      </c>
      <c r="B868" s="205" t="s">
        <v>3991</v>
      </c>
      <c r="C868" s="200" t="s">
        <v>3984</v>
      </c>
      <c r="D868" s="205" t="s">
        <v>152</v>
      </c>
      <c r="F868" s="206">
        <v>136166</v>
      </c>
      <c r="G868" s="206">
        <v>13617</v>
      </c>
      <c r="H868" s="206">
        <v>1362</v>
      </c>
      <c r="I868" s="202">
        <f t="shared" si="13"/>
        <v>123911</v>
      </c>
      <c r="J868" s="205" t="s">
        <v>217</v>
      </c>
      <c r="K868" s="205" t="s">
        <v>29</v>
      </c>
      <c r="L868" s="205" t="s">
        <v>1058</v>
      </c>
      <c r="M868" s="205" t="s">
        <v>3992</v>
      </c>
      <c r="N868" s="199" t="s">
        <v>1030</v>
      </c>
      <c r="O868" s="205" t="s">
        <v>652</v>
      </c>
      <c r="P868" s="205" t="s">
        <v>652</v>
      </c>
      <c r="Q868" s="208" t="s">
        <v>687</v>
      </c>
      <c r="R868" s="208" t="s">
        <v>3265</v>
      </c>
      <c r="S868" s="208" t="s">
        <v>3984</v>
      </c>
    </row>
    <row r="869" spans="1:20" s="205" customFormat="1" hidden="1" x14ac:dyDescent="0.2">
      <c r="A869" s="205" t="s">
        <v>3095</v>
      </c>
      <c r="B869" s="205" t="s">
        <v>3096</v>
      </c>
      <c r="C869" s="200" t="s">
        <v>3984</v>
      </c>
      <c r="D869" s="205" t="s">
        <v>152</v>
      </c>
      <c r="F869" s="206">
        <v>28447</v>
      </c>
      <c r="G869" s="206">
        <v>2845</v>
      </c>
      <c r="H869" s="206">
        <v>285</v>
      </c>
      <c r="I869" s="202">
        <f t="shared" si="13"/>
        <v>25887</v>
      </c>
      <c r="J869" s="205" t="s">
        <v>3097</v>
      </c>
      <c r="K869" s="205" t="s">
        <v>29</v>
      </c>
      <c r="L869" s="205" t="s">
        <v>1028</v>
      </c>
      <c r="M869" s="205" t="s">
        <v>3993</v>
      </c>
      <c r="N869" s="201" t="s">
        <v>1030</v>
      </c>
      <c r="O869" s="205" t="s">
        <v>652</v>
      </c>
      <c r="P869" s="205" t="s">
        <v>652</v>
      </c>
      <c r="Q869" s="208" t="s">
        <v>987</v>
      </c>
      <c r="R869" s="208" t="s">
        <v>988</v>
      </c>
      <c r="S869" s="208" t="s">
        <v>3984</v>
      </c>
    </row>
    <row r="870" spans="1:20" s="205" customFormat="1" hidden="1" x14ac:dyDescent="0.2">
      <c r="A870" s="205" t="s">
        <v>3095</v>
      </c>
      <c r="B870" s="205" t="s">
        <v>3096</v>
      </c>
      <c r="C870" s="200" t="s">
        <v>3984</v>
      </c>
      <c r="D870" s="205" t="s">
        <v>166</v>
      </c>
      <c r="F870" s="206">
        <v>-35581</v>
      </c>
      <c r="G870" s="206">
        <v>-3558</v>
      </c>
      <c r="H870" s="206">
        <v>-356</v>
      </c>
      <c r="I870" s="202">
        <f t="shared" si="13"/>
        <v>-32379</v>
      </c>
      <c r="J870" s="205" t="s">
        <v>3097</v>
      </c>
      <c r="K870" s="205" t="s">
        <v>29</v>
      </c>
      <c r="L870" s="205" t="s">
        <v>1028</v>
      </c>
      <c r="M870" s="205" t="s">
        <v>3994</v>
      </c>
      <c r="N870" s="201" t="s">
        <v>1030</v>
      </c>
      <c r="O870" s="205" t="s">
        <v>652</v>
      </c>
      <c r="P870" s="205" t="s">
        <v>652</v>
      </c>
      <c r="Q870" s="208" t="s">
        <v>987</v>
      </c>
      <c r="R870" s="208" t="s">
        <v>988</v>
      </c>
      <c r="S870" s="208" t="s">
        <v>3984</v>
      </c>
    </row>
    <row r="871" spans="1:20" s="205" customFormat="1" hidden="1" x14ac:dyDescent="0.2">
      <c r="A871" s="205" t="s">
        <v>3995</v>
      </c>
      <c r="B871" s="205" t="s">
        <v>3996</v>
      </c>
      <c r="C871" s="200" t="s">
        <v>3984</v>
      </c>
      <c r="D871" s="209" t="s">
        <v>152</v>
      </c>
      <c r="E871" s="209"/>
      <c r="F871" s="206">
        <v>260254</v>
      </c>
      <c r="G871" s="206">
        <v>26026</v>
      </c>
      <c r="H871" s="206">
        <v>1301</v>
      </c>
      <c r="I871" s="202">
        <f t="shared" si="13"/>
        <v>235529</v>
      </c>
      <c r="J871" s="205" t="s">
        <v>138</v>
      </c>
      <c r="K871" s="205" t="s">
        <v>23</v>
      </c>
      <c r="L871" s="209" t="s">
        <v>1028</v>
      </c>
      <c r="M871" s="205" t="s">
        <v>3997</v>
      </c>
      <c r="N871" s="201" t="s">
        <v>1030</v>
      </c>
      <c r="O871" s="205" t="s">
        <v>652</v>
      </c>
      <c r="P871" s="205" t="s">
        <v>652</v>
      </c>
      <c r="Q871" s="208" t="s">
        <v>2664</v>
      </c>
      <c r="R871" s="208" t="s">
        <v>2665</v>
      </c>
      <c r="S871" s="208" t="s">
        <v>3984</v>
      </c>
      <c r="T871" s="209"/>
    </row>
    <row r="872" spans="1:20" s="205" customFormat="1" hidden="1" x14ac:dyDescent="0.2">
      <c r="A872" s="205" t="s">
        <v>1271</v>
      </c>
      <c r="B872" s="205" t="s">
        <v>1272</v>
      </c>
      <c r="C872" s="200" t="s">
        <v>3984</v>
      </c>
      <c r="D872" s="209" t="s">
        <v>152</v>
      </c>
      <c r="E872" s="209"/>
      <c r="F872" s="206">
        <v>1</v>
      </c>
      <c r="G872" s="206">
        <v>0</v>
      </c>
      <c r="H872" s="206">
        <v>0</v>
      </c>
      <c r="I872" s="202">
        <f t="shared" si="13"/>
        <v>1</v>
      </c>
      <c r="J872" s="205" t="s">
        <v>22</v>
      </c>
      <c r="K872" s="205" t="s">
        <v>23</v>
      </c>
      <c r="L872" s="209" t="s">
        <v>1151</v>
      </c>
      <c r="M872" s="205" t="s">
        <v>3998</v>
      </c>
      <c r="N872" s="201" t="s">
        <v>1030</v>
      </c>
      <c r="O872" s="205" t="s">
        <v>1274</v>
      </c>
      <c r="P872" s="205" t="s">
        <v>1111</v>
      </c>
      <c r="Q872" s="208" t="s">
        <v>987</v>
      </c>
      <c r="R872" s="208" t="s">
        <v>988</v>
      </c>
      <c r="S872" s="208" t="s">
        <v>3984</v>
      </c>
    </row>
    <row r="873" spans="1:20" s="205" customFormat="1" hidden="1" x14ac:dyDescent="0.2">
      <c r="A873" s="205" t="s">
        <v>1271</v>
      </c>
      <c r="B873" s="205" t="s">
        <v>1272</v>
      </c>
      <c r="C873" s="200" t="s">
        <v>3984</v>
      </c>
      <c r="D873" s="209" t="s">
        <v>152</v>
      </c>
      <c r="E873" s="209"/>
      <c r="F873" s="206">
        <v>1112954</v>
      </c>
      <c r="G873" s="206">
        <v>111295</v>
      </c>
      <c r="H873" s="206">
        <v>5565</v>
      </c>
      <c r="I873" s="202">
        <f t="shared" si="13"/>
        <v>1007224</v>
      </c>
      <c r="J873" s="205" t="s">
        <v>22</v>
      </c>
      <c r="K873" s="205" t="s">
        <v>23</v>
      </c>
      <c r="L873" s="209" t="s">
        <v>1042</v>
      </c>
      <c r="M873" s="205" t="s">
        <v>3999</v>
      </c>
      <c r="N873" s="201" t="s">
        <v>1030</v>
      </c>
      <c r="O873" s="205" t="s">
        <v>1274</v>
      </c>
      <c r="P873" s="205" t="s">
        <v>1111</v>
      </c>
      <c r="Q873" s="208" t="s">
        <v>987</v>
      </c>
      <c r="R873" s="208" t="s">
        <v>988</v>
      </c>
      <c r="S873" s="208" t="s">
        <v>3984</v>
      </c>
    </row>
    <row r="874" spans="1:20" s="205" customFormat="1" hidden="1" x14ac:dyDescent="0.2">
      <c r="A874" s="205" t="s">
        <v>1271</v>
      </c>
      <c r="B874" s="205" t="s">
        <v>1272</v>
      </c>
      <c r="C874" s="200" t="s">
        <v>3984</v>
      </c>
      <c r="D874" s="209" t="s">
        <v>166</v>
      </c>
      <c r="E874" s="209"/>
      <c r="F874" s="206">
        <v>-1</v>
      </c>
      <c r="G874" s="206">
        <v>0</v>
      </c>
      <c r="H874" s="206">
        <v>0</v>
      </c>
      <c r="I874" s="202">
        <f t="shared" si="13"/>
        <v>-1</v>
      </c>
      <c r="J874" s="205" t="s">
        <v>22</v>
      </c>
      <c r="K874" s="205" t="s">
        <v>23</v>
      </c>
      <c r="L874" s="209" t="s">
        <v>1325</v>
      </c>
      <c r="M874" s="205" t="s">
        <v>4000</v>
      </c>
      <c r="N874" s="201" t="s">
        <v>1030</v>
      </c>
      <c r="O874" s="205" t="s">
        <v>1274</v>
      </c>
      <c r="P874" s="205" t="s">
        <v>1111</v>
      </c>
      <c r="Q874" s="208" t="s">
        <v>987</v>
      </c>
      <c r="R874" s="208" t="s">
        <v>988</v>
      </c>
      <c r="S874" s="208" t="s">
        <v>3984</v>
      </c>
    </row>
    <row r="875" spans="1:20" s="205" customFormat="1" hidden="1" x14ac:dyDescent="0.2">
      <c r="A875" s="205" t="s">
        <v>397</v>
      </c>
      <c r="B875" s="205" t="s">
        <v>1997</v>
      </c>
      <c r="C875" s="200" t="s">
        <v>3984</v>
      </c>
      <c r="D875" s="209" t="s">
        <v>152</v>
      </c>
      <c r="E875" s="209"/>
      <c r="F875" s="206">
        <v>18320</v>
      </c>
      <c r="G875" s="206">
        <v>1832</v>
      </c>
      <c r="H875" s="206">
        <v>92</v>
      </c>
      <c r="I875" s="202">
        <f t="shared" si="13"/>
        <v>16580</v>
      </c>
      <c r="J875" s="205" t="s">
        <v>1998</v>
      </c>
      <c r="K875" s="205" t="s">
        <v>23</v>
      </c>
      <c r="L875" s="209" t="s">
        <v>1042</v>
      </c>
      <c r="M875" s="205" t="s">
        <v>4001</v>
      </c>
      <c r="N875" s="201" t="s">
        <v>1030</v>
      </c>
      <c r="O875" s="205" t="s">
        <v>1382</v>
      </c>
      <c r="P875" s="205" t="s">
        <v>1382</v>
      </c>
      <c r="Q875" s="208" t="s">
        <v>1035</v>
      </c>
      <c r="R875" s="208" t="s">
        <v>1036</v>
      </c>
      <c r="S875" s="208" t="s">
        <v>3984</v>
      </c>
    </row>
    <row r="876" spans="1:20" s="205" customFormat="1" hidden="1" x14ac:dyDescent="0.2">
      <c r="A876" s="205" t="s">
        <v>3241</v>
      </c>
      <c r="B876" s="205" t="s">
        <v>3242</v>
      </c>
      <c r="C876" s="200" t="s">
        <v>3984</v>
      </c>
      <c r="D876" s="209" t="s">
        <v>152</v>
      </c>
      <c r="E876" s="209"/>
      <c r="F876" s="206">
        <v>1186833</v>
      </c>
      <c r="G876" s="206">
        <v>118683</v>
      </c>
      <c r="H876" s="206">
        <v>5934</v>
      </c>
      <c r="I876" s="202">
        <f t="shared" si="13"/>
        <v>1074084</v>
      </c>
      <c r="J876" s="205" t="s">
        <v>52</v>
      </c>
      <c r="K876" s="205" t="s">
        <v>23</v>
      </c>
      <c r="L876" s="209" t="s">
        <v>1042</v>
      </c>
      <c r="M876" s="205" t="s">
        <v>4002</v>
      </c>
      <c r="N876" s="201" t="s">
        <v>1030</v>
      </c>
      <c r="O876" s="205" t="s">
        <v>1190</v>
      </c>
      <c r="P876" s="205" t="s">
        <v>1191</v>
      </c>
      <c r="Q876" s="208" t="s">
        <v>846</v>
      </c>
      <c r="R876" s="208" t="s">
        <v>2922</v>
      </c>
      <c r="S876" s="208" t="s">
        <v>3984</v>
      </c>
    </row>
    <row r="877" spans="1:20" s="205" customFormat="1" hidden="1" x14ac:dyDescent="0.2">
      <c r="A877" s="205" t="s">
        <v>4003</v>
      </c>
      <c r="B877" s="205" t="s">
        <v>4004</v>
      </c>
      <c r="C877" s="200" t="s">
        <v>3984</v>
      </c>
      <c r="D877" s="209" t="s">
        <v>152</v>
      </c>
      <c r="E877" s="209"/>
      <c r="F877" s="206">
        <v>137113</v>
      </c>
      <c r="G877" s="206">
        <v>13711</v>
      </c>
      <c r="H877" s="206">
        <v>686</v>
      </c>
      <c r="I877" s="202">
        <f t="shared" si="13"/>
        <v>124088</v>
      </c>
      <c r="J877" s="205" t="s">
        <v>4005</v>
      </c>
      <c r="K877" s="205" t="s">
        <v>23</v>
      </c>
      <c r="L877" s="209" t="s">
        <v>1028</v>
      </c>
      <c r="M877" s="205" t="s">
        <v>4006</v>
      </c>
      <c r="N877" s="201" t="s">
        <v>1030</v>
      </c>
      <c r="O877" s="205" t="s">
        <v>652</v>
      </c>
      <c r="P877" s="205" t="s">
        <v>652</v>
      </c>
      <c r="Q877" s="208" t="s">
        <v>987</v>
      </c>
      <c r="R877" s="208" t="s">
        <v>988</v>
      </c>
      <c r="S877" s="208" t="s">
        <v>3984</v>
      </c>
    </row>
    <row r="878" spans="1:20" s="205" customFormat="1" hidden="1" x14ac:dyDescent="0.2">
      <c r="A878" s="205" t="s">
        <v>3161</v>
      </c>
      <c r="B878" s="205" t="s">
        <v>4007</v>
      </c>
      <c r="C878" s="200" t="s">
        <v>3984</v>
      </c>
      <c r="D878" s="209" t="s">
        <v>152</v>
      </c>
      <c r="E878" s="209"/>
      <c r="F878" s="206">
        <v>125371</v>
      </c>
      <c r="G878" s="206">
        <v>12537</v>
      </c>
      <c r="H878" s="206">
        <v>627</v>
      </c>
      <c r="I878" s="202">
        <f t="shared" si="13"/>
        <v>113461</v>
      </c>
      <c r="J878" s="205" t="s">
        <v>44</v>
      </c>
      <c r="K878" s="205" t="s">
        <v>23</v>
      </c>
      <c r="L878" s="209" t="s">
        <v>1028</v>
      </c>
      <c r="M878" s="205" t="s">
        <v>4008</v>
      </c>
      <c r="N878" s="201" t="s">
        <v>1030</v>
      </c>
      <c r="O878" s="205" t="s">
        <v>652</v>
      </c>
      <c r="P878" s="205" t="s">
        <v>652</v>
      </c>
      <c r="Q878" s="208" t="s">
        <v>678</v>
      </c>
      <c r="R878" s="208" t="s">
        <v>3954</v>
      </c>
      <c r="S878" s="208" t="s">
        <v>3984</v>
      </c>
    </row>
    <row r="879" spans="1:20" s="205" customFormat="1" hidden="1" x14ac:dyDescent="0.2">
      <c r="A879" s="205" t="s">
        <v>245</v>
      </c>
      <c r="B879" s="205" t="s">
        <v>4009</v>
      </c>
      <c r="C879" s="200" t="s">
        <v>3984</v>
      </c>
      <c r="D879" s="209" t="s">
        <v>152</v>
      </c>
      <c r="E879" s="209"/>
      <c r="F879" s="206">
        <v>22716</v>
      </c>
      <c r="G879" s="206">
        <v>2272</v>
      </c>
      <c r="H879" s="206">
        <v>114</v>
      </c>
      <c r="I879" s="202">
        <f t="shared" si="13"/>
        <v>20558</v>
      </c>
      <c r="J879" s="205" t="s">
        <v>489</v>
      </c>
      <c r="K879" s="205" t="s">
        <v>23</v>
      </c>
      <c r="L879" s="209" t="s">
        <v>1042</v>
      </c>
      <c r="M879" s="205" t="s">
        <v>4010</v>
      </c>
      <c r="N879" s="201" t="s">
        <v>1030</v>
      </c>
      <c r="O879" s="205" t="s">
        <v>652</v>
      </c>
      <c r="P879" s="205" t="s">
        <v>652</v>
      </c>
      <c r="Q879" s="208" t="s">
        <v>653</v>
      </c>
      <c r="R879" s="208" t="s">
        <v>654</v>
      </c>
      <c r="S879" s="208" t="s">
        <v>3984</v>
      </c>
    </row>
    <row r="880" spans="1:20" s="205" customFormat="1" hidden="1" x14ac:dyDescent="0.2">
      <c r="A880" s="205" t="s">
        <v>245</v>
      </c>
      <c r="B880" s="205" t="s">
        <v>4011</v>
      </c>
      <c r="C880" s="200" t="s">
        <v>3984</v>
      </c>
      <c r="D880" s="209" t="s">
        <v>152</v>
      </c>
      <c r="E880" s="209"/>
      <c r="F880" s="206">
        <v>22716</v>
      </c>
      <c r="G880" s="206">
        <v>2272</v>
      </c>
      <c r="H880" s="206">
        <v>114</v>
      </c>
      <c r="I880" s="202">
        <f t="shared" si="13"/>
        <v>20558</v>
      </c>
      <c r="J880" s="205" t="s">
        <v>489</v>
      </c>
      <c r="K880" s="205" t="s">
        <v>23</v>
      </c>
      <c r="L880" s="209" t="s">
        <v>1042</v>
      </c>
      <c r="M880" s="205" t="s">
        <v>4012</v>
      </c>
      <c r="N880" s="201" t="s">
        <v>1030</v>
      </c>
      <c r="O880" s="205" t="s">
        <v>652</v>
      </c>
      <c r="P880" s="205" t="s">
        <v>652</v>
      </c>
      <c r="Q880" s="208" t="s">
        <v>2191</v>
      </c>
      <c r="R880" s="208" t="s">
        <v>2192</v>
      </c>
      <c r="S880" s="208" t="s">
        <v>3984</v>
      </c>
    </row>
    <row r="881" spans="1:20" s="205" customFormat="1" hidden="1" x14ac:dyDescent="0.2">
      <c r="A881" s="205" t="s">
        <v>245</v>
      </c>
      <c r="B881" s="205" t="s">
        <v>4013</v>
      </c>
      <c r="C881" s="200" t="s">
        <v>3984</v>
      </c>
      <c r="D881" s="209" t="s">
        <v>152</v>
      </c>
      <c r="E881" s="209"/>
      <c r="F881" s="206">
        <v>44011</v>
      </c>
      <c r="G881" s="206">
        <v>4401</v>
      </c>
      <c r="H881" s="206">
        <v>220</v>
      </c>
      <c r="I881" s="202">
        <f t="shared" si="13"/>
        <v>39830</v>
      </c>
      <c r="J881" s="205" t="s">
        <v>489</v>
      </c>
      <c r="K881" s="205" t="s">
        <v>23</v>
      </c>
      <c r="L881" s="209" t="s">
        <v>1042</v>
      </c>
      <c r="M881" s="205" t="s">
        <v>4014</v>
      </c>
      <c r="N881" s="201" t="s">
        <v>1030</v>
      </c>
      <c r="O881" s="205" t="s">
        <v>652</v>
      </c>
      <c r="P881" s="205" t="s">
        <v>652</v>
      </c>
      <c r="Q881" s="208" t="s">
        <v>2191</v>
      </c>
      <c r="R881" s="208" t="s">
        <v>2192</v>
      </c>
      <c r="S881" s="208" t="s">
        <v>3984</v>
      </c>
    </row>
    <row r="882" spans="1:20" s="205" customFormat="1" hidden="1" x14ac:dyDescent="0.2">
      <c r="A882" s="205" t="s">
        <v>245</v>
      </c>
      <c r="B882" s="205" t="s">
        <v>4015</v>
      </c>
      <c r="C882" s="200" t="s">
        <v>3984</v>
      </c>
      <c r="D882" s="209" t="s">
        <v>152</v>
      </c>
      <c r="E882" s="209"/>
      <c r="F882" s="206">
        <v>22716</v>
      </c>
      <c r="G882" s="206">
        <v>2272</v>
      </c>
      <c r="H882" s="206">
        <v>114</v>
      </c>
      <c r="I882" s="202">
        <f t="shared" si="13"/>
        <v>20558</v>
      </c>
      <c r="J882" s="205" t="s">
        <v>489</v>
      </c>
      <c r="K882" s="205" t="s">
        <v>23</v>
      </c>
      <c r="L882" s="209" t="s">
        <v>1042</v>
      </c>
      <c r="M882" s="205" t="s">
        <v>4016</v>
      </c>
      <c r="N882" s="201" t="s">
        <v>1030</v>
      </c>
      <c r="O882" s="205" t="s">
        <v>652</v>
      </c>
      <c r="P882" s="205" t="s">
        <v>652</v>
      </c>
      <c r="Q882" s="208" t="s">
        <v>2191</v>
      </c>
      <c r="R882" s="208" t="s">
        <v>2192</v>
      </c>
      <c r="S882" s="208" t="s">
        <v>3984</v>
      </c>
    </row>
    <row r="883" spans="1:20" s="205" customFormat="1" hidden="1" x14ac:dyDescent="0.2">
      <c r="A883" s="205" t="s">
        <v>245</v>
      </c>
      <c r="B883" s="205" t="s">
        <v>4017</v>
      </c>
      <c r="C883" s="200" t="s">
        <v>3984</v>
      </c>
      <c r="D883" s="209" t="s">
        <v>152</v>
      </c>
      <c r="E883" s="209"/>
      <c r="F883" s="206">
        <v>31332</v>
      </c>
      <c r="G883" s="206">
        <v>3133</v>
      </c>
      <c r="H883" s="206">
        <v>157</v>
      </c>
      <c r="I883" s="202">
        <f t="shared" si="13"/>
        <v>28356</v>
      </c>
      <c r="J883" s="205" t="s">
        <v>489</v>
      </c>
      <c r="K883" s="205" t="s">
        <v>23</v>
      </c>
      <c r="L883" s="209" t="s">
        <v>1042</v>
      </c>
      <c r="M883" s="205" t="s">
        <v>4018</v>
      </c>
      <c r="N883" s="201" t="s">
        <v>1030</v>
      </c>
      <c r="O883" s="205" t="s">
        <v>652</v>
      </c>
      <c r="P883" s="205" t="s">
        <v>652</v>
      </c>
      <c r="Q883" s="208" t="s">
        <v>2191</v>
      </c>
      <c r="R883" s="208" t="s">
        <v>2192</v>
      </c>
      <c r="S883" s="208" t="s">
        <v>3984</v>
      </c>
    </row>
    <row r="884" spans="1:20" s="205" customFormat="1" hidden="1" x14ac:dyDescent="0.2">
      <c r="A884" s="205" t="s">
        <v>245</v>
      </c>
      <c r="B884" s="205" t="s">
        <v>4019</v>
      </c>
      <c r="C884" s="200" t="s">
        <v>3984</v>
      </c>
      <c r="D884" s="209" t="s">
        <v>152</v>
      </c>
      <c r="E884" s="209"/>
      <c r="F884" s="206">
        <v>50912</v>
      </c>
      <c r="G884" s="206">
        <v>5091</v>
      </c>
      <c r="H884" s="206">
        <v>255</v>
      </c>
      <c r="I884" s="202">
        <f t="shared" si="13"/>
        <v>46076</v>
      </c>
      <c r="J884" s="205" t="s">
        <v>489</v>
      </c>
      <c r="K884" s="205" t="s">
        <v>23</v>
      </c>
      <c r="L884" s="209" t="s">
        <v>1042</v>
      </c>
      <c r="M884" s="205" t="s">
        <v>4020</v>
      </c>
      <c r="N884" s="201" t="s">
        <v>1030</v>
      </c>
      <c r="O884" s="205" t="s">
        <v>652</v>
      </c>
      <c r="P884" s="205" t="s">
        <v>652</v>
      </c>
      <c r="Q884" s="216" t="s">
        <v>2191</v>
      </c>
      <c r="R884" s="216" t="s">
        <v>2192</v>
      </c>
      <c r="S884" s="216" t="s">
        <v>3984</v>
      </c>
    </row>
    <row r="885" spans="1:20" s="205" customFormat="1" hidden="1" x14ac:dyDescent="0.2">
      <c r="A885" s="205" t="s">
        <v>245</v>
      </c>
      <c r="B885" s="205" t="s">
        <v>4021</v>
      </c>
      <c r="C885" s="200" t="s">
        <v>3984</v>
      </c>
      <c r="D885" s="209" t="s">
        <v>152</v>
      </c>
      <c r="E885" s="209"/>
      <c r="F885" s="206">
        <v>38001</v>
      </c>
      <c r="G885" s="206">
        <v>3800</v>
      </c>
      <c r="H885" s="206">
        <v>190</v>
      </c>
      <c r="I885" s="202">
        <f t="shared" si="13"/>
        <v>34391</v>
      </c>
      <c r="J885" s="205" t="s">
        <v>489</v>
      </c>
      <c r="K885" s="205" t="s">
        <v>23</v>
      </c>
      <c r="L885" s="209" t="s">
        <v>1042</v>
      </c>
      <c r="M885" s="205" t="s">
        <v>4022</v>
      </c>
      <c r="N885" s="201" t="s">
        <v>1030</v>
      </c>
      <c r="O885" s="205" t="s">
        <v>652</v>
      </c>
      <c r="P885" s="205" t="s">
        <v>652</v>
      </c>
      <c r="Q885" s="208" t="s">
        <v>2191</v>
      </c>
      <c r="R885" s="208" t="s">
        <v>2192</v>
      </c>
      <c r="S885" s="208" t="s">
        <v>3984</v>
      </c>
    </row>
    <row r="886" spans="1:20" s="205" customFormat="1" hidden="1" x14ac:dyDescent="0.2">
      <c r="A886" s="205" t="s">
        <v>245</v>
      </c>
      <c r="B886" s="205" t="s">
        <v>4023</v>
      </c>
      <c r="C886" s="200" t="s">
        <v>3984</v>
      </c>
      <c r="D886" s="209" t="s">
        <v>152</v>
      </c>
      <c r="E886" s="209"/>
      <c r="F886" s="206">
        <v>22716</v>
      </c>
      <c r="G886" s="206">
        <v>2272</v>
      </c>
      <c r="H886" s="206">
        <v>114</v>
      </c>
      <c r="I886" s="202">
        <f t="shared" si="13"/>
        <v>20558</v>
      </c>
      <c r="J886" s="205" t="s">
        <v>489</v>
      </c>
      <c r="K886" s="205" t="s">
        <v>23</v>
      </c>
      <c r="L886" s="209" t="s">
        <v>1042</v>
      </c>
      <c r="M886" s="205" t="s">
        <v>4024</v>
      </c>
      <c r="N886" s="201" t="s">
        <v>1030</v>
      </c>
      <c r="O886" s="205" t="s">
        <v>652</v>
      </c>
      <c r="P886" s="205" t="s">
        <v>652</v>
      </c>
      <c r="Q886" s="208" t="s">
        <v>2191</v>
      </c>
      <c r="R886" s="208" t="s">
        <v>2192</v>
      </c>
      <c r="S886" s="208" t="s">
        <v>3984</v>
      </c>
    </row>
    <row r="887" spans="1:20" s="205" customFormat="1" hidden="1" x14ac:dyDescent="0.2">
      <c r="A887" s="205" t="s">
        <v>245</v>
      </c>
      <c r="B887" s="205" t="s">
        <v>4025</v>
      </c>
      <c r="C887" s="200" t="s">
        <v>3984</v>
      </c>
      <c r="D887" s="209" t="s">
        <v>152</v>
      </c>
      <c r="E887" s="209"/>
      <c r="F887" s="206">
        <v>22716</v>
      </c>
      <c r="G887" s="206">
        <v>2272</v>
      </c>
      <c r="H887" s="206">
        <v>114</v>
      </c>
      <c r="I887" s="202">
        <f t="shared" si="13"/>
        <v>20558</v>
      </c>
      <c r="J887" s="205" t="s">
        <v>489</v>
      </c>
      <c r="K887" s="205" t="s">
        <v>23</v>
      </c>
      <c r="L887" s="209" t="s">
        <v>1042</v>
      </c>
      <c r="M887" s="205" t="s">
        <v>4026</v>
      </c>
      <c r="N887" s="201" t="s">
        <v>1030</v>
      </c>
      <c r="O887" s="205" t="s">
        <v>652</v>
      </c>
      <c r="P887" s="205" t="s">
        <v>652</v>
      </c>
      <c r="Q887" s="208" t="s">
        <v>2191</v>
      </c>
      <c r="R887" s="208" t="s">
        <v>2192</v>
      </c>
      <c r="S887" s="208" t="s">
        <v>3984</v>
      </c>
    </row>
    <row r="888" spans="1:20" s="205" customFormat="1" hidden="1" x14ac:dyDescent="0.2">
      <c r="A888" s="205" t="s">
        <v>245</v>
      </c>
      <c r="B888" s="205" t="s">
        <v>4027</v>
      </c>
      <c r="C888" s="200" t="s">
        <v>3984</v>
      </c>
      <c r="D888" s="209" t="s">
        <v>152</v>
      </c>
      <c r="E888" s="209"/>
      <c r="F888" s="206">
        <v>44011</v>
      </c>
      <c r="G888" s="206">
        <v>4401</v>
      </c>
      <c r="H888" s="206">
        <v>220</v>
      </c>
      <c r="I888" s="202">
        <f t="shared" si="13"/>
        <v>39830</v>
      </c>
      <c r="J888" s="205" t="s">
        <v>489</v>
      </c>
      <c r="K888" s="205" t="s">
        <v>23</v>
      </c>
      <c r="L888" s="209" t="s">
        <v>1042</v>
      </c>
      <c r="M888" s="205" t="s">
        <v>4028</v>
      </c>
      <c r="N888" s="201" t="s">
        <v>1030</v>
      </c>
      <c r="O888" s="205" t="s">
        <v>652</v>
      </c>
      <c r="P888" s="205" t="s">
        <v>652</v>
      </c>
      <c r="Q888" s="208" t="s">
        <v>2191</v>
      </c>
      <c r="R888" s="208" t="s">
        <v>2192</v>
      </c>
      <c r="S888" s="208" t="s">
        <v>3984</v>
      </c>
    </row>
    <row r="889" spans="1:20" s="205" customFormat="1" hidden="1" x14ac:dyDescent="0.2">
      <c r="A889" s="205" t="s">
        <v>281</v>
      </c>
      <c r="B889" s="205" t="s">
        <v>4029</v>
      </c>
      <c r="C889" s="200" t="s">
        <v>3984</v>
      </c>
      <c r="D889" s="209" t="s">
        <v>152</v>
      </c>
      <c r="E889" s="209"/>
      <c r="F889" s="206">
        <v>82085</v>
      </c>
      <c r="G889" s="206">
        <v>8209</v>
      </c>
      <c r="H889" s="206">
        <v>410</v>
      </c>
      <c r="I889" s="202">
        <f t="shared" si="13"/>
        <v>74286</v>
      </c>
      <c r="J889" s="205" t="s">
        <v>489</v>
      </c>
      <c r="K889" s="205" t="s">
        <v>23</v>
      </c>
      <c r="L889" s="209" t="s">
        <v>1042</v>
      </c>
      <c r="M889" s="205" t="s">
        <v>4030</v>
      </c>
      <c r="N889" s="201" t="s">
        <v>1030</v>
      </c>
      <c r="O889" s="205" t="s">
        <v>652</v>
      </c>
      <c r="P889" s="205" t="s">
        <v>652</v>
      </c>
      <c r="Q889" s="208" t="s">
        <v>653</v>
      </c>
      <c r="R889" s="208" t="s">
        <v>654</v>
      </c>
      <c r="S889" s="208" t="s">
        <v>3984</v>
      </c>
    </row>
    <row r="890" spans="1:20" s="205" customFormat="1" hidden="1" x14ac:dyDescent="0.2">
      <c r="A890" s="205" t="s">
        <v>3969</v>
      </c>
      <c r="B890" s="205" t="s">
        <v>3970</v>
      </c>
      <c r="C890" s="200" t="s">
        <v>3984</v>
      </c>
      <c r="D890" s="205" t="s">
        <v>166</v>
      </c>
      <c r="F890" s="206">
        <v>-52204</v>
      </c>
      <c r="G890" s="206">
        <v>-5220</v>
      </c>
      <c r="H890" s="206">
        <v>-261</v>
      </c>
      <c r="I890" s="202">
        <f t="shared" si="13"/>
        <v>-47245</v>
      </c>
      <c r="J890" s="205" t="s">
        <v>37</v>
      </c>
      <c r="K890" s="205" t="s">
        <v>23</v>
      </c>
      <c r="L890" s="205" t="s">
        <v>1028</v>
      </c>
      <c r="M890" s="205" t="s">
        <v>4031</v>
      </c>
      <c r="N890" s="201" t="s">
        <v>1030</v>
      </c>
      <c r="O890" s="205" t="s">
        <v>652</v>
      </c>
      <c r="P890" s="205" t="s">
        <v>652</v>
      </c>
      <c r="Q890" s="208" t="s">
        <v>2054</v>
      </c>
      <c r="R890" s="208" t="s">
        <v>2055</v>
      </c>
      <c r="S890" s="208" t="s">
        <v>3984</v>
      </c>
    </row>
    <row r="891" spans="1:20" s="205" customFormat="1" hidden="1" x14ac:dyDescent="0.2">
      <c r="A891" s="205" t="s">
        <v>4032</v>
      </c>
      <c r="B891" s="205" t="s">
        <v>4033</v>
      </c>
      <c r="C891" s="200" t="s">
        <v>3984</v>
      </c>
      <c r="D891" s="205" t="s">
        <v>152</v>
      </c>
      <c r="F891" s="206">
        <v>66487</v>
      </c>
      <c r="G891" s="206">
        <v>6649</v>
      </c>
      <c r="H891" s="206">
        <v>332</v>
      </c>
      <c r="I891" s="202">
        <f t="shared" si="13"/>
        <v>60170</v>
      </c>
      <c r="J891" s="205" t="s">
        <v>44</v>
      </c>
      <c r="K891" s="205" t="s">
        <v>23</v>
      </c>
      <c r="L891" s="205" t="s">
        <v>1058</v>
      </c>
      <c r="M891" s="205" t="s">
        <v>4034</v>
      </c>
      <c r="N891" s="201" t="s">
        <v>1030</v>
      </c>
      <c r="O891" s="205" t="s">
        <v>652</v>
      </c>
      <c r="P891" s="205" t="s">
        <v>652</v>
      </c>
      <c r="Q891" s="208" t="s">
        <v>677</v>
      </c>
      <c r="R891" s="208" t="s">
        <v>678</v>
      </c>
      <c r="S891" s="216" t="s">
        <v>3984</v>
      </c>
    </row>
    <row r="892" spans="1:20" s="205" customFormat="1" hidden="1" x14ac:dyDescent="0.2">
      <c r="A892" s="205" t="s">
        <v>4032</v>
      </c>
      <c r="B892" s="205" t="s">
        <v>4035</v>
      </c>
      <c r="C892" s="200" t="s">
        <v>3984</v>
      </c>
      <c r="D892" s="205" t="s">
        <v>152</v>
      </c>
      <c r="F892" s="206">
        <v>66487</v>
      </c>
      <c r="G892" s="206">
        <v>6649</v>
      </c>
      <c r="H892" s="206">
        <v>332</v>
      </c>
      <c r="I892" s="202">
        <f t="shared" si="13"/>
        <v>60170</v>
      </c>
      <c r="J892" s="205" t="s">
        <v>44</v>
      </c>
      <c r="K892" s="205" t="s">
        <v>23</v>
      </c>
      <c r="L892" s="205" t="s">
        <v>1028</v>
      </c>
      <c r="M892" s="205" t="s">
        <v>4036</v>
      </c>
      <c r="N892" s="201" t="s">
        <v>1030</v>
      </c>
      <c r="O892" s="205" t="s">
        <v>652</v>
      </c>
      <c r="P892" s="205" t="s">
        <v>652</v>
      </c>
      <c r="Q892" s="208" t="s">
        <v>2191</v>
      </c>
      <c r="R892" s="208" t="s">
        <v>2192</v>
      </c>
      <c r="S892" s="208" t="s">
        <v>3984</v>
      </c>
    </row>
    <row r="893" spans="1:20" s="205" customFormat="1" hidden="1" x14ac:dyDescent="0.2">
      <c r="A893" s="205" t="s">
        <v>460</v>
      </c>
      <c r="B893" s="205" t="s">
        <v>621</v>
      </c>
      <c r="C893" s="200" t="s">
        <v>3984</v>
      </c>
      <c r="D893" s="205" t="s">
        <v>152</v>
      </c>
      <c r="F893" s="206">
        <v>30749</v>
      </c>
      <c r="G893" s="206">
        <v>3075</v>
      </c>
      <c r="H893" s="206">
        <v>154</v>
      </c>
      <c r="I893" s="202">
        <f t="shared" si="13"/>
        <v>27828</v>
      </c>
      <c r="J893" s="205" t="s">
        <v>74</v>
      </c>
      <c r="K893" s="205" t="s">
        <v>23</v>
      </c>
      <c r="L893" s="205" t="s">
        <v>1151</v>
      </c>
      <c r="M893" s="205" t="s">
        <v>4037</v>
      </c>
      <c r="N893" s="201" t="s">
        <v>1030</v>
      </c>
      <c r="O893" s="205" t="s">
        <v>652</v>
      </c>
      <c r="P893" s="205" t="s">
        <v>652</v>
      </c>
      <c r="Q893" s="208" t="s">
        <v>653</v>
      </c>
      <c r="R893" s="208" t="s">
        <v>654</v>
      </c>
      <c r="S893" s="208" t="s">
        <v>3984</v>
      </c>
    </row>
    <row r="894" spans="1:20" s="205" customFormat="1" hidden="1" x14ac:dyDescent="0.2">
      <c r="A894" s="205" t="s">
        <v>147</v>
      </c>
      <c r="B894" s="205" t="s">
        <v>389</v>
      </c>
      <c r="C894" s="200" t="s">
        <v>3984</v>
      </c>
      <c r="D894" s="205" t="s">
        <v>152</v>
      </c>
      <c r="F894" s="206">
        <v>98462</v>
      </c>
      <c r="G894" s="206">
        <v>9846</v>
      </c>
      <c r="H894" s="206">
        <v>492</v>
      </c>
      <c r="I894" s="202">
        <f t="shared" si="13"/>
        <v>89108</v>
      </c>
      <c r="J894" s="205" t="s">
        <v>54</v>
      </c>
      <c r="K894" s="205" t="s">
        <v>23</v>
      </c>
      <c r="L894" s="205" t="s">
        <v>1042</v>
      </c>
      <c r="M894" s="205" t="s">
        <v>4038</v>
      </c>
      <c r="N894" s="201" t="s">
        <v>1030</v>
      </c>
      <c r="O894" s="205" t="s">
        <v>652</v>
      </c>
      <c r="P894" s="205" t="s">
        <v>652</v>
      </c>
      <c r="Q894" s="214" t="s">
        <v>701</v>
      </c>
      <c r="R894" s="214" t="s">
        <v>702</v>
      </c>
      <c r="S894" s="214" t="s">
        <v>3984</v>
      </c>
    </row>
    <row r="895" spans="1:20" s="205" customFormat="1" hidden="1" x14ac:dyDescent="0.2">
      <c r="A895" s="205" t="s">
        <v>194</v>
      </c>
      <c r="B895" s="205" t="s">
        <v>548</v>
      </c>
      <c r="C895" s="200" t="s">
        <v>3984</v>
      </c>
      <c r="D895" s="205" t="s">
        <v>166</v>
      </c>
      <c r="F895" s="206">
        <v>-22808</v>
      </c>
      <c r="G895" s="206">
        <v>-2281</v>
      </c>
      <c r="H895" s="206">
        <v>-114</v>
      </c>
      <c r="I895" s="202">
        <f t="shared" si="13"/>
        <v>-20641</v>
      </c>
      <c r="J895" s="205" t="s">
        <v>52</v>
      </c>
      <c r="K895" s="205" t="s">
        <v>23</v>
      </c>
      <c r="L895" s="205" t="s">
        <v>1068</v>
      </c>
      <c r="M895" s="205" t="s">
        <v>4039</v>
      </c>
      <c r="N895" s="201" t="s">
        <v>1030</v>
      </c>
      <c r="O895" s="205" t="s">
        <v>652</v>
      </c>
      <c r="P895" s="205" t="s">
        <v>652</v>
      </c>
      <c r="Q895" s="214" t="s">
        <v>837</v>
      </c>
      <c r="R895" s="214" t="s">
        <v>838</v>
      </c>
      <c r="S895" s="214" t="s">
        <v>3984</v>
      </c>
    </row>
    <row r="896" spans="1:20" s="205" customFormat="1" hidden="1" x14ac:dyDescent="0.2">
      <c r="A896" s="209" t="s">
        <v>3882</v>
      </c>
      <c r="B896" s="209" t="s">
        <v>3883</v>
      </c>
      <c r="C896" s="234" t="s">
        <v>3984</v>
      </c>
      <c r="D896" s="209" t="s">
        <v>152</v>
      </c>
      <c r="E896" s="209"/>
      <c r="F896" s="211">
        <v>47091</v>
      </c>
      <c r="G896" s="211">
        <v>4709</v>
      </c>
      <c r="H896" s="211">
        <v>235</v>
      </c>
      <c r="I896" s="202">
        <f t="shared" si="13"/>
        <v>42617</v>
      </c>
      <c r="J896" s="209" t="s">
        <v>44</v>
      </c>
      <c r="K896" s="209" t="s">
        <v>23</v>
      </c>
      <c r="L896" s="209" t="s">
        <v>1042</v>
      </c>
      <c r="M896" s="209" t="s">
        <v>4040</v>
      </c>
      <c r="N896" s="201" t="s">
        <v>1030</v>
      </c>
      <c r="O896" s="209" t="s">
        <v>1274</v>
      </c>
      <c r="P896" s="209" t="s">
        <v>1111</v>
      </c>
      <c r="Q896" s="213" t="s">
        <v>846</v>
      </c>
      <c r="R896" s="213" t="s">
        <v>2922</v>
      </c>
      <c r="S896" s="213" t="s">
        <v>3984</v>
      </c>
      <c r="T896" s="209"/>
    </row>
    <row r="897" spans="1:24" s="205" customFormat="1" hidden="1" x14ac:dyDescent="0.2">
      <c r="A897" s="209" t="s">
        <v>79</v>
      </c>
      <c r="B897" s="209" t="s">
        <v>535</v>
      </c>
      <c r="C897" s="234" t="s">
        <v>3984</v>
      </c>
      <c r="D897" s="209" t="s">
        <v>152</v>
      </c>
      <c r="E897" s="209"/>
      <c r="F897" s="211">
        <v>25234</v>
      </c>
      <c r="G897" s="211">
        <v>2523</v>
      </c>
      <c r="H897" s="211">
        <v>126</v>
      </c>
      <c r="I897" s="202">
        <f t="shared" si="13"/>
        <v>22837</v>
      </c>
      <c r="J897" s="209" t="s">
        <v>22</v>
      </c>
      <c r="K897" s="209" t="s">
        <v>23</v>
      </c>
      <c r="L897" s="209" t="s">
        <v>1042</v>
      </c>
      <c r="M897" s="209" t="s">
        <v>4041</v>
      </c>
      <c r="N897" s="201" t="s">
        <v>1030</v>
      </c>
      <c r="O897" s="209" t="s">
        <v>652</v>
      </c>
      <c r="P897" s="209" t="s">
        <v>652</v>
      </c>
      <c r="Q897" s="213" t="s">
        <v>674</v>
      </c>
      <c r="R897" s="213" t="s">
        <v>675</v>
      </c>
      <c r="S897" s="213" t="s">
        <v>3984</v>
      </c>
      <c r="T897" s="209"/>
      <c r="U897" s="209"/>
      <c r="V897" s="209"/>
      <c r="W897" s="209"/>
      <c r="X897" s="209"/>
    </row>
    <row r="898" spans="1:24" s="205" customFormat="1" hidden="1" x14ac:dyDescent="0.2">
      <c r="A898" s="205" t="s">
        <v>204</v>
      </c>
      <c r="B898" s="205" t="s">
        <v>343</v>
      </c>
      <c r="C898" s="200" t="s">
        <v>3984</v>
      </c>
      <c r="D898" s="209" t="s">
        <v>152</v>
      </c>
      <c r="E898" s="209"/>
      <c r="F898" s="206">
        <v>30395</v>
      </c>
      <c r="G898" s="206">
        <v>0</v>
      </c>
      <c r="H898" s="206">
        <v>0</v>
      </c>
      <c r="I898" s="202">
        <f t="shared" si="13"/>
        <v>30395</v>
      </c>
      <c r="J898" s="205" t="s">
        <v>25</v>
      </c>
      <c r="K898" s="205" t="s">
        <v>214</v>
      </c>
      <c r="L898" s="209" t="s">
        <v>1141</v>
      </c>
      <c r="M898" s="205" t="s">
        <v>4042</v>
      </c>
      <c r="N898" s="201" t="s">
        <v>1030</v>
      </c>
      <c r="O898" s="205" t="s">
        <v>652</v>
      </c>
      <c r="P898" s="205" t="s">
        <v>652</v>
      </c>
      <c r="Q898" s="208" t="s">
        <v>696</v>
      </c>
      <c r="R898" s="208" t="s">
        <v>697</v>
      </c>
      <c r="S898" s="208" t="s">
        <v>3984</v>
      </c>
      <c r="U898" s="209"/>
      <c r="V898" s="209"/>
      <c r="W898" s="209"/>
      <c r="X898" s="209"/>
    </row>
    <row r="899" spans="1:24" s="205" customFormat="1" hidden="1" x14ac:dyDescent="0.2">
      <c r="A899" s="205" t="s">
        <v>34</v>
      </c>
      <c r="B899" s="205" t="s">
        <v>583</v>
      </c>
      <c r="C899" s="200" t="s">
        <v>3984</v>
      </c>
      <c r="D899" s="209" t="s">
        <v>152</v>
      </c>
      <c r="E899" s="209"/>
      <c r="F899" s="206">
        <v>226859</v>
      </c>
      <c r="G899" s="206">
        <v>0</v>
      </c>
      <c r="H899" s="206">
        <v>0</v>
      </c>
      <c r="I899" s="202">
        <f t="shared" ref="I899:I962" si="14">F899+H899-G899</f>
        <v>226859</v>
      </c>
      <c r="J899" s="205" t="s">
        <v>25</v>
      </c>
      <c r="K899" s="205" t="s">
        <v>214</v>
      </c>
      <c r="L899" s="209" t="s">
        <v>1151</v>
      </c>
      <c r="M899" s="205" t="s">
        <v>4043</v>
      </c>
      <c r="N899" s="201" t="s">
        <v>1030</v>
      </c>
      <c r="O899" s="205" t="s">
        <v>652</v>
      </c>
      <c r="P899" s="205" t="s">
        <v>652</v>
      </c>
      <c r="Q899" s="208" t="s">
        <v>653</v>
      </c>
      <c r="R899" s="208" t="s">
        <v>654</v>
      </c>
      <c r="S899" s="208" t="s">
        <v>3984</v>
      </c>
      <c r="U899" s="209"/>
      <c r="V899" s="209"/>
      <c r="W899" s="209"/>
      <c r="X899" s="209"/>
    </row>
    <row r="900" spans="1:24" s="205" customFormat="1" hidden="1" x14ac:dyDescent="0.2">
      <c r="A900" s="205" t="s">
        <v>34</v>
      </c>
      <c r="B900" s="205" t="s">
        <v>583</v>
      </c>
      <c r="C900" s="200" t="s">
        <v>3984</v>
      </c>
      <c r="D900" s="205" t="s">
        <v>152</v>
      </c>
      <c r="F900" s="206">
        <v>13109</v>
      </c>
      <c r="G900" s="206">
        <v>0</v>
      </c>
      <c r="H900" s="206">
        <v>0</v>
      </c>
      <c r="I900" s="202">
        <f t="shared" si="14"/>
        <v>13109</v>
      </c>
      <c r="J900" s="205" t="s">
        <v>25</v>
      </c>
      <c r="K900" s="205" t="s">
        <v>214</v>
      </c>
      <c r="L900" s="209" t="s">
        <v>1042</v>
      </c>
      <c r="M900" s="205" t="s">
        <v>4044</v>
      </c>
      <c r="N900" s="201" t="s">
        <v>1030</v>
      </c>
      <c r="O900" s="205" t="s">
        <v>652</v>
      </c>
      <c r="P900" s="205" t="s">
        <v>652</v>
      </c>
      <c r="Q900" s="208" t="s">
        <v>653</v>
      </c>
      <c r="R900" s="208" t="s">
        <v>654</v>
      </c>
      <c r="S900" s="208" t="s">
        <v>3984</v>
      </c>
      <c r="U900" s="209"/>
      <c r="V900" s="209"/>
      <c r="W900" s="209"/>
      <c r="X900" s="209"/>
    </row>
    <row r="901" spans="1:24" s="205" customFormat="1" hidden="1" x14ac:dyDescent="0.2">
      <c r="A901" s="205" t="s">
        <v>225</v>
      </c>
      <c r="B901" s="205" t="s">
        <v>287</v>
      </c>
      <c r="C901" s="200" t="s">
        <v>3984</v>
      </c>
      <c r="D901" s="205" t="s">
        <v>152</v>
      </c>
      <c r="F901" s="206">
        <v>6000</v>
      </c>
      <c r="G901" s="206">
        <v>0</v>
      </c>
      <c r="H901" s="206">
        <v>0</v>
      </c>
      <c r="I901" s="202">
        <f t="shared" si="14"/>
        <v>6000</v>
      </c>
      <c r="J901" s="205" t="s">
        <v>25</v>
      </c>
      <c r="K901" s="205" t="s">
        <v>214</v>
      </c>
      <c r="L901" s="205" t="s">
        <v>1042</v>
      </c>
      <c r="M901" s="205" t="s">
        <v>4045</v>
      </c>
      <c r="N901" s="201" t="s">
        <v>1030</v>
      </c>
      <c r="O901" s="205" t="s">
        <v>652</v>
      </c>
      <c r="P901" s="205" t="s">
        <v>652</v>
      </c>
      <c r="Q901" s="208" t="s">
        <v>724</v>
      </c>
      <c r="R901" s="208" t="s">
        <v>725</v>
      </c>
      <c r="S901" s="208" t="s">
        <v>3984</v>
      </c>
      <c r="U901" s="209"/>
      <c r="V901" s="209"/>
      <c r="W901" s="209"/>
      <c r="X901" s="209"/>
    </row>
    <row r="902" spans="1:24" s="205" customFormat="1" hidden="1" x14ac:dyDescent="0.2">
      <c r="A902" s="209" t="s">
        <v>4046</v>
      </c>
      <c r="B902" s="209" t="s">
        <v>4047</v>
      </c>
      <c r="C902" s="234" t="s">
        <v>3984</v>
      </c>
      <c r="D902" s="209" t="s">
        <v>152</v>
      </c>
      <c r="E902" s="209"/>
      <c r="F902" s="211">
        <v>3527290</v>
      </c>
      <c r="G902" s="206">
        <v>0</v>
      </c>
      <c r="H902" s="206">
        <v>0</v>
      </c>
      <c r="I902" s="202">
        <f t="shared" si="14"/>
        <v>3527290</v>
      </c>
      <c r="J902" s="209" t="s">
        <v>25</v>
      </c>
      <c r="K902" s="209" t="s">
        <v>214</v>
      </c>
      <c r="L902" s="209" t="s">
        <v>1058</v>
      </c>
      <c r="M902" s="209" t="s">
        <v>4048</v>
      </c>
      <c r="N902" s="201" t="s">
        <v>1030</v>
      </c>
      <c r="O902" s="209" t="s">
        <v>1614</v>
      </c>
      <c r="P902" s="209" t="s">
        <v>1191</v>
      </c>
      <c r="Q902" s="213" t="s">
        <v>3890</v>
      </c>
      <c r="R902" s="213" t="s">
        <v>4049</v>
      </c>
      <c r="S902" s="213" t="s">
        <v>3984</v>
      </c>
      <c r="T902" s="209"/>
      <c r="U902" s="209"/>
      <c r="V902" s="209"/>
      <c r="W902" s="209"/>
      <c r="X902" s="209"/>
    </row>
    <row r="903" spans="1:24" s="205" customFormat="1" hidden="1" x14ac:dyDescent="0.2">
      <c r="A903" s="205" t="s">
        <v>184</v>
      </c>
      <c r="B903" s="205" t="s">
        <v>4050</v>
      </c>
      <c r="C903" s="200" t="s">
        <v>843</v>
      </c>
      <c r="D903" s="209" t="s">
        <v>152</v>
      </c>
      <c r="E903" s="209"/>
      <c r="F903" s="206">
        <v>58153</v>
      </c>
      <c r="G903" s="206">
        <v>5815</v>
      </c>
      <c r="H903" s="206">
        <v>582</v>
      </c>
      <c r="I903" s="202">
        <f t="shared" si="14"/>
        <v>52920</v>
      </c>
      <c r="J903" s="205" t="s">
        <v>46</v>
      </c>
      <c r="K903" s="205" t="s">
        <v>29</v>
      </c>
      <c r="L903" s="209" t="s">
        <v>1028</v>
      </c>
      <c r="M903" s="205" t="s">
        <v>4051</v>
      </c>
      <c r="N903" s="201" t="s">
        <v>1030</v>
      </c>
      <c r="O903" s="205" t="s">
        <v>652</v>
      </c>
      <c r="P903" s="205" t="s">
        <v>652</v>
      </c>
      <c r="Q903" s="208" t="s">
        <v>987</v>
      </c>
      <c r="R903" s="208" t="s">
        <v>988</v>
      </c>
      <c r="S903" s="208" t="s">
        <v>843</v>
      </c>
    </row>
    <row r="904" spans="1:24" s="205" customFormat="1" hidden="1" x14ac:dyDescent="0.2">
      <c r="A904" s="205" t="s">
        <v>184</v>
      </c>
      <c r="B904" s="205" t="s">
        <v>4052</v>
      </c>
      <c r="C904" s="200" t="s">
        <v>843</v>
      </c>
      <c r="D904" s="209" t="s">
        <v>152</v>
      </c>
      <c r="E904" s="209"/>
      <c r="F904" s="206">
        <v>41308</v>
      </c>
      <c r="G904" s="206">
        <v>4131</v>
      </c>
      <c r="H904" s="206">
        <v>413</v>
      </c>
      <c r="I904" s="202">
        <f t="shared" si="14"/>
        <v>37590</v>
      </c>
      <c r="J904" s="205" t="s">
        <v>46</v>
      </c>
      <c r="K904" s="205" t="s">
        <v>29</v>
      </c>
      <c r="L904" s="209" t="s">
        <v>1028</v>
      </c>
      <c r="M904" s="205" t="s">
        <v>4053</v>
      </c>
      <c r="N904" s="201" t="s">
        <v>1030</v>
      </c>
      <c r="O904" s="205" t="s">
        <v>652</v>
      </c>
      <c r="P904" s="205" t="s">
        <v>652</v>
      </c>
      <c r="Q904" s="208" t="s">
        <v>987</v>
      </c>
      <c r="R904" s="208" t="s">
        <v>988</v>
      </c>
      <c r="S904" s="208" t="s">
        <v>843</v>
      </c>
    </row>
    <row r="905" spans="1:24" s="205" customFormat="1" hidden="1" x14ac:dyDescent="0.2">
      <c r="A905" s="205" t="s">
        <v>184</v>
      </c>
      <c r="B905" s="205" t="s">
        <v>4054</v>
      </c>
      <c r="C905" s="200" t="s">
        <v>843</v>
      </c>
      <c r="D905" s="209" t="s">
        <v>152</v>
      </c>
      <c r="E905" s="209"/>
      <c r="F905" s="206">
        <v>49570</v>
      </c>
      <c r="G905" s="206">
        <v>4957</v>
      </c>
      <c r="H905" s="206">
        <v>496</v>
      </c>
      <c r="I905" s="202">
        <f t="shared" si="14"/>
        <v>45109</v>
      </c>
      <c r="J905" s="205" t="s">
        <v>46</v>
      </c>
      <c r="K905" s="205" t="s">
        <v>29</v>
      </c>
      <c r="L905" s="209" t="s">
        <v>1028</v>
      </c>
      <c r="M905" s="205" t="s">
        <v>4055</v>
      </c>
      <c r="N905" s="201" t="s">
        <v>1030</v>
      </c>
      <c r="O905" s="205" t="s">
        <v>652</v>
      </c>
      <c r="P905" s="205" t="s">
        <v>652</v>
      </c>
      <c r="Q905" s="208" t="s">
        <v>1035</v>
      </c>
      <c r="R905" s="208" t="s">
        <v>1036</v>
      </c>
      <c r="S905" s="208" t="s">
        <v>843</v>
      </c>
    </row>
    <row r="906" spans="1:24" s="205" customFormat="1" hidden="1" x14ac:dyDescent="0.2">
      <c r="A906" s="205" t="s">
        <v>184</v>
      </c>
      <c r="B906" s="205" t="s">
        <v>4056</v>
      </c>
      <c r="C906" s="200" t="s">
        <v>843</v>
      </c>
      <c r="D906" s="205" t="s">
        <v>152</v>
      </c>
      <c r="F906" s="206">
        <v>94208</v>
      </c>
      <c r="G906" s="206">
        <v>9421</v>
      </c>
      <c r="H906" s="206">
        <v>942</v>
      </c>
      <c r="I906" s="202">
        <f t="shared" si="14"/>
        <v>85729</v>
      </c>
      <c r="J906" s="205" t="s">
        <v>46</v>
      </c>
      <c r="K906" s="205" t="s">
        <v>29</v>
      </c>
      <c r="L906" s="209" t="s">
        <v>1028</v>
      </c>
      <c r="M906" s="205" t="s">
        <v>4057</v>
      </c>
      <c r="N906" s="201" t="s">
        <v>1030</v>
      </c>
      <c r="O906" s="205" t="s">
        <v>652</v>
      </c>
      <c r="P906" s="205" t="s">
        <v>652</v>
      </c>
      <c r="Q906" s="208" t="s">
        <v>1035</v>
      </c>
      <c r="R906" s="208" t="s">
        <v>1036</v>
      </c>
      <c r="S906" s="208" t="s">
        <v>843</v>
      </c>
    </row>
    <row r="907" spans="1:24" s="205" customFormat="1" hidden="1" x14ac:dyDescent="0.2">
      <c r="A907" s="205" t="s">
        <v>184</v>
      </c>
      <c r="B907" s="205" t="s">
        <v>4058</v>
      </c>
      <c r="C907" s="200" t="s">
        <v>843</v>
      </c>
      <c r="D907" s="205" t="s">
        <v>152</v>
      </c>
      <c r="F907" s="206">
        <v>122470</v>
      </c>
      <c r="G907" s="206">
        <v>12247</v>
      </c>
      <c r="H907" s="206">
        <v>1225</v>
      </c>
      <c r="I907" s="202">
        <f t="shared" si="14"/>
        <v>111448</v>
      </c>
      <c r="J907" s="205" t="s">
        <v>46</v>
      </c>
      <c r="K907" s="205" t="s">
        <v>29</v>
      </c>
      <c r="L907" s="209" t="s">
        <v>1028</v>
      </c>
      <c r="M907" s="205" t="s">
        <v>4059</v>
      </c>
      <c r="N907" s="201" t="s">
        <v>1030</v>
      </c>
      <c r="O907" s="205" t="s">
        <v>652</v>
      </c>
      <c r="P907" s="205" t="s">
        <v>652</v>
      </c>
      <c r="Q907" s="208" t="s">
        <v>1035</v>
      </c>
      <c r="R907" s="208" t="s">
        <v>1036</v>
      </c>
      <c r="S907" s="208" t="s">
        <v>843</v>
      </c>
    </row>
    <row r="908" spans="1:24" s="205" customFormat="1" hidden="1" x14ac:dyDescent="0.2">
      <c r="A908" s="205" t="s">
        <v>184</v>
      </c>
      <c r="B908" s="205" t="s">
        <v>4060</v>
      </c>
      <c r="C908" s="200" t="s">
        <v>843</v>
      </c>
      <c r="D908" s="205" t="s">
        <v>152</v>
      </c>
      <c r="F908" s="206">
        <v>125411</v>
      </c>
      <c r="G908" s="206">
        <v>12541</v>
      </c>
      <c r="H908" s="206">
        <v>1254</v>
      </c>
      <c r="I908" s="202">
        <f t="shared" si="14"/>
        <v>114124</v>
      </c>
      <c r="J908" s="205" t="s">
        <v>46</v>
      </c>
      <c r="K908" s="205" t="s">
        <v>29</v>
      </c>
      <c r="L908" s="209" t="s">
        <v>1058</v>
      </c>
      <c r="M908" s="205" t="s">
        <v>4061</v>
      </c>
      <c r="N908" s="201" t="s">
        <v>1030</v>
      </c>
      <c r="O908" s="205" t="s">
        <v>652</v>
      </c>
      <c r="P908" s="205" t="s">
        <v>652</v>
      </c>
      <c r="Q908" s="216" t="s">
        <v>677</v>
      </c>
      <c r="R908" s="216" t="s">
        <v>678</v>
      </c>
      <c r="S908" s="216" t="s">
        <v>843</v>
      </c>
    </row>
    <row r="909" spans="1:24" s="205" customFormat="1" hidden="1" x14ac:dyDescent="0.2">
      <c r="A909" s="205" t="s">
        <v>64</v>
      </c>
      <c r="B909" s="205" t="s">
        <v>514</v>
      </c>
      <c r="C909" s="200" t="s">
        <v>843</v>
      </c>
      <c r="D909" s="209" t="s">
        <v>152</v>
      </c>
      <c r="E909" s="209"/>
      <c r="F909" s="206">
        <v>44467</v>
      </c>
      <c r="G909" s="206">
        <v>4447</v>
      </c>
      <c r="H909" s="206">
        <v>445</v>
      </c>
      <c r="I909" s="202">
        <f t="shared" si="14"/>
        <v>40465</v>
      </c>
      <c r="J909" s="205" t="s">
        <v>31</v>
      </c>
      <c r="K909" s="205" t="s">
        <v>29</v>
      </c>
      <c r="L909" s="209" t="s">
        <v>1042</v>
      </c>
      <c r="M909" s="205" t="s">
        <v>4062</v>
      </c>
      <c r="N909" s="201" t="s">
        <v>1030</v>
      </c>
      <c r="O909" s="205" t="s">
        <v>652</v>
      </c>
      <c r="P909" s="205" t="s">
        <v>652</v>
      </c>
      <c r="Q909" s="208" t="s">
        <v>653</v>
      </c>
      <c r="R909" s="208" t="s">
        <v>654</v>
      </c>
      <c r="S909" s="208" t="s">
        <v>843</v>
      </c>
    </row>
    <row r="910" spans="1:24" s="205" customFormat="1" hidden="1" x14ac:dyDescent="0.2">
      <c r="A910" s="205" t="s">
        <v>64</v>
      </c>
      <c r="B910" s="205" t="s">
        <v>514</v>
      </c>
      <c r="C910" s="200" t="s">
        <v>843</v>
      </c>
      <c r="D910" s="209" t="s">
        <v>152</v>
      </c>
      <c r="E910" s="209"/>
      <c r="F910" s="206">
        <v>241985</v>
      </c>
      <c r="G910" s="206">
        <v>24199</v>
      </c>
      <c r="H910" s="206">
        <v>2420</v>
      </c>
      <c r="I910" s="202">
        <f t="shared" si="14"/>
        <v>220206</v>
      </c>
      <c r="J910" s="205" t="s">
        <v>31</v>
      </c>
      <c r="K910" s="205" t="s">
        <v>29</v>
      </c>
      <c r="L910" s="209" t="s">
        <v>1141</v>
      </c>
      <c r="M910" s="205" t="s">
        <v>4063</v>
      </c>
      <c r="N910" s="201" t="s">
        <v>1030</v>
      </c>
      <c r="O910" s="205" t="s">
        <v>652</v>
      </c>
      <c r="P910" s="205" t="s">
        <v>652</v>
      </c>
      <c r="Q910" s="208" t="s">
        <v>653</v>
      </c>
      <c r="R910" s="208" t="s">
        <v>654</v>
      </c>
      <c r="S910" s="208" t="s">
        <v>843</v>
      </c>
    </row>
    <row r="911" spans="1:24" s="205" customFormat="1" hidden="1" x14ac:dyDescent="0.2">
      <c r="A911" s="205" t="s">
        <v>64</v>
      </c>
      <c r="B911" s="205" t="s">
        <v>514</v>
      </c>
      <c r="C911" s="200" t="s">
        <v>843</v>
      </c>
      <c r="D911" s="209" t="s">
        <v>166</v>
      </c>
      <c r="E911" s="209"/>
      <c r="F911" s="206">
        <v>-48495</v>
      </c>
      <c r="G911" s="206">
        <v>-4849</v>
      </c>
      <c r="H911" s="206">
        <v>-485</v>
      </c>
      <c r="I911" s="202">
        <f t="shared" si="14"/>
        <v>-44131</v>
      </c>
      <c r="J911" s="205" t="s">
        <v>31</v>
      </c>
      <c r="K911" s="205" t="s">
        <v>29</v>
      </c>
      <c r="L911" s="209" t="s">
        <v>1068</v>
      </c>
      <c r="M911" s="205" t="s">
        <v>4064</v>
      </c>
      <c r="N911" s="201" t="s">
        <v>1030</v>
      </c>
      <c r="O911" s="205" t="s">
        <v>652</v>
      </c>
      <c r="P911" s="205" t="s">
        <v>652</v>
      </c>
      <c r="Q911" s="208" t="s">
        <v>653</v>
      </c>
      <c r="R911" s="208" t="s">
        <v>654</v>
      </c>
      <c r="S911" s="208" t="s">
        <v>843</v>
      </c>
    </row>
    <row r="912" spans="1:24" s="205" customFormat="1" hidden="1" x14ac:dyDescent="0.2">
      <c r="A912" s="205" t="s">
        <v>4065</v>
      </c>
      <c r="B912" s="205" t="s">
        <v>4066</v>
      </c>
      <c r="C912" s="200" t="s">
        <v>843</v>
      </c>
      <c r="D912" s="205" t="s">
        <v>152</v>
      </c>
      <c r="F912" s="206">
        <v>27534</v>
      </c>
      <c r="G912" s="206">
        <v>2753</v>
      </c>
      <c r="H912" s="206">
        <v>275</v>
      </c>
      <c r="I912" s="202">
        <f t="shared" si="14"/>
        <v>25056</v>
      </c>
      <c r="J912" s="205" t="s">
        <v>715</v>
      </c>
      <c r="K912" s="205" t="s">
        <v>29</v>
      </c>
      <c r="L912" s="205" t="s">
        <v>1058</v>
      </c>
      <c r="M912" s="205" t="s">
        <v>4067</v>
      </c>
      <c r="N912" s="201" t="s">
        <v>1030</v>
      </c>
      <c r="O912" s="205" t="s">
        <v>652</v>
      </c>
      <c r="P912" s="205" t="s">
        <v>652</v>
      </c>
      <c r="Q912" s="208" t="s">
        <v>1534</v>
      </c>
      <c r="R912" s="208" t="s">
        <v>3748</v>
      </c>
      <c r="S912" s="208" t="s">
        <v>843</v>
      </c>
    </row>
    <row r="913" spans="1:20" s="205" customFormat="1" hidden="1" x14ac:dyDescent="0.2">
      <c r="A913" s="205" t="s">
        <v>4068</v>
      </c>
      <c r="B913" s="205" t="s">
        <v>4069</v>
      </c>
      <c r="C913" s="200" t="s">
        <v>843</v>
      </c>
      <c r="D913" s="205" t="s">
        <v>152</v>
      </c>
      <c r="F913" s="206">
        <v>53074</v>
      </c>
      <c r="G913" s="206">
        <v>5307</v>
      </c>
      <c r="H913" s="206">
        <v>531</v>
      </c>
      <c r="I913" s="202">
        <f t="shared" si="14"/>
        <v>48298</v>
      </c>
      <c r="J913" s="205" t="s">
        <v>913</v>
      </c>
      <c r="K913" s="205" t="s">
        <v>29</v>
      </c>
      <c r="L913" s="205" t="s">
        <v>1058</v>
      </c>
      <c r="M913" s="205" t="s">
        <v>4070</v>
      </c>
      <c r="N913" s="201" t="s">
        <v>1072</v>
      </c>
      <c r="O913" s="205" t="s">
        <v>652</v>
      </c>
      <c r="P913" s="205" t="s">
        <v>652</v>
      </c>
      <c r="Q913" s="208" t="s">
        <v>3984</v>
      </c>
      <c r="R913" s="208" t="s">
        <v>4071</v>
      </c>
      <c r="S913" s="208" t="s">
        <v>843</v>
      </c>
    </row>
    <row r="914" spans="1:20" s="205" customFormat="1" hidden="1" x14ac:dyDescent="0.2">
      <c r="A914" s="205" t="s">
        <v>136</v>
      </c>
      <c r="B914" s="205" t="s">
        <v>370</v>
      </c>
      <c r="C914" s="200" t="s">
        <v>843</v>
      </c>
      <c r="D914" s="205" t="s">
        <v>166</v>
      </c>
      <c r="F914" s="206">
        <v>-51388</v>
      </c>
      <c r="G914" s="206">
        <v>-5139</v>
      </c>
      <c r="H914" s="206">
        <v>-514</v>
      </c>
      <c r="I914" s="202">
        <f t="shared" si="14"/>
        <v>-46763</v>
      </c>
      <c r="J914" s="205" t="s">
        <v>137</v>
      </c>
      <c r="K914" s="205" t="s">
        <v>29</v>
      </c>
      <c r="L914" s="205" t="s">
        <v>1068</v>
      </c>
      <c r="M914" s="205" t="s">
        <v>4072</v>
      </c>
      <c r="N914" s="201" t="s">
        <v>1030</v>
      </c>
      <c r="O914" s="205" t="s">
        <v>652</v>
      </c>
      <c r="P914" s="205" t="s">
        <v>652</v>
      </c>
      <c r="Q914" s="214" t="s">
        <v>701</v>
      </c>
      <c r="R914" s="214" t="s">
        <v>702</v>
      </c>
      <c r="S914" s="214" t="s">
        <v>843</v>
      </c>
    </row>
    <row r="915" spans="1:20" s="205" customFormat="1" hidden="1" x14ac:dyDescent="0.2">
      <c r="A915" s="209" t="s">
        <v>243</v>
      </c>
      <c r="B915" s="209" t="s">
        <v>4073</v>
      </c>
      <c r="C915" s="234" t="s">
        <v>843</v>
      </c>
      <c r="D915" s="209" t="s">
        <v>152</v>
      </c>
      <c r="E915" s="209"/>
      <c r="F915" s="211">
        <v>38659</v>
      </c>
      <c r="G915" s="211">
        <v>3866</v>
      </c>
      <c r="H915" s="211">
        <v>387</v>
      </c>
      <c r="I915" s="202">
        <f t="shared" si="14"/>
        <v>35180</v>
      </c>
      <c r="J915" s="209" t="s">
        <v>46</v>
      </c>
      <c r="K915" s="209" t="s">
        <v>29</v>
      </c>
      <c r="L915" s="209" t="s">
        <v>1028</v>
      </c>
      <c r="M915" s="209" t="s">
        <v>4074</v>
      </c>
      <c r="N915" s="201" t="s">
        <v>1030</v>
      </c>
      <c r="O915" s="209" t="s">
        <v>652</v>
      </c>
      <c r="P915" s="209" t="s">
        <v>652</v>
      </c>
      <c r="Q915" s="213" t="s">
        <v>1407</v>
      </c>
      <c r="R915" s="213" t="s">
        <v>1408</v>
      </c>
      <c r="S915" s="213" t="s">
        <v>843</v>
      </c>
      <c r="T915" s="209"/>
    </row>
    <row r="916" spans="1:20" s="205" customFormat="1" hidden="1" x14ac:dyDescent="0.2">
      <c r="A916" s="209" t="s">
        <v>243</v>
      </c>
      <c r="B916" s="209" t="s">
        <v>4075</v>
      </c>
      <c r="C916" s="234" t="s">
        <v>843</v>
      </c>
      <c r="D916" s="209" t="s">
        <v>152</v>
      </c>
      <c r="E916" s="209"/>
      <c r="F916" s="211">
        <v>64384</v>
      </c>
      <c r="G916" s="211">
        <v>6438</v>
      </c>
      <c r="H916" s="211">
        <v>644</v>
      </c>
      <c r="I916" s="202">
        <f t="shared" si="14"/>
        <v>58590</v>
      </c>
      <c r="J916" s="209" t="s">
        <v>46</v>
      </c>
      <c r="K916" s="209" t="s">
        <v>29</v>
      </c>
      <c r="L916" s="209" t="s">
        <v>1028</v>
      </c>
      <c r="M916" s="209" t="s">
        <v>4076</v>
      </c>
      <c r="N916" s="201" t="s">
        <v>1030</v>
      </c>
      <c r="O916" s="209" t="s">
        <v>652</v>
      </c>
      <c r="P916" s="209" t="s">
        <v>652</v>
      </c>
      <c r="Q916" s="213" t="s">
        <v>2062</v>
      </c>
      <c r="R916" s="213" t="s">
        <v>2877</v>
      </c>
      <c r="S916" s="213" t="s">
        <v>843</v>
      </c>
      <c r="T916" s="209"/>
    </row>
    <row r="917" spans="1:20" s="205" customFormat="1" hidden="1" x14ac:dyDescent="0.2">
      <c r="A917" s="209" t="s">
        <v>860</v>
      </c>
      <c r="B917" s="209" t="s">
        <v>4077</v>
      </c>
      <c r="C917" s="234" t="s">
        <v>843</v>
      </c>
      <c r="D917" s="209" t="s">
        <v>152</v>
      </c>
      <c r="E917" s="209"/>
      <c r="F917" s="211">
        <v>44657</v>
      </c>
      <c r="G917" s="211">
        <v>4466</v>
      </c>
      <c r="H917" s="211">
        <v>447</v>
      </c>
      <c r="I917" s="202">
        <f t="shared" si="14"/>
        <v>40638</v>
      </c>
      <c r="J917" s="209" t="s">
        <v>46</v>
      </c>
      <c r="K917" s="209" t="s">
        <v>29</v>
      </c>
      <c r="L917" s="209" t="s">
        <v>1058</v>
      </c>
      <c r="M917" s="209" t="s">
        <v>4078</v>
      </c>
      <c r="N917" s="201" t="s">
        <v>1030</v>
      </c>
      <c r="O917" s="209" t="s">
        <v>652</v>
      </c>
      <c r="P917" s="209" t="s">
        <v>652</v>
      </c>
      <c r="Q917" s="213" t="s">
        <v>987</v>
      </c>
      <c r="R917" s="213" t="s">
        <v>988</v>
      </c>
      <c r="S917" s="213" t="s">
        <v>843</v>
      </c>
      <c r="T917" s="209"/>
    </row>
    <row r="918" spans="1:20" s="205" customFormat="1" hidden="1" x14ac:dyDescent="0.2">
      <c r="A918" s="209" t="s">
        <v>860</v>
      </c>
      <c r="B918" s="209" t="s">
        <v>4079</v>
      </c>
      <c r="C918" s="234" t="s">
        <v>843</v>
      </c>
      <c r="D918" s="209" t="s">
        <v>152</v>
      </c>
      <c r="E918" s="209"/>
      <c r="F918" s="211">
        <v>33742</v>
      </c>
      <c r="G918" s="211">
        <v>3374</v>
      </c>
      <c r="H918" s="211">
        <v>337</v>
      </c>
      <c r="I918" s="202">
        <f t="shared" si="14"/>
        <v>30705</v>
      </c>
      <c r="J918" s="209" t="s">
        <v>46</v>
      </c>
      <c r="K918" s="209" t="s">
        <v>29</v>
      </c>
      <c r="L918" s="209" t="s">
        <v>1058</v>
      </c>
      <c r="M918" s="209" t="s">
        <v>4080</v>
      </c>
      <c r="N918" s="201" t="s">
        <v>1030</v>
      </c>
      <c r="O918" s="209" t="s">
        <v>652</v>
      </c>
      <c r="P918" s="209" t="s">
        <v>652</v>
      </c>
      <c r="Q918" s="213" t="s">
        <v>987</v>
      </c>
      <c r="R918" s="213" t="s">
        <v>988</v>
      </c>
      <c r="S918" s="213" t="s">
        <v>843</v>
      </c>
      <c r="T918" s="209"/>
    </row>
    <row r="919" spans="1:20" s="205" customFormat="1" hidden="1" x14ac:dyDescent="0.2">
      <c r="A919" s="209" t="s">
        <v>860</v>
      </c>
      <c r="B919" s="209" t="s">
        <v>4081</v>
      </c>
      <c r="C919" s="234" t="s">
        <v>843</v>
      </c>
      <c r="D919" s="209" t="s">
        <v>152</v>
      </c>
      <c r="E919" s="209"/>
      <c r="F919" s="211">
        <v>61180</v>
      </c>
      <c r="G919" s="211">
        <v>6118</v>
      </c>
      <c r="H919" s="211">
        <v>612</v>
      </c>
      <c r="I919" s="202">
        <f t="shared" si="14"/>
        <v>55674</v>
      </c>
      <c r="J919" s="209" t="s">
        <v>46</v>
      </c>
      <c r="K919" s="209" t="s">
        <v>29</v>
      </c>
      <c r="L919" s="209" t="s">
        <v>1058</v>
      </c>
      <c r="M919" s="209" t="s">
        <v>4082</v>
      </c>
      <c r="N919" s="201" t="s">
        <v>1030</v>
      </c>
      <c r="O919" s="209" t="s">
        <v>652</v>
      </c>
      <c r="P919" s="209" t="s">
        <v>652</v>
      </c>
      <c r="Q919" s="213" t="s">
        <v>987</v>
      </c>
      <c r="R919" s="213" t="s">
        <v>988</v>
      </c>
      <c r="S919" s="213" t="s">
        <v>843</v>
      </c>
      <c r="T919" s="209"/>
    </row>
    <row r="920" spans="1:20" s="205" customFormat="1" hidden="1" x14ac:dyDescent="0.2">
      <c r="A920" s="209" t="s">
        <v>860</v>
      </c>
      <c r="B920" s="209" t="s">
        <v>4083</v>
      </c>
      <c r="C920" s="234" t="s">
        <v>843</v>
      </c>
      <c r="D920" s="209" t="s">
        <v>152</v>
      </c>
      <c r="E920" s="209"/>
      <c r="F920" s="211">
        <v>51703</v>
      </c>
      <c r="G920" s="211">
        <v>5170</v>
      </c>
      <c r="H920" s="211">
        <v>517</v>
      </c>
      <c r="I920" s="202">
        <f t="shared" si="14"/>
        <v>47050</v>
      </c>
      <c r="J920" s="209" t="s">
        <v>46</v>
      </c>
      <c r="K920" s="209" t="s">
        <v>29</v>
      </c>
      <c r="L920" s="209" t="s">
        <v>1058</v>
      </c>
      <c r="M920" s="209" t="s">
        <v>4084</v>
      </c>
      <c r="N920" s="201" t="s">
        <v>1030</v>
      </c>
      <c r="O920" s="209" t="s">
        <v>652</v>
      </c>
      <c r="P920" s="209" t="s">
        <v>652</v>
      </c>
      <c r="Q920" s="213" t="s">
        <v>1035</v>
      </c>
      <c r="R920" s="213" t="s">
        <v>1036</v>
      </c>
      <c r="S920" s="213" t="s">
        <v>843</v>
      </c>
      <c r="T920" s="209"/>
    </row>
    <row r="921" spans="1:20" s="205" customFormat="1" hidden="1" x14ac:dyDescent="0.2">
      <c r="A921" s="209" t="s">
        <v>860</v>
      </c>
      <c r="B921" s="209" t="s">
        <v>4085</v>
      </c>
      <c r="C921" s="234" t="s">
        <v>843</v>
      </c>
      <c r="D921" s="209" t="s">
        <v>152</v>
      </c>
      <c r="E921" s="209"/>
      <c r="F921" s="211">
        <v>46572</v>
      </c>
      <c r="G921" s="211">
        <v>4657</v>
      </c>
      <c r="H921" s="211">
        <v>466</v>
      </c>
      <c r="I921" s="202">
        <f t="shared" si="14"/>
        <v>42381</v>
      </c>
      <c r="J921" s="209" t="s">
        <v>46</v>
      </c>
      <c r="K921" s="209" t="s">
        <v>29</v>
      </c>
      <c r="L921" s="209" t="s">
        <v>1058</v>
      </c>
      <c r="M921" s="209" t="s">
        <v>4086</v>
      </c>
      <c r="N921" s="201" t="s">
        <v>1030</v>
      </c>
      <c r="O921" s="209" t="s">
        <v>652</v>
      </c>
      <c r="P921" s="209" t="s">
        <v>652</v>
      </c>
      <c r="Q921" s="213" t="s">
        <v>1035</v>
      </c>
      <c r="R921" s="213" t="s">
        <v>1036</v>
      </c>
      <c r="S921" s="213" t="s">
        <v>843</v>
      </c>
      <c r="T921" s="209"/>
    </row>
    <row r="922" spans="1:20" s="205" customFormat="1" hidden="1" x14ac:dyDescent="0.2">
      <c r="A922" s="209" t="s">
        <v>860</v>
      </c>
      <c r="B922" s="209" t="s">
        <v>4087</v>
      </c>
      <c r="C922" s="234" t="s">
        <v>843</v>
      </c>
      <c r="D922" s="209" t="s">
        <v>152</v>
      </c>
      <c r="E922" s="209"/>
      <c r="F922" s="211">
        <v>55934</v>
      </c>
      <c r="G922" s="211">
        <v>5593</v>
      </c>
      <c r="H922" s="211">
        <v>559</v>
      </c>
      <c r="I922" s="202">
        <f t="shared" si="14"/>
        <v>50900</v>
      </c>
      <c r="J922" s="209" t="s">
        <v>46</v>
      </c>
      <c r="K922" s="209" t="s">
        <v>29</v>
      </c>
      <c r="L922" s="209" t="s">
        <v>1058</v>
      </c>
      <c r="M922" s="209" t="s">
        <v>4088</v>
      </c>
      <c r="N922" s="201" t="s">
        <v>1030</v>
      </c>
      <c r="O922" s="209" t="s">
        <v>652</v>
      </c>
      <c r="P922" s="209" t="s">
        <v>652</v>
      </c>
      <c r="Q922" s="213" t="s">
        <v>1035</v>
      </c>
      <c r="R922" s="213" t="s">
        <v>1036</v>
      </c>
      <c r="S922" s="213" t="s">
        <v>843</v>
      </c>
      <c r="T922" s="209"/>
    </row>
    <row r="923" spans="1:20" s="205" customFormat="1" hidden="1" x14ac:dyDescent="0.2">
      <c r="A923" s="205" t="s">
        <v>1271</v>
      </c>
      <c r="B923" s="205" t="s">
        <v>1272</v>
      </c>
      <c r="C923" s="200" t="s">
        <v>843</v>
      </c>
      <c r="D923" s="209" t="s">
        <v>152</v>
      </c>
      <c r="E923" s="209"/>
      <c r="F923" s="206">
        <v>9264</v>
      </c>
      <c r="G923" s="206">
        <v>926</v>
      </c>
      <c r="H923" s="206">
        <v>46</v>
      </c>
      <c r="I923" s="202">
        <f t="shared" si="14"/>
        <v>8384</v>
      </c>
      <c r="J923" s="205" t="s">
        <v>22</v>
      </c>
      <c r="K923" s="205" t="s">
        <v>23</v>
      </c>
      <c r="L923" s="209" t="s">
        <v>1151</v>
      </c>
      <c r="M923" s="205" t="s">
        <v>4089</v>
      </c>
      <c r="N923" s="201" t="s">
        <v>1030</v>
      </c>
      <c r="O923" s="205" t="s">
        <v>1274</v>
      </c>
      <c r="P923" s="205" t="s">
        <v>1111</v>
      </c>
      <c r="Q923" s="208" t="s">
        <v>987</v>
      </c>
      <c r="R923" s="208" t="s">
        <v>988</v>
      </c>
      <c r="S923" s="208" t="s">
        <v>843</v>
      </c>
    </row>
    <row r="924" spans="1:20" s="205" customFormat="1" hidden="1" x14ac:dyDescent="0.2">
      <c r="A924" s="205" t="s">
        <v>1271</v>
      </c>
      <c r="B924" s="205" t="s">
        <v>1272</v>
      </c>
      <c r="C924" s="200" t="s">
        <v>843</v>
      </c>
      <c r="D924" s="209" t="s">
        <v>152</v>
      </c>
      <c r="E924" s="209"/>
      <c r="F924" s="206">
        <v>51296</v>
      </c>
      <c r="G924" s="206">
        <v>5130</v>
      </c>
      <c r="H924" s="206">
        <v>256</v>
      </c>
      <c r="I924" s="202">
        <f t="shared" si="14"/>
        <v>46422</v>
      </c>
      <c r="J924" s="205" t="s">
        <v>22</v>
      </c>
      <c r="K924" s="205" t="s">
        <v>23</v>
      </c>
      <c r="L924" s="209" t="s">
        <v>1042</v>
      </c>
      <c r="M924" s="205" t="s">
        <v>4090</v>
      </c>
      <c r="N924" s="201" t="s">
        <v>1030</v>
      </c>
      <c r="O924" s="205" t="s">
        <v>1274</v>
      </c>
      <c r="P924" s="205" t="s">
        <v>1111</v>
      </c>
      <c r="Q924" s="208" t="s">
        <v>987</v>
      </c>
      <c r="R924" s="208" t="s">
        <v>988</v>
      </c>
      <c r="S924" s="208" t="s">
        <v>843</v>
      </c>
    </row>
    <row r="925" spans="1:20" s="235" customFormat="1" hidden="1" x14ac:dyDescent="0.2">
      <c r="A925" s="235" t="s">
        <v>1271</v>
      </c>
      <c r="B925" s="235" t="s">
        <v>1272</v>
      </c>
      <c r="C925" s="236" t="s">
        <v>843</v>
      </c>
      <c r="D925" s="235" t="s">
        <v>166</v>
      </c>
      <c r="F925" s="237">
        <v>-9264</v>
      </c>
      <c r="G925" s="237">
        <v>-926</v>
      </c>
      <c r="H925" s="237">
        <v>-46</v>
      </c>
      <c r="I925" s="238">
        <f t="shared" si="14"/>
        <v>-8384</v>
      </c>
      <c r="J925" s="235" t="s">
        <v>22</v>
      </c>
      <c r="K925" s="235" t="s">
        <v>23</v>
      </c>
      <c r="L925" s="235" t="s">
        <v>1325</v>
      </c>
      <c r="M925" s="235" t="s">
        <v>4091</v>
      </c>
      <c r="N925" s="239" t="s">
        <v>1030</v>
      </c>
      <c r="O925" s="235" t="s">
        <v>1274</v>
      </c>
      <c r="P925" s="235" t="s">
        <v>1111</v>
      </c>
      <c r="Q925" s="240" t="s">
        <v>987</v>
      </c>
      <c r="R925" s="240" t="s">
        <v>988</v>
      </c>
      <c r="S925" s="240" t="s">
        <v>843</v>
      </c>
    </row>
    <row r="926" spans="1:20" s="205" customFormat="1" hidden="1" x14ac:dyDescent="0.2">
      <c r="A926" s="205" t="s">
        <v>1271</v>
      </c>
      <c r="B926" s="205" t="s">
        <v>1272</v>
      </c>
      <c r="C926" s="200" t="s">
        <v>843</v>
      </c>
      <c r="D926" s="209" t="s">
        <v>166</v>
      </c>
      <c r="E926" s="209"/>
      <c r="F926" s="206">
        <v>-15039</v>
      </c>
      <c r="G926" s="206">
        <v>-1504</v>
      </c>
      <c r="H926" s="206">
        <v>-75</v>
      </c>
      <c r="I926" s="202">
        <f t="shared" si="14"/>
        <v>-13610</v>
      </c>
      <c r="J926" s="205" t="s">
        <v>22</v>
      </c>
      <c r="K926" s="205" t="s">
        <v>23</v>
      </c>
      <c r="L926" s="209" t="s">
        <v>1068</v>
      </c>
      <c r="M926" s="205" t="s">
        <v>4092</v>
      </c>
      <c r="N926" s="201" t="s">
        <v>1030</v>
      </c>
      <c r="O926" s="205" t="s">
        <v>1274</v>
      </c>
      <c r="P926" s="205" t="s">
        <v>1111</v>
      </c>
      <c r="Q926" s="208" t="s">
        <v>987</v>
      </c>
      <c r="R926" s="208" t="s">
        <v>988</v>
      </c>
      <c r="S926" s="208" t="s">
        <v>843</v>
      </c>
    </row>
    <row r="927" spans="1:20" s="205" customFormat="1" hidden="1" x14ac:dyDescent="0.2">
      <c r="A927" s="205" t="s">
        <v>1271</v>
      </c>
      <c r="B927" s="205" t="s">
        <v>1272</v>
      </c>
      <c r="C927" s="200" t="s">
        <v>843</v>
      </c>
      <c r="D927" s="209" t="s">
        <v>166</v>
      </c>
      <c r="E927" s="209"/>
      <c r="F927" s="206">
        <v>-18285</v>
      </c>
      <c r="G927" s="206">
        <v>-1828</v>
      </c>
      <c r="H927" s="206">
        <v>-91</v>
      </c>
      <c r="I927" s="202">
        <f t="shared" si="14"/>
        <v>-16548</v>
      </c>
      <c r="J927" s="205" t="s">
        <v>22</v>
      </c>
      <c r="K927" s="205" t="s">
        <v>23</v>
      </c>
      <c r="L927" s="209" t="s">
        <v>1068</v>
      </c>
      <c r="M927" s="205" t="s">
        <v>4093</v>
      </c>
      <c r="N927" s="201" t="s">
        <v>1030</v>
      </c>
      <c r="O927" s="205" t="s">
        <v>1274</v>
      </c>
      <c r="P927" s="205" t="s">
        <v>1111</v>
      </c>
      <c r="Q927" s="208" t="s">
        <v>987</v>
      </c>
      <c r="R927" s="208" t="s">
        <v>988</v>
      </c>
      <c r="S927" s="208" t="s">
        <v>843</v>
      </c>
    </row>
    <row r="928" spans="1:20" s="205" customFormat="1" hidden="1" x14ac:dyDescent="0.2">
      <c r="A928" s="205" t="s">
        <v>1271</v>
      </c>
      <c r="B928" s="205" t="s">
        <v>1272</v>
      </c>
      <c r="C928" s="200" t="s">
        <v>843</v>
      </c>
      <c r="D928" s="209" t="s">
        <v>166</v>
      </c>
      <c r="E928" s="209"/>
      <c r="F928" s="206">
        <v>-31725</v>
      </c>
      <c r="G928" s="206">
        <v>-3173</v>
      </c>
      <c r="H928" s="206">
        <v>-159</v>
      </c>
      <c r="I928" s="202">
        <f t="shared" si="14"/>
        <v>-28711</v>
      </c>
      <c r="J928" s="205" t="s">
        <v>22</v>
      </c>
      <c r="K928" s="205" t="s">
        <v>23</v>
      </c>
      <c r="L928" s="209" t="s">
        <v>1068</v>
      </c>
      <c r="M928" s="205" t="s">
        <v>4094</v>
      </c>
      <c r="N928" s="201" t="s">
        <v>1030</v>
      </c>
      <c r="O928" s="205" t="s">
        <v>1274</v>
      </c>
      <c r="P928" s="205" t="s">
        <v>1111</v>
      </c>
      <c r="Q928" s="208" t="s">
        <v>987</v>
      </c>
      <c r="R928" s="208" t="s">
        <v>988</v>
      </c>
      <c r="S928" s="208" t="s">
        <v>843</v>
      </c>
    </row>
    <row r="929" spans="1:19" s="205" customFormat="1" hidden="1" x14ac:dyDescent="0.2">
      <c r="A929" s="205" t="s">
        <v>251</v>
      </c>
      <c r="B929" s="205" t="s">
        <v>4095</v>
      </c>
      <c r="C929" s="200" t="s">
        <v>843</v>
      </c>
      <c r="D929" s="209" t="s">
        <v>152</v>
      </c>
      <c r="E929" s="209"/>
      <c r="F929" s="206">
        <v>52203</v>
      </c>
      <c r="G929" s="206">
        <v>5220</v>
      </c>
      <c r="H929" s="206">
        <v>261</v>
      </c>
      <c r="I929" s="202">
        <f t="shared" si="14"/>
        <v>47244</v>
      </c>
      <c r="J929" s="205" t="s">
        <v>104</v>
      </c>
      <c r="K929" s="205" t="s">
        <v>23</v>
      </c>
      <c r="L929" s="209" t="s">
        <v>1058</v>
      </c>
      <c r="M929" s="205" t="s">
        <v>4096</v>
      </c>
      <c r="N929" s="201" t="s">
        <v>1072</v>
      </c>
      <c r="O929" s="205" t="s">
        <v>652</v>
      </c>
      <c r="P929" s="205" t="s">
        <v>652</v>
      </c>
      <c r="Q929" s="208" t="s">
        <v>724</v>
      </c>
      <c r="R929" s="208" t="s">
        <v>725</v>
      </c>
      <c r="S929" s="208" t="s">
        <v>843</v>
      </c>
    </row>
    <row r="930" spans="1:19" s="205" customFormat="1" hidden="1" x14ac:dyDescent="0.2">
      <c r="A930" s="205" t="s">
        <v>115</v>
      </c>
      <c r="B930" s="205" t="s">
        <v>650</v>
      </c>
      <c r="C930" s="200" t="s">
        <v>843</v>
      </c>
      <c r="D930" s="209" t="s">
        <v>166</v>
      </c>
      <c r="E930" s="209"/>
      <c r="F930" s="206">
        <v>-53604</v>
      </c>
      <c r="G930" s="206">
        <v>-5360</v>
      </c>
      <c r="H930" s="206">
        <v>-268</v>
      </c>
      <c r="I930" s="202">
        <f t="shared" si="14"/>
        <v>-48512</v>
      </c>
      <c r="J930" s="205" t="s">
        <v>44</v>
      </c>
      <c r="K930" s="205" t="s">
        <v>23</v>
      </c>
      <c r="L930" s="209" t="s">
        <v>1151</v>
      </c>
      <c r="M930" s="205" t="s">
        <v>4097</v>
      </c>
      <c r="N930" s="201" t="s">
        <v>1030</v>
      </c>
      <c r="O930" s="205" t="s">
        <v>652</v>
      </c>
      <c r="P930" s="205" t="s">
        <v>652</v>
      </c>
      <c r="Q930" s="208" t="s">
        <v>653</v>
      </c>
      <c r="R930" s="208" t="s">
        <v>654</v>
      </c>
      <c r="S930" s="216" t="s">
        <v>843</v>
      </c>
    </row>
    <row r="931" spans="1:19" s="205" customFormat="1" hidden="1" x14ac:dyDescent="0.2">
      <c r="A931" s="205" t="s">
        <v>218</v>
      </c>
      <c r="B931" s="205" t="s">
        <v>2411</v>
      </c>
      <c r="C931" s="200" t="s">
        <v>843</v>
      </c>
      <c r="D931" s="209" t="s">
        <v>152</v>
      </c>
      <c r="E931" s="209"/>
      <c r="F931" s="206">
        <v>66430</v>
      </c>
      <c r="G931" s="206">
        <v>6643</v>
      </c>
      <c r="H931" s="206">
        <v>332</v>
      </c>
      <c r="I931" s="202">
        <f t="shared" si="14"/>
        <v>60119</v>
      </c>
      <c r="J931" s="205" t="s">
        <v>54</v>
      </c>
      <c r="K931" s="205" t="s">
        <v>23</v>
      </c>
      <c r="L931" s="209" t="s">
        <v>1042</v>
      </c>
      <c r="M931" s="205" t="s">
        <v>4098</v>
      </c>
      <c r="N931" s="201" t="s">
        <v>1030</v>
      </c>
      <c r="O931" s="205" t="s">
        <v>652</v>
      </c>
      <c r="P931" s="205" t="s">
        <v>652</v>
      </c>
      <c r="Q931" s="208" t="s">
        <v>1407</v>
      </c>
      <c r="R931" s="208" t="s">
        <v>1408</v>
      </c>
      <c r="S931" s="208" t="s">
        <v>843</v>
      </c>
    </row>
    <row r="932" spans="1:19" s="205" customFormat="1" hidden="1" x14ac:dyDescent="0.2">
      <c r="A932" s="205" t="s">
        <v>436</v>
      </c>
      <c r="B932" s="205" t="s">
        <v>4099</v>
      </c>
      <c r="C932" s="200" t="s">
        <v>843</v>
      </c>
      <c r="D932" s="209" t="s">
        <v>152</v>
      </c>
      <c r="E932" s="209"/>
      <c r="F932" s="206">
        <v>2168491</v>
      </c>
      <c r="G932" s="206">
        <v>216849</v>
      </c>
      <c r="H932" s="206">
        <v>10842</v>
      </c>
      <c r="I932" s="202">
        <f t="shared" si="14"/>
        <v>1962484</v>
      </c>
      <c r="J932" s="205" t="s">
        <v>52</v>
      </c>
      <c r="K932" s="205" t="s">
        <v>23</v>
      </c>
      <c r="L932" s="209" t="s">
        <v>1028</v>
      </c>
      <c r="M932" s="205" t="s">
        <v>4100</v>
      </c>
      <c r="N932" s="201" t="s">
        <v>1030</v>
      </c>
      <c r="O932" s="205" t="s">
        <v>652</v>
      </c>
      <c r="P932" s="205" t="s">
        <v>652</v>
      </c>
      <c r="Q932" s="208" t="s">
        <v>3279</v>
      </c>
      <c r="R932" s="208" t="s">
        <v>3280</v>
      </c>
      <c r="S932" s="208" t="s">
        <v>843</v>
      </c>
    </row>
    <row r="933" spans="1:19" s="205" customFormat="1" hidden="1" x14ac:dyDescent="0.2">
      <c r="A933" s="205" t="s">
        <v>244</v>
      </c>
      <c r="B933" s="205" t="s">
        <v>4101</v>
      </c>
      <c r="C933" s="200" t="s">
        <v>843</v>
      </c>
      <c r="D933" s="209" t="s">
        <v>152</v>
      </c>
      <c r="E933" s="209"/>
      <c r="F933" s="206">
        <v>70293</v>
      </c>
      <c r="G933" s="206">
        <v>7029</v>
      </c>
      <c r="H933" s="206">
        <v>351</v>
      </c>
      <c r="I933" s="202">
        <f t="shared" si="14"/>
        <v>63615</v>
      </c>
      <c r="J933" s="205" t="s">
        <v>38</v>
      </c>
      <c r="K933" s="205" t="s">
        <v>23</v>
      </c>
      <c r="L933" s="209" t="s">
        <v>1028</v>
      </c>
      <c r="M933" s="205" t="s">
        <v>4102</v>
      </c>
      <c r="N933" s="201" t="s">
        <v>1030</v>
      </c>
      <c r="O933" s="205" t="s">
        <v>652</v>
      </c>
      <c r="P933" s="205" t="s">
        <v>652</v>
      </c>
      <c r="Q933" s="208" t="s">
        <v>1534</v>
      </c>
      <c r="R933" s="208" t="s">
        <v>3748</v>
      </c>
      <c r="S933" s="208" t="s">
        <v>843</v>
      </c>
    </row>
    <row r="934" spans="1:19" s="205" customFormat="1" hidden="1" x14ac:dyDescent="0.2">
      <c r="A934" s="205" t="s">
        <v>244</v>
      </c>
      <c r="B934" s="205" t="s">
        <v>4103</v>
      </c>
      <c r="C934" s="200" t="s">
        <v>843</v>
      </c>
      <c r="D934" s="209" t="s">
        <v>152</v>
      </c>
      <c r="E934" s="209"/>
      <c r="F934" s="206">
        <v>45713</v>
      </c>
      <c r="G934" s="206">
        <v>4571</v>
      </c>
      <c r="H934" s="206">
        <v>229</v>
      </c>
      <c r="I934" s="202">
        <f t="shared" si="14"/>
        <v>41371</v>
      </c>
      <c r="J934" s="205" t="s">
        <v>38</v>
      </c>
      <c r="K934" s="205" t="s">
        <v>23</v>
      </c>
      <c r="L934" s="209" t="s">
        <v>1028</v>
      </c>
      <c r="M934" s="205" t="s">
        <v>4104</v>
      </c>
      <c r="N934" s="201" t="s">
        <v>1030</v>
      </c>
      <c r="O934" s="205" t="s">
        <v>652</v>
      </c>
      <c r="P934" s="205" t="s">
        <v>652</v>
      </c>
      <c r="Q934" s="208" t="s">
        <v>1534</v>
      </c>
      <c r="R934" s="208" t="s">
        <v>3748</v>
      </c>
      <c r="S934" s="208" t="s">
        <v>843</v>
      </c>
    </row>
    <row r="935" spans="1:19" s="205" customFormat="1" hidden="1" x14ac:dyDescent="0.2">
      <c r="A935" s="205" t="s">
        <v>244</v>
      </c>
      <c r="B935" s="205" t="s">
        <v>4105</v>
      </c>
      <c r="C935" s="200" t="s">
        <v>843</v>
      </c>
      <c r="D935" s="209" t="s">
        <v>152</v>
      </c>
      <c r="E935" s="209"/>
      <c r="F935" s="206">
        <v>30095</v>
      </c>
      <c r="G935" s="206">
        <v>3010</v>
      </c>
      <c r="H935" s="206">
        <v>150</v>
      </c>
      <c r="I935" s="202">
        <f t="shared" si="14"/>
        <v>27235</v>
      </c>
      <c r="J935" s="205" t="s">
        <v>38</v>
      </c>
      <c r="K935" s="205" t="s">
        <v>23</v>
      </c>
      <c r="L935" s="209" t="s">
        <v>1028</v>
      </c>
      <c r="M935" s="205" t="s">
        <v>4106</v>
      </c>
      <c r="N935" s="201" t="s">
        <v>1030</v>
      </c>
      <c r="O935" s="205" t="s">
        <v>652</v>
      </c>
      <c r="P935" s="205" t="s">
        <v>652</v>
      </c>
      <c r="Q935" s="208" t="s">
        <v>1534</v>
      </c>
      <c r="R935" s="208" t="s">
        <v>3748</v>
      </c>
      <c r="S935" s="208" t="s">
        <v>843</v>
      </c>
    </row>
    <row r="936" spans="1:19" s="205" customFormat="1" hidden="1" x14ac:dyDescent="0.2">
      <c r="A936" s="205" t="s">
        <v>244</v>
      </c>
      <c r="B936" s="205" t="s">
        <v>4107</v>
      </c>
      <c r="C936" s="200" t="s">
        <v>843</v>
      </c>
      <c r="D936" s="205" t="s">
        <v>152</v>
      </c>
      <c r="F936" s="206">
        <v>30095</v>
      </c>
      <c r="G936" s="206">
        <v>3010</v>
      </c>
      <c r="H936" s="206">
        <v>150</v>
      </c>
      <c r="I936" s="202">
        <f t="shared" si="14"/>
        <v>27235</v>
      </c>
      <c r="J936" s="205" t="s">
        <v>38</v>
      </c>
      <c r="K936" s="205" t="s">
        <v>23</v>
      </c>
      <c r="L936" s="209" t="s">
        <v>1028</v>
      </c>
      <c r="M936" s="205" t="s">
        <v>4108</v>
      </c>
      <c r="N936" s="201" t="s">
        <v>1030</v>
      </c>
      <c r="O936" s="205" t="s">
        <v>652</v>
      </c>
      <c r="P936" s="205" t="s">
        <v>652</v>
      </c>
      <c r="Q936" s="208" t="s">
        <v>1534</v>
      </c>
      <c r="R936" s="208" t="s">
        <v>3748</v>
      </c>
      <c r="S936" s="208" t="s">
        <v>843</v>
      </c>
    </row>
    <row r="937" spans="1:19" s="205" customFormat="1" hidden="1" x14ac:dyDescent="0.2">
      <c r="A937" s="205" t="s">
        <v>244</v>
      </c>
      <c r="B937" s="205" t="s">
        <v>4109</v>
      </c>
      <c r="C937" s="200" t="s">
        <v>843</v>
      </c>
      <c r="D937" s="205" t="s">
        <v>152</v>
      </c>
      <c r="F937" s="206">
        <v>46439</v>
      </c>
      <c r="G937" s="206">
        <v>4644</v>
      </c>
      <c r="H937" s="206">
        <v>232</v>
      </c>
      <c r="I937" s="202">
        <f t="shared" si="14"/>
        <v>42027</v>
      </c>
      <c r="J937" s="205" t="s">
        <v>38</v>
      </c>
      <c r="K937" s="205" t="s">
        <v>23</v>
      </c>
      <c r="L937" s="209" t="s">
        <v>1042</v>
      </c>
      <c r="M937" s="205" t="s">
        <v>4110</v>
      </c>
      <c r="N937" s="201" t="s">
        <v>1030</v>
      </c>
      <c r="O937" s="205" t="s">
        <v>652</v>
      </c>
      <c r="P937" s="205" t="s">
        <v>652</v>
      </c>
      <c r="Q937" s="208" t="s">
        <v>2191</v>
      </c>
      <c r="R937" s="208" t="s">
        <v>2192</v>
      </c>
      <c r="S937" s="208" t="s">
        <v>843</v>
      </c>
    </row>
    <row r="938" spans="1:19" s="205" customFormat="1" hidden="1" x14ac:dyDescent="0.2">
      <c r="A938" s="205" t="s">
        <v>244</v>
      </c>
      <c r="B938" s="205" t="s">
        <v>4111</v>
      </c>
      <c r="C938" s="200" t="s">
        <v>843</v>
      </c>
      <c r="D938" s="205" t="s">
        <v>152</v>
      </c>
      <c r="F938" s="206">
        <v>67331</v>
      </c>
      <c r="G938" s="206">
        <v>6733</v>
      </c>
      <c r="H938" s="206">
        <v>337</v>
      </c>
      <c r="I938" s="202">
        <f t="shared" si="14"/>
        <v>60935</v>
      </c>
      <c r="J938" s="205" t="s">
        <v>38</v>
      </c>
      <c r="K938" s="205" t="s">
        <v>23</v>
      </c>
      <c r="L938" s="209" t="s">
        <v>1028</v>
      </c>
      <c r="M938" s="205" t="s">
        <v>4112</v>
      </c>
      <c r="N938" s="201" t="s">
        <v>1030</v>
      </c>
      <c r="O938" s="205" t="s">
        <v>652</v>
      </c>
      <c r="P938" s="205" t="s">
        <v>652</v>
      </c>
      <c r="Q938" s="208" t="s">
        <v>663</v>
      </c>
      <c r="R938" s="208" t="s">
        <v>723</v>
      </c>
      <c r="S938" s="208" t="s">
        <v>843</v>
      </c>
    </row>
    <row r="939" spans="1:19" s="205" customFormat="1" hidden="1" x14ac:dyDescent="0.2">
      <c r="A939" s="205" t="s">
        <v>244</v>
      </c>
      <c r="B939" s="205" t="s">
        <v>4113</v>
      </c>
      <c r="C939" s="200" t="s">
        <v>843</v>
      </c>
      <c r="D939" s="205" t="s">
        <v>152</v>
      </c>
      <c r="F939" s="206">
        <v>90069</v>
      </c>
      <c r="G939" s="206">
        <v>9007</v>
      </c>
      <c r="H939" s="206">
        <v>450</v>
      </c>
      <c r="I939" s="202">
        <f t="shared" si="14"/>
        <v>81512</v>
      </c>
      <c r="J939" s="205" t="s">
        <v>38</v>
      </c>
      <c r="K939" s="205" t="s">
        <v>23</v>
      </c>
      <c r="L939" s="209" t="s">
        <v>1028</v>
      </c>
      <c r="M939" s="205" t="s">
        <v>4114</v>
      </c>
      <c r="N939" s="201" t="s">
        <v>1030</v>
      </c>
      <c r="O939" s="205" t="s">
        <v>652</v>
      </c>
      <c r="P939" s="205" t="s">
        <v>652</v>
      </c>
      <c r="Q939" s="208" t="s">
        <v>2191</v>
      </c>
      <c r="R939" s="208" t="s">
        <v>2192</v>
      </c>
      <c r="S939" s="208" t="s">
        <v>843</v>
      </c>
    </row>
    <row r="940" spans="1:19" s="205" customFormat="1" hidden="1" x14ac:dyDescent="0.2">
      <c r="A940" s="205" t="s">
        <v>244</v>
      </c>
      <c r="B940" s="205" t="s">
        <v>4115</v>
      </c>
      <c r="C940" s="200" t="s">
        <v>843</v>
      </c>
      <c r="D940" s="209" t="s">
        <v>152</v>
      </c>
      <c r="E940" s="209"/>
      <c r="F940" s="206">
        <v>51322</v>
      </c>
      <c r="G940" s="206">
        <v>5132</v>
      </c>
      <c r="H940" s="206">
        <v>257</v>
      </c>
      <c r="I940" s="202">
        <f t="shared" si="14"/>
        <v>46447</v>
      </c>
      <c r="J940" s="205" t="s">
        <v>38</v>
      </c>
      <c r="K940" s="205" t="s">
        <v>23</v>
      </c>
      <c r="L940" s="209" t="s">
        <v>1028</v>
      </c>
      <c r="M940" s="205" t="s">
        <v>4116</v>
      </c>
      <c r="N940" s="201" t="s">
        <v>1030</v>
      </c>
      <c r="O940" s="205" t="s">
        <v>652</v>
      </c>
      <c r="P940" s="205" t="s">
        <v>652</v>
      </c>
      <c r="Q940" s="208" t="s">
        <v>2191</v>
      </c>
      <c r="R940" s="208" t="s">
        <v>2192</v>
      </c>
      <c r="S940" s="208" t="s">
        <v>843</v>
      </c>
    </row>
    <row r="941" spans="1:19" s="205" customFormat="1" hidden="1" x14ac:dyDescent="0.2">
      <c r="A941" s="205" t="s">
        <v>244</v>
      </c>
      <c r="B941" s="205" t="s">
        <v>4117</v>
      </c>
      <c r="C941" s="200" t="s">
        <v>843</v>
      </c>
      <c r="D941" s="209" t="s">
        <v>152</v>
      </c>
      <c r="E941" s="209"/>
      <c r="F941" s="206">
        <v>123845</v>
      </c>
      <c r="G941" s="206">
        <v>12385</v>
      </c>
      <c r="H941" s="206">
        <v>619</v>
      </c>
      <c r="I941" s="202">
        <f t="shared" si="14"/>
        <v>112079</v>
      </c>
      <c r="J941" s="205" t="s">
        <v>38</v>
      </c>
      <c r="K941" s="205" t="s">
        <v>23</v>
      </c>
      <c r="L941" s="209" t="s">
        <v>1028</v>
      </c>
      <c r="M941" s="205" t="s">
        <v>4118</v>
      </c>
      <c r="N941" s="201" t="s">
        <v>1030</v>
      </c>
      <c r="O941" s="205" t="s">
        <v>652</v>
      </c>
      <c r="P941" s="205" t="s">
        <v>652</v>
      </c>
      <c r="Q941" s="208" t="s">
        <v>1534</v>
      </c>
      <c r="R941" s="208" t="s">
        <v>3748</v>
      </c>
      <c r="S941" s="208" t="s">
        <v>843</v>
      </c>
    </row>
    <row r="942" spans="1:19" s="205" customFormat="1" hidden="1" x14ac:dyDescent="0.2">
      <c r="A942" s="205" t="s">
        <v>244</v>
      </c>
      <c r="B942" s="205" t="s">
        <v>4119</v>
      </c>
      <c r="C942" s="200" t="s">
        <v>843</v>
      </c>
      <c r="D942" s="209" t="s">
        <v>152</v>
      </c>
      <c r="E942" s="209"/>
      <c r="F942" s="206">
        <v>136214</v>
      </c>
      <c r="G942" s="206">
        <v>13621</v>
      </c>
      <c r="H942" s="206">
        <v>681</v>
      </c>
      <c r="I942" s="202">
        <f t="shared" si="14"/>
        <v>123274</v>
      </c>
      <c r="J942" s="205" t="s">
        <v>38</v>
      </c>
      <c r="K942" s="205" t="s">
        <v>23</v>
      </c>
      <c r="L942" s="209" t="s">
        <v>1028</v>
      </c>
      <c r="M942" s="205" t="s">
        <v>4120</v>
      </c>
      <c r="N942" s="201" t="s">
        <v>1030</v>
      </c>
      <c r="O942" s="205" t="s">
        <v>652</v>
      </c>
      <c r="P942" s="205" t="s">
        <v>652</v>
      </c>
      <c r="Q942" s="208" t="s">
        <v>663</v>
      </c>
      <c r="R942" s="208" t="s">
        <v>723</v>
      </c>
      <c r="S942" s="208" t="s">
        <v>843</v>
      </c>
    </row>
    <row r="943" spans="1:19" s="205" customFormat="1" hidden="1" x14ac:dyDescent="0.2">
      <c r="A943" s="205" t="s">
        <v>244</v>
      </c>
      <c r="B943" s="205" t="s">
        <v>4121</v>
      </c>
      <c r="C943" s="200" t="s">
        <v>843</v>
      </c>
      <c r="D943" s="209" t="s">
        <v>152</v>
      </c>
      <c r="E943" s="209"/>
      <c r="F943" s="206">
        <v>42202</v>
      </c>
      <c r="G943" s="206">
        <v>4220</v>
      </c>
      <c r="H943" s="206">
        <v>211</v>
      </c>
      <c r="I943" s="202">
        <f t="shared" si="14"/>
        <v>38193</v>
      </c>
      <c r="J943" s="205" t="s">
        <v>38</v>
      </c>
      <c r="K943" s="205" t="s">
        <v>23</v>
      </c>
      <c r="L943" s="209" t="s">
        <v>1042</v>
      </c>
      <c r="M943" s="205" t="s">
        <v>4122</v>
      </c>
      <c r="N943" s="201" t="s">
        <v>1030</v>
      </c>
      <c r="O943" s="205" t="s">
        <v>652</v>
      </c>
      <c r="P943" s="205" t="s">
        <v>652</v>
      </c>
      <c r="Q943" s="208" t="s">
        <v>664</v>
      </c>
      <c r="R943" s="208" t="s">
        <v>665</v>
      </c>
      <c r="S943" s="208" t="s">
        <v>843</v>
      </c>
    </row>
    <row r="944" spans="1:19" s="205" customFormat="1" hidden="1" x14ac:dyDescent="0.2">
      <c r="A944" s="205" t="s">
        <v>244</v>
      </c>
      <c r="B944" s="205" t="s">
        <v>4123</v>
      </c>
      <c r="C944" s="200" t="s">
        <v>843</v>
      </c>
      <c r="D944" s="209" t="s">
        <v>152</v>
      </c>
      <c r="E944" s="209"/>
      <c r="F944" s="206">
        <v>40412</v>
      </c>
      <c r="G944" s="206">
        <v>4041</v>
      </c>
      <c r="H944" s="206">
        <v>202</v>
      </c>
      <c r="I944" s="202">
        <f t="shared" si="14"/>
        <v>36573</v>
      </c>
      <c r="J944" s="205" t="s">
        <v>38</v>
      </c>
      <c r="K944" s="205" t="s">
        <v>23</v>
      </c>
      <c r="L944" s="209" t="s">
        <v>1028</v>
      </c>
      <c r="M944" s="205" t="s">
        <v>4124</v>
      </c>
      <c r="N944" s="201" t="s">
        <v>1030</v>
      </c>
      <c r="O944" s="205" t="s">
        <v>652</v>
      </c>
      <c r="P944" s="205" t="s">
        <v>652</v>
      </c>
      <c r="Q944" s="208" t="s">
        <v>1534</v>
      </c>
      <c r="R944" s="208" t="s">
        <v>3748</v>
      </c>
      <c r="S944" s="208" t="s">
        <v>843</v>
      </c>
    </row>
    <row r="945" spans="1:24" s="205" customFormat="1" hidden="1" x14ac:dyDescent="0.2">
      <c r="A945" s="205" t="s">
        <v>244</v>
      </c>
      <c r="B945" s="205" t="s">
        <v>4125</v>
      </c>
      <c r="C945" s="200" t="s">
        <v>843</v>
      </c>
      <c r="D945" s="209" t="s">
        <v>152</v>
      </c>
      <c r="E945" s="209"/>
      <c r="F945" s="206">
        <v>69284</v>
      </c>
      <c r="G945" s="206">
        <v>6928</v>
      </c>
      <c r="H945" s="206">
        <v>346</v>
      </c>
      <c r="I945" s="202">
        <f t="shared" si="14"/>
        <v>62702</v>
      </c>
      <c r="J945" s="205" t="s">
        <v>38</v>
      </c>
      <c r="K945" s="205" t="s">
        <v>23</v>
      </c>
      <c r="L945" s="209" t="s">
        <v>1028</v>
      </c>
      <c r="M945" s="205" t="s">
        <v>4126</v>
      </c>
      <c r="N945" s="201" t="s">
        <v>1030</v>
      </c>
      <c r="O945" s="205" t="s">
        <v>652</v>
      </c>
      <c r="P945" s="205" t="s">
        <v>652</v>
      </c>
      <c r="Q945" s="208" t="s">
        <v>663</v>
      </c>
      <c r="R945" s="208" t="s">
        <v>723</v>
      </c>
      <c r="S945" s="208" t="s">
        <v>843</v>
      </c>
    </row>
    <row r="946" spans="1:24" s="205" customFormat="1" hidden="1" x14ac:dyDescent="0.2">
      <c r="A946" s="205" t="s">
        <v>244</v>
      </c>
      <c r="B946" s="205" t="s">
        <v>4127</v>
      </c>
      <c r="C946" s="200" t="s">
        <v>843</v>
      </c>
      <c r="D946" s="209" t="s">
        <v>152</v>
      </c>
      <c r="E946" s="209"/>
      <c r="F946" s="206">
        <v>92580</v>
      </c>
      <c r="G946" s="206">
        <v>9258</v>
      </c>
      <c r="H946" s="206">
        <v>463</v>
      </c>
      <c r="I946" s="202">
        <f t="shared" si="14"/>
        <v>83785</v>
      </c>
      <c r="J946" s="205" t="s">
        <v>38</v>
      </c>
      <c r="K946" s="205" t="s">
        <v>23</v>
      </c>
      <c r="L946" s="209" t="s">
        <v>1028</v>
      </c>
      <c r="M946" s="205" t="s">
        <v>4128</v>
      </c>
      <c r="N946" s="201" t="s">
        <v>1030</v>
      </c>
      <c r="O946" s="205" t="s">
        <v>652</v>
      </c>
      <c r="P946" s="205" t="s">
        <v>652</v>
      </c>
      <c r="Q946" s="208" t="s">
        <v>1534</v>
      </c>
      <c r="R946" s="208" t="s">
        <v>3748</v>
      </c>
      <c r="S946" s="208" t="s">
        <v>843</v>
      </c>
    </row>
    <row r="947" spans="1:24" s="205" customFormat="1" hidden="1" x14ac:dyDescent="0.2">
      <c r="A947" s="205" t="s">
        <v>244</v>
      </c>
      <c r="B947" s="205" t="s">
        <v>4129</v>
      </c>
      <c r="C947" s="200" t="s">
        <v>843</v>
      </c>
      <c r="D947" s="209" t="s">
        <v>152</v>
      </c>
      <c r="E947" s="209"/>
      <c r="F947" s="206">
        <v>84164</v>
      </c>
      <c r="G947" s="206">
        <v>8416</v>
      </c>
      <c r="H947" s="206">
        <v>421</v>
      </c>
      <c r="I947" s="202">
        <f t="shared" si="14"/>
        <v>76169</v>
      </c>
      <c r="J947" s="205" t="s">
        <v>38</v>
      </c>
      <c r="K947" s="205" t="s">
        <v>23</v>
      </c>
      <c r="L947" s="209" t="s">
        <v>1028</v>
      </c>
      <c r="M947" s="205" t="s">
        <v>4130</v>
      </c>
      <c r="N947" s="201" t="s">
        <v>1030</v>
      </c>
      <c r="O947" s="205" t="s">
        <v>652</v>
      </c>
      <c r="P947" s="205" t="s">
        <v>652</v>
      </c>
      <c r="Q947" s="208" t="s">
        <v>987</v>
      </c>
      <c r="R947" s="208" t="s">
        <v>988</v>
      </c>
      <c r="S947" s="208" t="s">
        <v>843</v>
      </c>
    </row>
    <row r="948" spans="1:24" s="205" customFormat="1" hidden="1" x14ac:dyDescent="0.2">
      <c r="A948" s="205" t="s">
        <v>244</v>
      </c>
      <c r="B948" s="205" t="s">
        <v>4131</v>
      </c>
      <c r="C948" s="200" t="s">
        <v>843</v>
      </c>
      <c r="D948" s="209" t="s">
        <v>152</v>
      </c>
      <c r="E948" s="209"/>
      <c r="F948" s="206">
        <v>74912</v>
      </c>
      <c r="G948" s="206">
        <v>7491</v>
      </c>
      <c r="H948" s="206">
        <v>375</v>
      </c>
      <c r="I948" s="202">
        <f t="shared" si="14"/>
        <v>67796</v>
      </c>
      <c r="J948" s="205" t="s">
        <v>38</v>
      </c>
      <c r="K948" s="205" t="s">
        <v>23</v>
      </c>
      <c r="L948" s="209" t="s">
        <v>1042</v>
      </c>
      <c r="M948" s="205" t="s">
        <v>4132</v>
      </c>
      <c r="N948" s="201" t="s">
        <v>1030</v>
      </c>
      <c r="O948" s="205" t="s">
        <v>652</v>
      </c>
      <c r="P948" s="205" t="s">
        <v>652</v>
      </c>
      <c r="Q948" s="208" t="s">
        <v>2191</v>
      </c>
      <c r="R948" s="208" t="s">
        <v>2192</v>
      </c>
      <c r="S948" s="208" t="s">
        <v>843</v>
      </c>
    </row>
    <row r="949" spans="1:24" s="205" customFormat="1" hidden="1" x14ac:dyDescent="0.2">
      <c r="A949" s="205" t="s">
        <v>244</v>
      </c>
      <c r="B949" s="205" t="s">
        <v>4133</v>
      </c>
      <c r="C949" s="200" t="s">
        <v>843</v>
      </c>
      <c r="D949" s="209" t="s">
        <v>152</v>
      </c>
      <c r="E949" s="209"/>
      <c r="F949" s="206">
        <v>30095</v>
      </c>
      <c r="G949" s="206">
        <v>3010</v>
      </c>
      <c r="H949" s="206">
        <v>150</v>
      </c>
      <c r="I949" s="202">
        <f t="shared" si="14"/>
        <v>27235</v>
      </c>
      <c r="J949" s="205" t="s">
        <v>38</v>
      </c>
      <c r="K949" s="205" t="s">
        <v>23</v>
      </c>
      <c r="L949" s="209" t="s">
        <v>1028</v>
      </c>
      <c r="M949" s="205" t="s">
        <v>4134</v>
      </c>
      <c r="N949" s="201" t="s">
        <v>1030</v>
      </c>
      <c r="O949" s="205" t="s">
        <v>652</v>
      </c>
      <c r="P949" s="205" t="s">
        <v>652</v>
      </c>
      <c r="Q949" s="208" t="s">
        <v>2191</v>
      </c>
      <c r="R949" s="208" t="s">
        <v>2192</v>
      </c>
      <c r="S949" s="208" t="s">
        <v>843</v>
      </c>
    </row>
    <row r="950" spans="1:24" s="205" customFormat="1" hidden="1" x14ac:dyDescent="0.2">
      <c r="A950" s="205" t="s">
        <v>244</v>
      </c>
      <c r="B950" s="205" t="s">
        <v>4135</v>
      </c>
      <c r="C950" s="200" t="s">
        <v>843</v>
      </c>
      <c r="D950" s="209" t="s">
        <v>152</v>
      </c>
      <c r="E950" s="209"/>
      <c r="F950" s="206">
        <v>36738</v>
      </c>
      <c r="G950" s="206">
        <v>3674</v>
      </c>
      <c r="H950" s="206">
        <v>184</v>
      </c>
      <c r="I950" s="202">
        <f t="shared" si="14"/>
        <v>33248</v>
      </c>
      <c r="J950" s="205" t="s">
        <v>38</v>
      </c>
      <c r="K950" s="205" t="s">
        <v>23</v>
      </c>
      <c r="L950" s="209" t="s">
        <v>1028</v>
      </c>
      <c r="M950" s="205" t="s">
        <v>4136</v>
      </c>
      <c r="N950" s="201" t="s">
        <v>1030</v>
      </c>
      <c r="O950" s="205" t="s">
        <v>652</v>
      </c>
      <c r="P950" s="205" t="s">
        <v>652</v>
      </c>
      <c r="Q950" s="218" t="s">
        <v>1534</v>
      </c>
      <c r="R950" s="216" t="s">
        <v>3748</v>
      </c>
      <c r="S950" s="216" t="s">
        <v>843</v>
      </c>
    </row>
    <row r="951" spans="1:24" s="205" customFormat="1" hidden="1" x14ac:dyDescent="0.2">
      <c r="A951" s="205" t="s">
        <v>244</v>
      </c>
      <c r="B951" s="205" t="s">
        <v>4137</v>
      </c>
      <c r="C951" s="200" t="s">
        <v>843</v>
      </c>
      <c r="D951" s="209" t="s">
        <v>152</v>
      </c>
      <c r="E951" s="209"/>
      <c r="F951" s="206">
        <v>56973</v>
      </c>
      <c r="G951" s="206">
        <v>5697</v>
      </c>
      <c r="H951" s="206">
        <v>285</v>
      </c>
      <c r="I951" s="202">
        <f t="shared" si="14"/>
        <v>51561</v>
      </c>
      <c r="J951" s="205" t="s">
        <v>38</v>
      </c>
      <c r="K951" s="205" t="s">
        <v>23</v>
      </c>
      <c r="L951" s="209" t="s">
        <v>1042</v>
      </c>
      <c r="M951" s="205" t="s">
        <v>4138</v>
      </c>
      <c r="N951" s="201" t="s">
        <v>1030</v>
      </c>
      <c r="O951" s="205" t="s">
        <v>652</v>
      </c>
      <c r="P951" s="205" t="s">
        <v>652</v>
      </c>
      <c r="Q951" s="216" t="s">
        <v>653</v>
      </c>
      <c r="R951" s="216" t="s">
        <v>654</v>
      </c>
      <c r="S951" s="216" t="s">
        <v>843</v>
      </c>
    </row>
    <row r="952" spans="1:24" s="205" customFormat="1" hidden="1" x14ac:dyDescent="0.2">
      <c r="A952" s="205" t="s">
        <v>244</v>
      </c>
      <c r="B952" s="205" t="s">
        <v>4139</v>
      </c>
      <c r="C952" s="200" t="s">
        <v>843</v>
      </c>
      <c r="D952" s="209" t="s">
        <v>152</v>
      </c>
      <c r="E952" s="209"/>
      <c r="F952" s="206">
        <v>70293</v>
      </c>
      <c r="G952" s="206">
        <v>7029</v>
      </c>
      <c r="H952" s="206">
        <v>351</v>
      </c>
      <c r="I952" s="202">
        <f t="shared" si="14"/>
        <v>63615</v>
      </c>
      <c r="J952" s="205" t="s">
        <v>38</v>
      </c>
      <c r="K952" s="205" t="s">
        <v>23</v>
      </c>
      <c r="L952" s="209" t="s">
        <v>1028</v>
      </c>
      <c r="M952" s="205" t="s">
        <v>4140</v>
      </c>
      <c r="N952" s="201" t="s">
        <v>1030</v>
      </c>
      <c r="O952" s="205" t="s">
        <v>652</v>
      </c>
      <c r="P952" s="205" t="s">
        <v>652</v>
      </c>
      <c r="Q952" s="208" t="s">
        <v>2191</v>
      </c>
      <c r="R952" s="208" t="s">
        <v>2192</v>
      </c>
      <c r="S952" s="208" t="s">
        <v>843</v>
      </c>
    </row>
    <row r="953" spans="1:24" s="205" customFormat="1" hidden="1" x14ac:dyDescent="0.2">
      <c r="A953" s="205" t="s">
        <v>244</v>
      </c>
      <c r="B953" s="205" t="s">
        <v>4141</v>
      </c>
      <c r="C953" s="214" t="s">
        <v>843</v>
      </c>
      <c r="D953" s="209" t="s">
        <v>152</v>
      </c>
      <c r="E953" s="209"/>
      <c r="F953" s="206">
        <v>67331</v>
      </c>
      <c r="G953" s="206">
        <v>6733</v>
      </c>
      <c r="H953" s="206">
        <v>337</v>
      </c>
      <c r="I953" s="202">
        <f t="shared" si="14"/>
        <v>60935</v>
      </c>
      <c r="J953" s="205" t="s">
        <v>38</v>
      </c>
      <c r="K953" s="205" t="s">
        <v>23</v>
      </c>
      <c r="L953" s="209" t="s">
        <v>1028</v>
      </c>
      <c r="M953" s="205" t="s">
        <v>4142</v>
      </c>
      <c r="N953" s="201" t="s">
        <v>1030</v>
      </c>
      <c r="O953" s="205" t="s">
        <v>652</v>
      </c>
      <c r="P953" s="205" t="s">
        <v>652</v>
      </c>
      <c r="Q953" s="208" t="s">
        <v>2191</v>
      </c>
      <c r="R953" s="208" t="s">
        <v>2192</v>
      </c>
      <c r="S953" s="208" t="s">
        <v>843</v>
      </c>
    </row>
    <row r="954" spans="1:24" s="205" customFormat="1" hidden="1" x14ac:dyDescent="0.2">
      <c r="A954" s="205" t="s">
        <v>244</v>
      </c>
      <c r="B954" s="205" t="s">
        <v>4143</v>
      </c>
      <c r="C954" s="214" t="s">
        <v>843</v>
      </c>
      <c r="D954" s="209" t="s">
        <v>152</v>
      </c>
      <c r="E954" s="209"/>
      <c r="F954" s="206">
        <v>51793</v>
      </c>
      <c r="G954" s="206">
        <v>5179</v>
      </c>
      <c r="H954" s="206">
        <v>259</v>
      </c>
      <c r="I954" s="202">
        <f t="shared" si="14"/>
        <v>46873</v>
      </c>
      <c r="J954" s="205" t="s">
        <v>38</v>
      </c>
      <c r="K954" s="205" t="s">
        <v>23</v>
      </c>
      <c r="L954" s="209" t="s">
        <v>1028</v>
      </c>
      <c r="M954" s="205" t="s">
        <v>4144</v>
      </c>
      <c r="N954" s="201" t="s">
        <v>1030</v>
      </c>
      <c r="O954" s="205" t="s">
        <v>652</v>
      </c>
      <c r="P954" s="205" t="s">
        <v>652</v>
      </c>
      <c r="Q954" s="208" t="s">
        <v>651</v>
      </c>
      <c r="R954" s="208" t="s">
        <v>673</v>
      </c>
      <c r="S954" s="208" t="s">
        <v>843</v>
      </c>
    </row>
    <row r="955" spans="1:24" s="205" customFormat="1" hidden="1" x14ac:dyDescent="0.2">
      <c r="A955" s="205" t="s">
        <v>244</v>
      </c>
      <c r="B955" s="205" t="s">
        <v>4145</v>
      </c>
      <c r="C955" s="214" t="s">
        <v>843</v>
      </c>
      <c r="D955" s="209" t="s">
        <v>152</v>
      </c>
      <c r="E955" s="209"/>
      <c r="F955" s="206">
        <v>84164</v>
      </c>
      <c r="G955" s="206">
        <v>8416</v>
      </c>
      <c r="H955" s="206">
        <v>421</v>
      </c>
      <c r="I955" s="202">
        <f t="shared" si="14"/>
        <v>76169</v>
      </c>
      <c r="J955" s="205" t="s">
        <v>38</v>
      </c>
      <c r="K955" s="205" t="s">
        <v>23</v>
      </c>
      <c r="L955" s="209" t="s">
        <v>1028</v>
      </c>
      <c r="M955" s="205" t="s">
        <v>4146</v>
      </c>
      <c r="N955" s="201" t="s">
        <v>1030</v>
      </c>
      <c r="O955" s="205" t="s">
        <v>652</v>
      </c>
      <c r="P955" s="205" t="s">
        <v>652</v>
      </c>
      <c r="Q955" s="208" t="s">
        <v>651</v>
      </c>
      <c r="R955" s="208" t="s">
        <v>673</v>
      </c>
      <c r="S955" s="208" t="s">
        <v>843</v>
      </c>
    </row>
    <row r="956" spans="1:24" s="205" customFormat="1" hidden="1" x14ac:dyDescent="0.2">
      <c r="A956" s="205" t="s">
        <v>244</v>
      </c>
      <c r="B956" s="205" t="s">
        <v>4147</v>
      </c>
      <c r="C956" s="214" t="s">
        <v>843</v>
      </c>
      <c r="D956" s="209" t="s">
        <v>152</v>
      </c>
      <c r="E956" s="209"/>
      <c r="F956" s="206">
        <v>113614</v>
      </c>
      <c r="G956" s="206">
        <v>11361</v>
      </c>
      <c r="H956" s="206">
        <v>568</v>
      </c>
      <c r="I956" s="202">
        <f t="shared" si="14"/>
        <v>102821</v>
      </c>
      <c r="J956" s="205" t="s">
        <v>38</v>
      </c>
      <c r="K956" s="205" t="s">
        <v>23</v>
      </c>
      <c r="L956" s="209" t="s">
        <v>1042</v>
      </c>
      <c r="M956" s="205" t="s">
        <v>4148</v>
      </c>
      <c r="N956" s="201" t="s">
        <v>1030</v>
      </c>
      <c r="O956" s="205" t="s">
        <v>652</v>
      </c>
      <c r="P956" s="205" t="s">
        <v>652</v>
      </c>
      <c r="Q956" s="208" t="s">
        <v>724</v>
      </c>
      <c r="R956" s="208" t="s">
        <v>725</v>
      </c>
      <c r="S956" s="208" t="s">
        <v>843</v>
      </c>
    </row>
    <row r="957" spans="1:24" s="205" customFormat="1" hidden="1" x14ac:dyDescent="0.2">
      <c r="A957" s="205" t="s">
        <v>244</v>
      </c>
      <c r="B957" s="205" t="s">
        <v>4149</v>
      </c>
      <c r="C957" s="214" t="s">
        <v>843</v>
      </c>
      <c r="D957" s="209" t="s">
        <v>152</v>
      </c>
      <c r="E957" s="209"/>
      <c r="F957" s="206">
        <v>66020</v>
      </c>
      <c r="G957" s="206">
        <v>6602</v>
      </c>
      <c r="H957" s="206">
        <v>330</v>
      </c>
      <c r="I957" s="202">
        <f t="shared" si="14"/>
        <v>59748</v>
      </c>
      <c r="J957" s="205" t="s">
        <v>38</v>
      </c>
      <c r="K957" s="205" t="s">
        <v>23</v>
      </c>
      <c r="L957" s="209" t="s">
        <v>1042</v>
      </c>
      <c r="M957" s="205" t="s">
        <v>4150</v>
      </c>
      <c r="N957" s="201" t="s">
        <v>1030</v>
      </c>
      <c r="O957" s="205" t="s">
        <v>652</v>
      </c>
      <c r="P957" s="205" t="s">
        <v>652</v>
      </c>
      <c r="Q957" s="208" t="s">
        <v>722</v>
      </c>
      <c r="R957" s="208" t="s">
        <v>723</v>
      </c>
      <c r="S957" s="208" t="s">
        <v>843</v>
      </c>
    </row>
    <row r="958" spans="1:24" s="205" customFormat="1" hidden="1" x14ac:dyDescent="0.2">
      <c r="A958" s="205" t="s">
        <v>244</v>
      </c>
      <c r="B958" s="205" t="s">
        <v>4151</v>
      </c>
      <c r="C958" s="214" t="s">
        <v>843</v>
      </c>
      <c r="D958" s="209" t="s">
        <v>152</v>
      </c>
      <c r="E958" s="209"/>
      <c r="F958" s="206">
        <v>123845</v>
      </c>
      <c r="G958" s="206">
        <v>12385</v>
      </c>
      <c r="H958" s="206">
        <v>619</v>
      </c>
      <c r="I958" s="202">
        <f t="shared" si="14"/>
        <v>112079</v>
      </c>
      <c r="J958" s="205" t="s">
        <v>38</v>
      </c>
      <c r="K958" s="205" t="s">
        <v>23</v>
      </c>
      <c r="L958" s="209" t="s">
        <v>1028</v>
      </c>
      <c r="M958" s="205" t="s">
        <v>4152</v>
      </c>
      <c r="N958" s="201" t="s">
        <v>1030</v>
      </c>
      <c r="O958" s="205" t="s">
        <v>652</v>
      </c>
      <c r="P958" s="205" t="s">
        <v>652</v>
      </c>
      <c r="Q958" s="208" t="s">
        <v>663</v>
      </c>
      <c r="R958" s="208" t="s">
        <v>723</v>
      </c>
      <c r="S958" s="208" t="s">
        <v>843</v>
      </c>
    </row>
    <row r="959" spans="1:24" s="205" customFormat="1" hidden="1" x14ac:dyDescent="0.2">
      <c r="A959" s="205" t="s">
        <v>244</v>
      </c>
      <c r="B959" s="205" t="s">
        <v>4153</v>
      </c>
      <c r="C959" s="214" t="s">
        <v>843</v>
      </c>
      <c r="D959" s="209" t="s">
        <v>152</v>
      </c>
      <c r="E959" s="209"/>
      <c r="F959" s="206">
        <v>95814</v>
      </c>
      <c r="G959" s="206">
        <v>9581</v>
      </c>
      <c r="H959" s="206">
        <v>479</v>
      </c>
      <c r="I959" s="202">
        <f t="shared" si="14"/>
        <v>86712</v>
      </c>
      <c r="J959" s="205" t="s">
        <v>38</v>
      </c>
      <c r="K959" s="205" t="s">
        <v>23</v>
      </c>
      <c r="L959" s="209" t="s">
        <v>1028</v>
      </c>
      <c r="M959" s="205" t="s">
        <v>4154</v>
      </c>
      <c r="N959" s="201" t="s">
        <v>1030</v>
      </c>
      <c r="O959" s="205" t="s">
        <v>652</v>
      </c>
      <c r="P959" s="205" t="s">
        <v>652</v>
      </c>
      <c r="Q959" s="208" t="s">
        <v>663</v>
      </c>
      <c r="R959" s="208" t="s">
        <v>723</v>
      </c>
      <c r="S959" s="208" t="s">
        <v>843</v>
      </c>
    </row>
    <row r="960" spans="1:24" hidden="1" x14ac:dyDescent="0.2">
      <c r="A960" s="205" t="s">
        <v>244</v>
      </c>
      <c r="B960" s="205" t="s">
        <v>4155</v>
      </c>
      <c r="C960" s="214" t="s">
        <v>843</v>
      </c>
      <c r="D960" s="209" t="s">
        <v>152</v>
      </c>
      <c r="F960" s="206">
        <v>69284</v>
      </c>
      <c r="G960" s="206">
        <v>6928</v>
      </c>
      <c r="H960" s="206">
        <v>346</v>
      </c>
      <c r="I960" s="202">
        <f t="shared" si="14"/>
        <v>62702</v>
      </c>
      <c r="J960" s="205" t="s">
        <v>38</v>
      </c>
      <c r="K960" s="205" t="s">
        <v>23</v>
      </c>
      <c r="L960" s="209" t="s">
        <v>1028</v>
      </c>
      <c r="M960" s="205" t="s">
        <v>4156</v>
      </c>
      <c r="N960" s="201" t="s">
        <v>1030</v>
      </c>
      <c r="O960" s="205" t="s">
        <v>652</v>
      </c>
      <c r="P960" s="205" t="s">
        <v>652</v>
      </c>
      <c r="Q960" s="208" t="s">
        <v>2191</v>
      </c>
      <c r="R960" s="208" t="s">
        <v>2192</v>
      </c>
      <c r="S960" s="208" t="s">
        <v>843</v>
      </c>
      <c r="T960" s="205"/>
      <c r="U960" s="205"/>
      <c r="V960" s="205"/>
      <c r="W960" s="205"/>
      <c r="X960" s="205"/>
    </row>
    <row r="961" spans="1:24" hidden="1" x14ac:dyDescent="0.2">
      <c r="A961" s="205" t="s">
        <v>244</v>
      </c>
      <c r="B961" s="205" t="s">
        <v>4157</v>
      </c>
      <c r="C961" s="214" t="s">
        <v>843</v>
      </c>
      <c r="D961" s="209" t="s">
        <v>152</v>
      </c>
      <c r="F961" s="206">
        <v>38365</v>
      </c>
      <c r="G961" s="206">
        <v>3837</v>
      </c>
      <c r="H961" s="206">
        <v>192</v>
      </c>
      <c r="I961" s="202">
        <f t="shared" si="14"/>
        <v>34720</v>
      </c>
      <c r="J961" s="205" t="s">
        <v>38</v>
      </c>
      <c r="K961" s="205" t="s">
        <v>23</v>
      </c>
      <c r="L961" s="209" t="s">
        <v>1028</v>
      </c>
      <c r="M961" s="205" t="s">
        <v>4158</v>
      </c>
      <c r="N961" s="201" t="s">
        <v>1030</v>
      </c>
      <c r="O961" s="205" t="s">
        <v>652</v>
      </c>
      <c r="P961" s="205" t="s">
        <v>652</v>
      </c>
      <c r="Q961" s="208" t="s">
        <v>2191</v>
      </c>
      <c r="R961" s="208" t="s">
        <v>2192</v>
      </c>
      <c r="S961" s="208" t="s">
        <v>843</v>
      </c>
      <c r="T961" s="205"/>
      <c r="U961" s="205"/>
      <c r="V961" s="205"/>
      <c r="W961" s="205"/>
      <c r="X961" s="205"/>
    </row>
    <row r="962" spans="1:24" hidden="1" x14ac:dyDescent="0.2">
      <c r="A962" s="205" t="s">
        <v>244</v>
      </c>
      <c r="B962" s="205" t="s">
        <v>4159</v>
      </c>
      <c r="C962" s="214" t="s">
        <v>843</v>
      </c>
      <c r="D962" s="209" t="s">
        <v>152</v>
      </c>
      <c r="F962" s="206">
        <v>38365</v>
      </c>
      <c r="G962" s="206">
        <v>3837</v>
      </c>
      <c r="H962" s="206">
        <v>192</v>
      </c>
      <c r="I962" s="202">
        <f t="shared" si="14"/>
        <v>34720</v>
      </c>
      <c r="J962" s="205" t="s">
        <v>38</v>
      </c>
      <c r="K962" s="205" t="s">
        <v>23</v>
      </c>
      <c r="L962" s="209" t="s">
        <v>1028</v>
      </c>
      <c r="M962" s="205" t="s">
        <v>4160</v>
      </c>
      <c r="N962" s="209" t="s">
        <v>1030</v>
      </c>
      <c r="O962" s="205" t="s">
        <v>652</v>
      </c>
      <c r="P962" s="205" t="s">
        <v>652</v>
      </c>
      <c r="Q962" s="208" t="s">
        <v>2191</v>
      </c>
      <c r="R962" s="208" t="s">
        <v>2192</v>
      </c>
      <c r="S962" s="208" t="s">
        <v>843</v>
      </c>
      <c r="T962" s="205"/>
      <c r="U962" s="205"/>
      <c r="V962" s="205"/>
      <c r="W962" s="205"/>
      <c r="X962" s="205"/>
    </row>
    <row r="963" spans="1:24" hidden="1" x14ac:dyDescent="0.2">
      <c r="A963" s="205" t="s">
        <v>244</v>
      </c>
      <c r="B963" s="205" t="s">
        <v>4161</v>
      </c>
      <c r="C963" s="214" t="s">
        <v>843</v>
      </c>
      <c r="D963" s="209" t="s">
        <v>152</v>
      </c>
      <c r="F963" s="206">
        <v>36738</v>
      </c>
      <c r="G963" s="206">
        <v>3674</v>
      </c>
      <c r="H963" s="206">
        <v>184</v>
      </c>
      <c r="I963" s="202">
        <f t="shared" ref="I963:I1026" si="15">F963+H963-G963</f>
        <v>33248</v>
      </c>
      <c r="J963" s="205" t="s">
        <v>38</v>
      </c>
      <c r="K963" s="205" t="s">
        <v>23</v>
      </c>
      <c r="L963" s="209" t="s">
        <v>1028</v>
      </c>
      <c r="M963" s="205" t="s">
        <v>4162</v>
      </c>
      <c r="N963" s="209" t="s">
        <v>1030</v>
      </c>
      <c r="O963" s="205" t="s">
        <v>652</v>
      </c>
      <c r="P963" s="205" t="s">
        <v>652</v>
      </c>
      <c r="Q963" s="208" t="s">
        <v>987</v>
      </c>
      <c r="R963" s="208" t="s">
        <v>988</v>
      </c>
      <c r="S963" s="208" t="s">
        <v>843</v>
      </c>
      <c r="T963" s="205"/>
      <c r="U963" s="205"/>
      <c r="V963" s="205"/>
      <c r="W963" s="205"/>
      <c r="X963" s="205"/>
    </row>
    <row r="964" spans="1:24" hidden="1" x14ac:dyDescent="0.2">
      <c r="A964" s="205" t="s">
        <v>244</v>
      </c>
      <c r="B964" s="205" t="s">
        <v>4163</v>
      </c>
      <c r="C964" s="214" t="s">
        <v>843</v>
      </c>
      <c r="D964" s="209" t="s">
        <v>152</v>
      </c>
      <c r="F964" s="206">
        <v>36738</v>
      </c>
      <c r="G964" s="206">
        <v>3674</v>
      </c>
      <c r="H964" s="206">
        <v>184</v>
      </c>
      <c r="I964" s="202">
        <f t="shared" si="15"/>
        <v>33248</v>
      </c>
      <c r="J964" s="205" t="s">
        <v>38</v>
      </c>
      <c r="K964" s="205" t="s">
        <v>23</v>
      </c>
      <c r="L964" s="209" t="s">
        <v>1028</v>
      </c>
      <c r="M964" s="205" t="s">
        <v>4164</v>
      </c>
      <c r="N964" s="209" t="s">
        <v>1030</v>
      </c>
      <c r="O964" s="205" t="s">
        <v>652</v>
      </c>
      <c r="P964" s="205" t="s">
        <v>652</v>
      </c>
      <c r="Q964" s="208" t="s">
        <v>987</v>
      </c>
      <c r="R964" s="208" t="s">
        <v>988</v>
      </c>
      <c r="S964" s="208" t="s">
        <v>843</v>
      </c>
      <c r="T964" s="205"/>
      <c r="U964" s="205"/>
      <c r="V964" s="205"/>
      <c r="W964" s="205"/>
      <c r="X964" s="205"/>
    </row>
    <row r="965" spans="1:24" hidden="1" x14ac:dyDescent="0.2">
      <c r="A965" s="205" t="s">
        <v>244</v>
      </c>
      <c r="B965" s="205" t="s">
        <v>4165</v>
      </c>
      <c r="C965" s="214" t="s">
        <v>843</v>
      </c>
      <c r="D965" s="209" t="s">
        <v>152</v>
      </c>
      <c r="F965" s="206">
        <v>67331</v>
      </c>
      <c r="G965" s="206">
        <v>6733</v>
      </c>
      <c r="H965" s="206">
        <v>337</v>
      </c>
      <c r="I965" s="202">
        <f t="shared" si="15"/>
        <v>60935</v>
      </c>
      <c r="J965" s="205" t="s">
        <v>38</v>
      </c>
      <c r="K965" s="205" t="s">
        <v>23</v>
      </c>
      <c r="L965" s="209" t="s">
        <v>1028</v>
      </c>
      <c r="M965" s="205" t="s">
        <v>4166</v>
      </c>
      <c r="N965" s="209" t="s">
        <v>1030</v>
      </c>
      <c r="O965" s="205" t="s">
        <v>652</v>
      </c>
      <c r="P965" s="205" t="s">
        <v>652</v>
      </c>
      <c r="Q965" s="208" t="s">
        <v>987</v>
      </c>
      <c r="R965" s="208" t="s">
        <v>988</v>
      </c>
      <c r="S965" s="208" t="s">
        <v>843</v>
      </c>
      <c r="T965" s="205"/>
      <c r="U965" s="205"/>
      <c r="V965" s="205"/>
      <c r="W965" s="205"/>
      <c r="X965" s="205"/>
    </row>
    <row r="966" spans="1:24" hidden="1" x14ac:dyDescent="0.2">
      <c r="A966" s="205" t="s">
        <v>244</v>
      </c>
      <c r="B966" s="205" t="s">
        <v>4167</v>
      </c>
      <c r="C966" s="214" t="s">
        <v>843</v>
      </c>
      <c r="D966" s="205" t="s">
        <v>152</v>
      </c>
      <c r="E966" s="205"/>
      <c r="F966" s="206">
        <v>51322</v>
      </c>
      <c r="G966" s="206">
        <v>5132</v>
      </c>
      <c r="H966" s="206">
        <v>257</v>
      </c>
      <c r="I966" s="202">
        <f t="shared" si="15"/>
        <v>46447</v>
      </c>
      <c r="J966" s="205" t="s">
        <v>38</v>
      </c>
      <c r="K966" s="205" t="s">
        <v>23</v>
      </c>
      <c r="L966" s="209" t="s">
        <v>1042</v>
      </c>
      <c r="M966" s="205" t="s">
        <v>4168</v>
      </c>
      <c r="N966" s="209" t="s">
        <v>1030</v>
      </c>
      <c r="O966" s="205" t="s">
        <v>652</v>
      </c>
      <c r="P966" s="205" t="s">
        <v>652</v>
      </c>
      <c r="Q966" s="208" t="s">
        <v>987</v>
      </c>
      <c r="R966" s="208" t="s">
        <v>988</v>
      </c>
      <c r="S966" s="208" t="s">
        <v>843</v>
      </c>
      <c r="T966" s="205"/>
      <c r="U966" s="205"/>
      <c r="V966" s="205"/>
      <c r="W966" s="205"/>
      <c r="X966" s="205"/>
    </row>
    <row r="967" spans="1:24" hidden="1" x14ac:dyDescent="0.2">
      <c r="A967" s="205" t="s">
        <v>244</v>
      </c>
      <c r="B967" s="205" t="s">
        <v>4169</v>
      </c>
      <c r="C967" s="214" t="s">
        <v>843</v>
      </c>
      <c r="D967" s="205" t="s">
        <v>152</v>
      </c>
      <c r="E967" s="205"/>
      <c r="F967" s="206">
        <v>84164</v>
      </c>
      <c r="G967" s="206">
        <v>8416</v>
      </c>
      <c r="H967" s="206">
        <v>421</v>
      </c>
      <c r="I967" s="202">
        <f t="shared" si="15"/>
        <v>76169</v>
      </c>
      <c r="J967" s="205" t="s">
        <v>38</v>
      </c>
      <c r="K967" s="205" t="s">
        <v>23</v>
      </c>
      <c r="L967" s="209" t="s">
        <v>1028</v>
      </c>
      <c r="M967" s="205" t="s">
        <v>4170</v>
      </c>
      <c r="N967" s="209" t="s">
        <v>1030</v>
      </c>
      <c r="O967" s="205" t="s">
        <v>652</v>
      </c>
      <c r="P967" s="205" t="s">
        <v>652</v>
      </c>
      <c r="Q967" s="208" t="s">
        <v>2191</v>
      </c>
      <c r="R967" s="208" t="s">
        <v>2192</v>
      </c>
      <c r="S967" s="208" t="s">
        <v>843</v>
      </c>
      <c r="T967" s="205"/>
      <c r="U967" s="205"/>
      <c r="V967" s="205"/>
      <c r="W967" s="205"/>
      <c r="X967" s="205"/>
    </row>
    <row r="968" spans="1:24" hidden="1" x14ac:dyDescent="0.2">
      <c r="A968" s="205" t="s">
        <v>244</v>
      </c>
      <c r="B968" s="205" t="s">
        <v>4171</v>
      </c>
      <c r="C968" s="214" t="s">
        <v>843</v>
      </c>
      <c r="D968" s="209" t="s">
        <v>152</v>
      </c>
      <c r="F968" s="206">
        <v>67331</v>
      </c>
      <c r="G968" s="206">
        <v>6733</v>
      </c>
      <c r="H968" s="206">
        <v>337</v>
      </c>
      <c r="I968" s="202">
        <f t="shared" si="15"/>
        <v>60935</v>
      </c>
      <c r="J968" s="205" t="s">
        <v>38</v>
      </c>
      <c r="K968" s="205" t="s">
        <v>23</v>
      </c>
      <c r="L968" s="209" t="s">
        <v>1028</v>
      </c>
      <c r="M968" s="205" t="s">
        <v>4172</v>
      </c>
      <c r="N968" s="209" t="s">
        <v>1030</v>
      </c>
      <c r="O968" s="205" t="s">
        <v>652</v>
      </c>
      <c r="P968" s="205" t="s">
        <v>652</v>
      </c>
      <c r="Q968" s="208" t="s">
        <v>2191</v>
      </c>
      <c r="R968" s="208" t="s">
        <v>2192</v>
      </c>
      <c r="S968" s="208" t="s">
        <v>843</v>
      </c>
      <c r="T968" s="205"/>
      <c r="U968" s="205"/>
      <c r="V968" s="205"/>
      <c r="W968" s="205"/>
      <c r="X968" s="205"/>
    </row>
    <row r="969" spans="1:24" hidden="1" x14ac:dyDescent="0.2">
      <c r="A969" s="205" t="s">
        <v>244</v>
      </c>
      <c r="B969" s="205" t="s">
        <v>4173</v>
      </c>
      <c r="C969" s="214" t="s">
        <v>843</v>
      </c>
      <c r="D969" s="209" t="s">
        <v>152</v>
      </c>
      <c r="F969" s="206">
        <v>117590</v>
      </c>
      <c r="G969" s="206">
        <v>11759</v>
      </c>
      <c r="H969" s="206">
        <v>588</v>
      </c>
      <c r="I969" s="202">
        <f t="shared" si="15"/>
        <v>106419</v>
      </c>
      <c r="J969" s="205" t="s">
        <v>38</v>
      </c>
      <c r="K969" s="205" t="s">
        <v>23</v>
      </c>
      <c r="L969" s="209" t="s">
        <v>1028</v>
      </c>
      <c r="M969" s="205" t="s">
        <v>4174</v>
      </c>
      <c r="N969" s="209" t="s">
        <v>1030</v>
      </c>
      <c r="O969" s="205" t="s">
        <v>652</v>
      </c>
      <c r="P969" s="205" t="s">
        <v>652</v>
      </c>
      <c r="Q969" s="208" t="s">
        <v>2191</v>
      </c>
      <c r="R969" s="208" t="s">
        <v>2192</v>
      </c>
      <c r="S969" s="208" t="s">
        <v>843</v>
      </c>
      <c r="T969" s="205"/>
      <c r="U969" s="205"/>
      <c r="V969" s="205"/>
      <c r="W969" s="205"/>
      <c r="X969" s="205"/>
    </row>
    <row r="970" spans="1:24" hidden="1" x14ac:dyDescent="0.2">
      <c r="A970" s="205" t="s">
        <v>244</v>
      </c>
      <c r="B970" s="205" t="s">
        <v>4175</v>
      </c>
      <c r="C970" s="214" t="s">
        <v>843</v>
      </c>
      <c r="D970" s="209" t="s">
        <v>152</v>
      </c>
      <c r="F970" s="206">
        <v>38365</v>
      </c>
      <c r="G970" s="206">
        <v>3837</v>
      </c>
      <c r="H970" s="206">
        <v>192</v>
      </c>
      <c r="I970" s="202">
        <f t="shared" si="15"/>
        <v>34720</v>
      </c>
      <c r="J970" s="205" t="s">
        <v>38</v>
      </c>
      <c r="K970" s="205" t="s">
        <v>23</v>
      </c>
      <c r="L970" s="209" t="s">
        <v>1028</v>
      </c>
      <c r="M970" s="205" t="s">
        <v>4176</v>
      </c>
      <c r="N970" s="209" t="s">
        <v>1030</v>
      </c>
      <c r="O970" s="205" t="s">
        <v>652</v>
      </c>
      <c r="P970" s="205" t="s">
        <v>652</v>
      </c>
      <c r="Q970" s="208" t="s">
        <v>2191</v>
      </c>
      <c r="R970" s="208" t="s">
        <v>2192</v>
      </c>
      <c r="S970" s="208" t="s">
        <v>843</v>
      </c>
      <c r="T970" s="205"/>
      <c r="U970" s="205"/>
      <c r="V970" s="205"/>
      <c r="W970" s="205"/>
      <c r="X970" s="205"/>
    </row>
    <row r="971" spans="1:24" hidden="1" x14ac:dyDescent="0.2">
      <c r="A971" s="205" t="s">
        <v>245</v>
      </c>
      <c r="B971" s="205" t="s">
        <v>4177</v>
      </c>
      <c r="C971" s="214" t="s">
        <v>843</v>
      </c>
      <c r="D971" s="209" t="s">
        <v>152</v>
      </c>
      <c r="F971" s="206">
        <v>38001</v>
      </c>
      <c r="G971" s="206">
        <v>3800</v>
      </c>
      <c r="H971" s="206">
        <v>190</v>
      </c>
      <c r="I971" s="202">
        <f t="shared" si="15"/>
        <v>34391</v>
      </c>
      <c r="J971" s="205" t="s">
        <v>489</v>
      </c>
      <c r="K971" s="205" t="s">
        <v>23</v>
      </c>
      <c r="L971" s="209" t="s">
        <v>1042</v>
      </c>
      <c r="M971" s="205" t="s">
        <v>4178</v>
      </c>
      <c r="N971" s="209" t="s">
        <v>1030</v>
      </c>
      <c r="O971" s="205" t="s">
        <v>652</v>
      </c>
      <c r="P971" s="205" t="s">
        <v>652</v>
      </c>
      <c r="Q971" s="208" t="s">
        <v>653</v>
      </c>
      <c r="R971" s="208" t="s">
        <v>654</v>
      </c>
      <c r="S971" s="208" t="s">
        <v>843</v>
      </c>
      <c r="T971" s="205"/>
      <c r="U971" s="205"/>
      <c r="V971" s="205"/>
      <c r="W971" s="205"/>
      <c r="X971" s="205"/>
    </row>
    <row r="972" spans="1:24" hidden="1" x14ac:dyDescent="0.2">
      <c r="A972" s="205" t="s">
        <v>245</v>
      </c>
      <c r="B972" s="205" t="s">
        <v>4179</v>
      </c>
      <c r="C972" s="214" t="s">
        <v>843</v>
      </c>
      <c r="D972" s="209" t="s">
        <v>152</v>
      </c>
      <c r="F972" s="206">
        <v>22716</v>
      </c>
      <c r="G972" s="206">
        <v>2272</v>
      </c>
      <c r="H972" s="206">
        <v>114</v>
      </c>
      <c r="I972" s="202">
        <f t="shared" si="15"/>
        <v>20558</v>
      </c>
      <c r="J972" s="205" t="s">
        <v>489</v>
      </c>
      <c r="K972" s="205" t="s">
        <v>23</v>
      </c>
      <c r="L972" s="209" t="s">
        <v>1042</v>
      </c>
      <c r="M972" s="205" t="s">
        <v>4180</v>
      </c>
      <c r="N972" s="209" t="s">
        <v>1030</v>
      </c>
      <c r="O972" s="205" t="s">
        <v>652</v>
      </c>
      <c r="P972" s="205" t="s">
        <v>652</v>
      </c>
      <c r="Q972" s="208" t="s">
        <v>701</v>
      </c>
      <c r="R972" s="208" t="s">
        <v>702</v>
      </c>
      <c r="S972" s="208" t="s">
        <v>843</v>
      </c>
      <c r="T972" s="205"/>
      <c r="U972" s="205"/>
      <c r="V972" s="205"/>
      <c r="W972" s="205"/>
      <c r="X972" s="205"/>
    </row>
    <row r="973" spans="1:24" hidden="1" x14ac:dyDescent="0.2">
      <c r="A973" s="205" t="s">
        <v>245</v>
      </c>
      <c r="B973" s="205" t="s">
        <v>4181</v>
      </c>
      <c r="C973" s="214" t="s">
        <v>843</v>
      </c>
      <c r="D973" s="209" t="s">
        <v>152</v>
      </c>
      <c r="F973" s="206">
        <v>22716</v>
      </c>
      <c r="G973" s="206">
        <v>2272</v>
      </c>
      <c r="H973" s="206">
        <v>114</v>
      </c>
      <c r="I973" s="202">
        <f t="shared" si="15"/>
        <v>20558</v>
      </c>
      <c r="J973" s="205" t="s">
        <v>489</v>
      </c>
      <c r="K973" s="205" t="s">
        <v>23</v>
      </c>
      <c r="L973" s="209" t="s">
        <v>1042</v>
      </c>
      <c r="M973" s="205" t="s">
        <v>4182</v>
      </c>
      <c r="N973" s="209" t="s">
        <v>1030</v>
      </c>
      <c r="O973" s="205" t="s">
        <v>652</v>
      </c>
      <c r="P973" s="205" t="s">
        <v>652</v>
      </c>
      <c r="Q973" s="208" t="s">
        <v>701</v>
      </c>
      <c r="R973" s="208" t="s">
        <v>702</v>
      </c>
      <c r="S973" s="208" t="s">
        <v>843</v>
      </c>
      <c r="T973" s="205"/>
      <c r="U973" s="205"/>
      <c r="V973" s="205"/>
      <c r="W973" s="205"/>
      <c r="X973" s="205"/>
    </row>
    <row r="974" spans="1:24" hidden="1" x14ac:dyDescent="0.2">
      <c r="A974" s="205" t="s">
        <v>245</v>
      </c>
      <c r="B974" s="205" t="s">
        <v>4183</v>
      </c>
      <c r="C974" s="214" t="s">
        <v>843</v>
      </c>
      <c r="D974" s="209" t="s">
        <v>152</v>
      </c>
      <c r="F974" s="206">
        <v>22716</v>
      </c>
      <c r="G974" s="206">
        <v>2272</v>
      </c>
      <c r="H974" s="206">
        <v>114</v>
      </c>
      <c r="I974" s="202">
        <f t="shared" si="15"/>
        <v>20558</v>
      </c>
      <c r="J974" s="205" t="s">
        <v>489</v>
      </c>
      <c r="K974" s="205" t="s">
        <v>23</v>
      </c>
      <c r="L974" s="209" t="s">
        <v>1042</v>
      </c>
      <c r="M974" s="205" t="s">
        <v>4184</v>
      </c>
      <c r="N974" s="209" t="s">
        <v>1030</v>
      </c>
      <c r="O974" s="205" t="s">
        <v>652</v>
      </c>
      <c r="P974" s="205" t="s">
        <v>652</v>
      </c>
      <c r="Q974" s="216" t="s">
        <v>2191</v>
      </c>
      <c r="R974" s="216" t="s">
        <v>2192</v>
      </c>
      <c r="S974" s="216" t="s">
        <v>843</v>
      </c>
      <c r="T974" s="205"/>
      <c r="U974" s="205"/>
      <c r="V974" s="205"/>
      <c r="W974" s="205"/>
      <c r="X974" s="205"/>
    </row>
    <row r="975" spans="1:24" hidden="1" x14ac:dyDescent="0.2">
      <c r="A975" s="205" t="s">
        <v>245</v>
      </c>
      <c r="B975" s="205" t="s">
        <v>4185</v>
      </c>
      <c r="C975" s="214" t="s">
        <v>843</v>
      </c>
      <c r="D975" s="209" t="s">
        <v>152</v>
      </c>
      <c r="F975" s="206">
        <v>22716</v>
      </c>
      <c r="G975" s="206">
        <v>2272</v>
      </c>
      <c r="H975" s="206">
        <v>114</v>
      </c>
      <c r="I975" s="202">
        <f t="shared" si="15"/>
        <v>20558</v>
      </c>
      <c r="J975" s="205" t="s">
        <v>489</v>
      </c>
      <c r="K975" s="205" t="s">
        <v>23</v>
      </c>
      <c r="L975" s="209" t="s">
        <v>1042</v>
      </c>
      <c r="M975" s="205" t="s">
        <v>4186</v>
      </c>
      <c r="N975" s="209" t="s">
        <v>1030</v>
      </c>
      <c r="O975" s="205" t="s">
        <v>652</v>
      </c>
      <c r="P975" s="205" t="s">
        <v>652</v>
      </c>
      <c r="Q975" s="208" t="s">
        <v>2191</v>
      </c>
      <c r="R975" s="208" t="s">
        <v>2192</v>
      </c>
      <c r="S975" s="208" t="s">
        <v>843</v>
      </c>
      <c r="T975" s="205"/>
      <c r="U975" s="205"/>
      <c r="V975" s="205"/>
      <c r="W975" s="205"/>
      <c r="X975" s="205"/>
    </row>
    <row r="976" spans="1:24" hidden="1" x14ac:dyDescent="0.2">
      <c r="A976" s="205" t="s">
        <v>245</v>
      </c>
      <c r="B976" s="205" t="s">
        <v>4187</v>
      </c>
      <c r="C976" s="214" t="s">
        <v>843</v>
      </c>
      <c r="D976" s="209" t="s">
        <v>152</v>
      </c>
      <c r="F976" s="206">
        <v>22716</v>
      </c>
      <c r="G976" s="206">
        <v>2272</v>
      </c>
      <c r="H976" s="206">
        <v>114</v>
      </c>
      <c r="I976" s="202">
        <f t="shared" si="15"/>
        <v>20558</v>
      </c>
      <c r="J976" s="205" t="s">
        <v>489</v>
      </c>
      <c r="K976" s="205" t="s">
        <v>23</v>
      </c>
      <c r="L976" s="209" t="s">
        <v>1042</v>
      </c>
      <c r="M976" s="205" t="s">
        <v>4188</v>
      </c>
      <c r="N976" s="209" t="s">
        <v>1030</v>
      </c>
      <c r="O976" s="205" t="s">
        <v>652</v>
      </c>
      <c r="P976" s="205" t="s">
        <v>652</v>
      </c>
      <c r="Q976" s="208" t="s">
        <v>2191</v>
      </c>
      <c r="R976" s="208" t="s">
        <v>2192</v>
      </c>
      <c r="S976" s="208" t="s">
        <v>843</v>
      </c>
      <c r="T976" s="205"/>
      <c r="U976" s="205"/>
      <c r="V976" s="205"/>
      <c r="W976" s="205"/>
      <c r="X976" s="205"/>
    </row>
    <row r="977" spans="1:24" hidden="1" x14ac:dyDescent="0.2">
      <c r="A977" s="205" t="s">
        <v>245</v>
      </c>
      <c r="B977" s="205" t="s">
        <v>4189</v>
      </c>
      <c r="C977" s="214" t="s">
        <v>843</v>
      </c>
      <c r="D977" s="209" t="s">
        <v>152</v>
      </c>
      <c r="F977" s="206">
        <v>22716</v>
      </c>
      <c r="G977" s="206">
        <v>2272</v>
      </c>
      <c r="H977" s="206">
        <v>114</v>
      </c>
      <c r="I977" s="202">
        <f t="shared" si="15"/>
        <v>20558</v>
      </c>
      <c r="J977" s="205" t="s">
        <v>489</v>
      </c>
      <c r="K977" s="205" t="s">
        <v>23</v>
      </c>
      <c r="L977" s="209" t="s">
        <v>1042</v>
      </c>
      <c r="M977" s="205" t="s">
        <v>4190</v>
      </c>
      <c r="N977" s="209" t="s">
        <v>1030</v>
      </c>
      <c r="O977" s="205" t="s">
        <v>652</v>
      </c>
      <c r="P977" s="205" t="s">
        <v>652</v>
      </c>
      <c r="Q977" s="208" t="s">
        <v>2191</v>
      </c>
      <c r="R977" s="208" t="s">
        <v>2192</v>
      </c>
      <c r="S977" s="208" t="s">
        <v>843</v>
      </c>
      <c r="T977" s="205"/>
      <c r="U977" s="205"/>
      <c r="V977" s="205"/>
      <c r="W977" s="205"/>
      <c r="X977" s="205"/>
    </row>
    <row r="978" spans="1:24" hidden="1" x14ac:dyDescent="0.2">
      <c r="A978" s="205" t="s">
        <v>245</v>
      </c>
      <c r="B978" s="205" t="s">
        <v>4191</v>
      </c>
      <c r="C978" s="214" t="s">
        <v>843</v>
      </c>
      <c r="D978" s="209" t="s">
        <v>152</v>
      </c>
      <c r="F978" s="206">
        <v>31332</v>
      </c>
      <c r="G978" s="206">
        <v>3133</v>
      </c>
      <c r="H978" s="206">
        <v>157</v>
      </c>
      <c r="I978" s="202">
        <f t="shared" si="15"/>
        <v>28356</v>
      </c>
      <c r="J978" s="205" t="s">
        <v>489</v>
      </c>
      <c r="K978" s="205" t="s">
        <v>23</v>
      </c>
      <c r="L978" s="209" t="s">
        <v>1042</v>
      </c>
      <c r="M978" s="205" t="s">
        <v>4192</v>
      </c>
      <c r="N978" s="209" t="s">
        <v>1030</v>
      </c>
      <c r="O978" s="205" t="s">
        <v>652</v>
      </c>
      <c r="P978" s="205" t="s">
        <v>652</v>
      </c>
      <c r="Q978" s="208" t="s">
        <v>653</v>
      </c>
      <c r="R978" s="208" t="s">
        <v>654</v>
      </c>
      <c r="S978" s="208" t="s">
        <v>843</v>
      </c>
      <c r="T978" s="205"/>
      <c r="U978" s="205"/>
      <c r="V978" s="205"/>
      <c r="W978" s="205"/>
      <c r="X978" s="205"/>
    </row>
    <row r="979" spans="1:24" hidden="1" x14ac:dyDescent="0.2">
      <c r="A979" s="205" t="s">
        <v>245</v>
      </c>
      <c r="B979" s="205" t="s">
        <v>4193</v>
      </c>
      <c r="C979" s="214" t="s">
        <v>843</v>
      </c>
      <c r="D979" s="209" t="s">
        <v>152</v>
      </c>
      <c r="F979" s="206">
        <v>44011</v>
      </c>
      <c r="G979" s="206">
        <v>4401</v>
      </c>
      <c r="H979" s="206">
        <v>220</v>
      </c>
      <c r="I979" s="202">
        <f t="shared" si="15"/>
        <v>39830</v>
      </c>
      <c r="J979" s="205" t="s">
        <v>489</v>
      </c>
      <c r="K979" s="205" t="s">
        <v>23</v>
      </c>
      <c r="L979" s="209" t="s">
        <v>1042</v>
      </c>
      <c r="M979" s="205" t="s">
        <v>4194</v>
      </c>
      <c r="N979" s="209" t="s">
        <v>1030</v>
      </c>
      <c r="O979" s="205" t="s">
        <v>652</v>
      </c>
      <c r="P979" s="205" t="s">
        <v>652</v>
      </c>
      <c r="Q979" s="208" t="s">
        <v>653</v>
      </c>
      <c r="R979" s="208" t="s">
        <v>654</v>
      </c>
      <c r="S979" s="208" t="s">
        <v>843</v>
      </c>
      <c r="T979" s="205"/>
      <c r="U979" s="205"/>
      <c r="V979" s="205"/>
      <c r="W979" s="205"/>
      <c r="X979" s="205"/>
    </row>
    <row r="980" spans="1:24" hidden="1" x14ac:dyDescent="0.2">
      <c r="A980" s="205" t="s">
        <v>245</v>
      </c>
      <c r="B980" s="205" t="s">
        <v>4195</v>
      </c>
      <c r="C980" s="214" t="s">
        <v>843</v>
      </c>
      <c r="D980" s="209" t="s">
        <v>152</v>
      </c>
      <c r="F980" s="206">
        <v>38001</v>
      </c>
      <c r="G980" s="206">
        <v>3800</v>
      </c>
      <c r="H980" s="206">
        <v>190</v>
      </c>
      <c r="I980" s="202">
        <f t="shared" si="15"/>
        <v>34391</v>
      </c>
      <c r="J980" s="205" t="s">
        <v>489</v>
      </c>
      <c r="K980" s="205" t="s">
        <v>23</v>
      </c>
      <c r="L980" s="209" t="s">
        <v>1042</v>
      </c>
      <c r="M980" s="205" t="s">
        <v>4196</v>
      </c>
      <c r="N980" s="209" t="s">
        <v>1030</v>
      </c>
      <c r="O980" s="205" t="s">
        <v>652</v>
      </c>
      <c r="P980" s="205" t="s">
        <v>652</v>
      </c>
      <c r="Q980" s="208" t="s">
        <v>653</v>
      </c>
      <c r="R980" s="208" t="s">
        <v>654</v>
      </c>
      <c r="S980" s="208" t="s">
        <v>843</v>
      </c>
      <c r="T980" s="205"/>
      <c r="U980" s="205"/>
      <c r="V980" s="205"/>
      <c r="W980" s="205"/>
      <c r="X980" s="205"/>
    </row>
    <row r="981" spans="1:24" hidden="1" x14ac:dyDescent="0.2">
      <c r="A981" s="205" t="s">
        <v>247</v>
      </c>
      <c r="B981" s="205" t="s">
        <v>4197</v>
      </c>
      <c r="C981" s="214" t="s">
        <v>843</v>
      </c>
      <c r="D981" s="209" t="s">
        <v>152</v>
      </c>
      <c r="F981" s="206">
        <v>42459</v>
      </c>
      <c r="G981" s="206">
        <v>4246</v>
      </c>
      <c r="H981" s="206">
        <v>212</v>
      </c>
      <c r="I981" s="202">
        <f t="shared" si="15"/>
        <v>38425</v>
      </c>
      <c r="J981" s="205" t="s">
        <v>489</v>
      </c>
      <c r="K981" s="205" t="s">
        <v>23</v>
      </c>
      <c r="L981" s="209" t="s">
        <v>1058</v>
      </c>
      <c r="M981" s="205" t="s">
        <v>4198</v>
      </c>
      <c r="N981" s="209" t="s">
        <v>1030</v>
      </c>
      <c r="O981" s="205" t="s">
        <v>652</v>
      </c>
      <c r="P981" s="205" t="s">
        <v>652</v>
      </c>
      <c r="Q981" s="208" t="s">
        <v>653</v>
      </c>
      <c r="R981" s="208" t="s">
        <v>654</v>
      </c>
      <c r="S981" s="208" t="s">
        <v>843</v>
      </c>
      <c r="T981" s="205"/>
      <c r="U981" s="205"/>
      <c r="V981" s="205"/>
      <c r="W981" s="205"/>
      <c r="X981" s="205"/>
    </row>
    <row r="982" spans="1:24" hidden="1" x14ac:dyDescent="0.2">
      <c r="A982" s="205" t="s">
        <v>247</v>
      </c>
      <c r="B982" s="205" t="s">
        <v>4199</v>
      </c>
      <c r="C982" s="214" t="s">
        <v>843</v>
      </c>
      <c r="D982" s="209" t="s">
        <v>152</v>
      </c>
      <c r="F982" s="206">
        <v>69985</v>
      </c>
      <c r="G982" s="206">
        <v>6999</v>
      </c>
      <c r="H982" s="206">
        <v>350</v>
      </c>
      <c r="I982" s="202">
        <f t="shared" si="15"/>
        <v>63336</v>
      </c>
      <c r="J982" s="205" t="s">
        <v>489</v>
      </c>
      <c r="K982" s="205" t="s">
        <v>23</v>
      </c>
      <c r="L982" s="209" t="s">
        <v>1058</v>
      </c>
      <c r="M982" s="205" t="s">
        <v>4200</v>
      </c>
      <c r="N982" s="209" t="s">
        <v>1030</v>
      </c>
      <c r="O982" s="205" t="s">
        <v>652</v>
      </c>
      <c r="P982" s="205" t="s">
        <v>652</v>
      </c>
      <c r="Q982" s="208" t="s">
        <v>2191</v>
      </c>
      <c r="R982" s="208" t="s">
        <v>2192</v>
      </c>
      <c r="S982" s="208" t="s">
        <v>843</v>
      </c>
      <c r="T982" s="205"/>
      <c r="U982" s="205"/>
      <c r="V982" s="205"/>
      <c r="W982" s="205"/>
      <c r="X982" s="205"/>
    </row>
    <row r="983" spans="1:24" hidden="1" x14ac:dyDescent="0.2">
      <c r="A983" s="205" t="s">
        <v>247</v>
      </c>
      <c r="B983" s="205" t="s">
        <v>4201</v>
      </c>
      <c r="C983" s="214" t="s">
        <v>843</v>
      </c>
      <c r="D983" s="209" t="s">
        <v>152</v>
      </c>
      <c r="F983" s="206">
        <v>57986</v>
      </c>
      <c r="G983" s="206">
        <v>5799</v>
      </c>
      <c r="H983" s="206">
        <v>290</v>
      </c>
      <c r="I983" s="202">
        <f t="shared" si="15"/>
        <v>52477</v>
      </c>
      <c r="J983" s="205" t="s">
        <v>489</v>
      </c>
      <c r="K983" s="205" t="s">
        <v>23</v>
      </c>
      <c r="L983" s="209" t="s">
        <v>1058</v>
      </c>
      <c r="M983" s="205" t="s">
        <v>4202</v>
      </c>
      <c r="N983" s="209" t="s">
        <v>1030</v>
      </c>
      <c r="O983" s="205" t="s">
        <v>652</v>
      </c>
      <c r="P983" s="205" t="s">
        <v>652</v>
      </c>
      <c r="Q983" s="208" t="s">
        <v>2191</v>
      </c>
      <c r="R983" s="208" t="s">
        <v>2192</v>
      </c>
      <c r="S983" s="208" t="s">
        <v>843</v>
      </c>
      <c r="T983" s="205"/>
      <c r="U983" s="205"/>
      <c r="V983" s="205"/>
      <c r="W983" s="205"/>
      <c r="X983" s="205"/>
    </row>
    <row r="984" spans="1:24" hidden="1" x14ac:dyDescent="0.2">
      <c r="A984" s="205" t="s">
        <v>281</v>
      </c>
      <c r="B984" s="205" t="s">
        <v>4203</v>
      </c>
      <c r="C984" s="214" t="s">
        <v>843</v>
      </c>
      <c r="D984" s="209" t="s">
        <v>152</v>
      </c>
      <c r="F984" s="206">
        <v>82085</v>
      </c>
      <c r="G984" s="206">
        <v>8209</v>
      </c>
      <c r="H984" s="206">
        <v>410</v>
      </c>
      <c r="I984" s="202">
        <f t="shared" si="15"/>
        <v>74286</v>
      </c>
      <c r="J984" s="205" t="s">
        <v>489</v>
      </c>
      <c r="K984" s="205" t="s">
        <v>23</v>
      </c>
      <c r="L984" s="209" t="s">
        <v>1042</v>
      </c>
      <c r="M984" s="205" t="s">
        <v>4204</v>
      </c>
      <c r="N984" s="209" t="s">
        <v>1030</v>
      </c>
      <c r="O984" s="205" t="s">
        <v>652</v>
      </c>
      <c r="P984" s="205" t="s">
        <v>652</v>
      </c>
      <c r="Q984" s="208" t="s">
        <v>2191</v>
      </c>
      <c r="R984" s="208" t="s">
        <v>2192</v>
      </c>
      <c r="S984" s="208" t="s">
        <v>843</v>
      </c>
      <c r="T984" s="205"/>
      <c r="U984" s="205"/>
      <c r="V984" s="205"/>
      <c r="W984" s="205"/>
      <c r="X984" s="205"/>
    </row>
    <row r="985" spans="1:24" hidden="1" x14ac:dyDescent="0.2">
      <c r="A985" s="205" t="s">
        <v>281</v>
      </c>
      <c r="B985" s="205" t="s">
        <v>4205</v>
      </c>
      <c r="C985" s="214" t="s">
        <v>843</v>
      </c>
      <c r="D985" s="209" t="s">
        <v>152</v>
      </c>
      <c r="F985" s="206">
        <v>60628</v>
      </c>
      <c r="G985" s="206">
        <v>6063</v>
      </c>
      <c r="H985" s="206">
        <v>303</v>
      </c>
      <c r="I985" s="202">
        <f t="shared" si="15"/>
        <v>54868</v>
      </c>
      <c r="J985" s="205" t="s">
        <v>489</v>
      </c>
      <c r="K985" s="205" t="s">
        <v>23</v>
      </c>
      <c r="L985" s="209" t="s">
        <v>1042</v>
      </c>
      <c r="M985" s="205" t="s">
        <v>4206</v>
      </c>
      <c r="N985" s="209" t="s">
        <v>1030</v>
      </c>
      <c r="O985" s="205" t="s">
        <v>652</v>
      </c>
      <c r="P985" s="205" t="s">
        <v>652</v>
      </c>
      <c r="Q985" s="208" t="s">
        <v>2191</v>
      </c>
      <c r="R985" s="208" t="s">
        <v>2192</v>
      </c>
      <c r="S985" s="208" t="s">
        <v>843</v>
      </c>
      <c r="T985" s="205"/>
      <c r="U985" s="205"/>
      <c r="V985" s="205"/>
      <c r="W985" s="205"/>
      <c r="X985" s="205"/>
    </row>
    <row r="986" spans="1:24" hidden="1" x14ac:dyDescent="0.2">
      <c r="A986" s="205" t="s">
        <v>249</v>
      </c>
      <c r="B986" s="205" t="s">
        <v>4207</v>
      </c>
      <c r="C986" s="214" t="s">
        <v>843</v>
      </c>
      <c r="D986" s="209" t="s">
        <v>152</v>
      </c>
      <c r="F986" s="206">
        <v>85607</v>
      </c>
      <c r="G986" s="206">
        <v>8561</v>
      </c>
      <c r="H986" s="206">
        <v>428</v>
      </c>
      <c r="I986" s="202">
        <f t="shared" si="15"/>
        <v>77474</v>
      </c>
      <c r="J986" s="205" t="s">
        <v>489</v>
      </c>
      <c r="K986" s="205" t="s">
        <v>23</v>
      </c>
      <c r="L986" s="209" t="s">
        <v>1042</v>
      </c>
      <c r="M986" s="205" t="s">
        <v>4208</v>
      </c>
      <c r="N986" s="209" t="s">
        <v>1030</v>
      </c>
      <c r="O986" s="205" t="s">
        <v>652</v>
      </c>
      <c r="P986" s="205" t="s">
        <v>652</v>
      </c>
      <c r="Q986" s="208" t="s">
        <v>653</v>
      </c>
      <c r="R986" s="208" t="s">
        <v>654</v>
      </c>
      <c r="S986" s="208" t="s">
        <v>843</v>
      </c>
      <c r="T986" s="205"/>
      <c r="U986" s="205"/>
      <c r="V986" s="205"/>
      <c r="W986" s="205"/>
      <c r="X986" s="205"/>
    </row>
    <row r="987" spans="1:24" hidden="1" x14ac:dyDescent="0.2">
      <c r="A987" s="205" t="s">
        <v>249</v>
      </c>
      <c r="B987" s="205" t="s">
        <v>4201</v>
      </c>
      <c r="C987" s="214" t="s">
        <v>843</v>
      </c>
      <c r="D987" s="205" t="s">
        <v>152</v>
      </c>
      <c r="E987" s="205"/>
      <c r="F987" s="206">
        <v>120957</v>
      </c>
      <c r="G987" s="206">
        <v>12096</v>
      </c>
      <c r="H987" s="206">
        <v>605</v>
      </c>
      <c r="I987" s="202">
        <f t="shared" si="15"/>
        <v>109466</v>
      </c>
      <c r="J987" s="205" t="s">
        <v>489</v>
      </c>
      <c r="K987" s="205" t="s">
        <v>23</v>
      </c>
      <c r="L987" s="209" t="s">
        <v>1042</v>
      </c>
      <c r="M987" s="205" t="s">
        <v>4209</v>
      </c>
      <c r="N987" s="209" t="s">
        <v>1030</v>
      </c>
      <c r="O987" s="205" t="s">
        <v>652</v>
      </c>
      <c r="P987" s="205" t="s">
        <v>652</v>
      </c>
      <c r="Q987" s="208" t="s">
        <v>2191</v>
      </c>
      <c r="R987" s="208" t="s">
        <v>2192</v>
      </c>
      <c r="S987" s="208" t="s">
        <v>843</v>
      </c>
      <c r="T987" s="205"/>
      <c r="U987" s="205"/>
      <c r="V987" s="205"/>
      <c r="W987" s="205"/>
      <c r="X987" s="205"/>
    </row>
    <row r="988" spans="1:24" hidden="1" x14ac:dyDescent="0.2">
      <c r="A988" s="205" t="s">
        <v>249</v>
      </c>
      <c r="B988" s="205" t="s">
        <v>4199</v>
      </c>
      <c r="C988" s="214" t="s">
        <v>843</v>
      </c>
      <c r="D988" s="209" t="s">
        <v>152</v>
      </c>
      <c r="F988" s="206">
        <v>120957</v>
      </c>
      <c r="G988" s="206">
        <v>12096</v>
      </c>
      <c r="H988" s="206">
        <v>605</v>
      </c>
      <c r="I988" s="202">
        <f t="shared" si="15"/>
        <v>109466</v>
      </c>
      <c r="J988" s="205" t="s">
        <v>489</v>
      </c>
      <c r="K988" s="205" t="s">
        <v>23</v>
      </c>
      <c r="L988" s="209" t="s">
        <v>1042</v>
      </c>
      <c r="M988" s="205" t="s">
        <v>4210</v>
      </c>
      <c r="N988" s="209" t="s">
        <v>1030</v>
      </c>
      <c r="O988" s="205" t="s">
        <v>652</v>
      </c>
      <c r="P988" s="205" t="s">
        <v>652</v>
      </c>
      <c r="Q988" s="208" t="s">
        <v>2191</v>
      </c>
      <c r="R988" s="208" t="s">
        <v>2192</v>
      </c>
      <c r="S988" s="208" t="s">
        <v>843</v>
      </c>
      <c r="T988" s="205"/>
      <c r="U988" s="205"/>
      <c r="V988" s="205"/>
      <c r="W988" s="205"/>
      <c r="X988" s="205"/>
    </row>
    <row r="989" spans="1:24" hidden="1" x14ac:dyDescent="0.2">
      <c r="A989" s="205" t="s">
        <v>249</v>
      </c>
      <c r="B989" s="205" t="s">
        <v>4211</v>
      </c>
      <c r="C989" s="214" t="s">
        <v>843</v>
      </c>
      <c r="D989" s="209" t="s">
        <v>152</v>
      </c>
      <c r="F989" s="206">
        <v>120957</v>
      </c>
      <c r="G989" s="206">
        <v>12096</v>
      </c>
      <c r="H989" s="206">
        <v>605</v>
      </c>
      <c r="I989" s="202">
        <f t="shared" si="15"/>
        <v>109466</v>
      </c>
      <c r="J989" s="205" t="s">
        <v>489</v>
      </c>
      <c r="K989" s="205" t="s">
        <v>23</v>
      </c>
      <c r="L989" s="209" t="s">
        <v>1042</v>
      </c>
      <c r="M989" s="205" t="s">
        <v>4212</v>
      </c>
      <c r="N989" s="209" t="s">
        <v>1030</v>
      </c>
      <c r="O989" s="205" t="s">
        <v>652</v>
      </c>
      <c r="P989" s="205" t="s">
        <v>652</v>
      </c>
      <c r="Q989" s="208" t="s">
        <v>2191</v>
      </c>
      <c r="R989" s="208" t="s">
        <v>2192</v>
      </c>
      <c r="S989" s="208" t="s">
        <v>843</v>
      </c>
      <c r="T989" s="205"/>
      <c r="U989" s="205"/>
      <c r="V989" s="205"/>
      <c r="W989" s="205"/>
      <c r="X989" s="205"/>
    </row>
    <row r="990" spans="1:24" hidden="1" x14ac:dyDescent="0.2">
      <c r="A990" s="205" t="s">
        <v>249</v>
      </c>
      <c r="B990" s="205" t="s">
        <v>4213</v>
      </c>
      <c r="C990" s="214" t="s">
        <v>843</v>
      </c>
      <c r="D990" s="209" t="s">
        <v>152</v>
      </c>
      <c r="F990" s="206">
        <v>120957</v>
      </c>
      <c r="G990" s="206">
        <v>12096</v>
      </c>
      <c r="H990" s="206">
        <v>605</v>
      </c>
      <c r="I990" s="202">
        <f t="shared" si="15"/>
        <v>109466</v>
      </c>
      <c r="J990" s="205" t="s">
        <v>489</v>
      </c>
      <c r="K990" s="205" t="s">
        <v>23</v>
      </c>
      <c r="L990" s="209" t="s">
        <v>1042</v>
      </c>
      <c r="M990" s="205" t="s">
        <v>4214</v>
      </c>
      <c r="N990" s="209" t="s">
        <v>1030</v>
      </c>
      <c r="O990" s="205" t="s">
        <v>652</v>
      </c>
      <c r="P990" s="205" t="s">
        <v>652</v>
      </c>
      <c r="Q990" s="208" t="s">
        <v>2191</v>
      </c>
      <c r="R990" s="208" t="s">
        <v>2192</v>
      </c>
      <c r="S990" s="208" t="s">
        <v>843</v>
      </c>
      <c r="T990" s="205"/>
      <c r="U990" s="205"/>
      <c r="V990" s="205"/>
      <c r="W990" s="205"/>
      <c r="X990" s="205"/>
    </row>
    <row r="991" spans="1:24" hidden="1" x14ac:dyDescent="0.2">
      <c r="A991" s="205" t="s">
        <v>249</v>
      </c>
      <c r="B991" s="205" t="s">
        <v>862</v>
      </c>
      <c r="C991" s="214" t="s">
        <v>843</v>
      </c>
      <c r="D991" s="209" t="s">
        <v>152</v>
      </c>
      <c r="F991" s="206">
        <v>85607</v>
      </c>
      <c r="G991" s="206">
        <v>8561</v>
      </c>
      <c r="H991" s="206">
        <v>428</v>
      </c>
      <c r="I991" s="202">
        <f t="shared" si="15"/>
        <v>77474</v>
      </c>
      <c r="J991" s="205" t="s">
        <v>489</v>
      </c>
      <c r="K991" s="205" t="s">
        <v>23</v>
      </c>
      <c r="L991" s="209" t="s">
        <v>1042</v>
      </c>
      <c r="M991" s="205" t="s">
        <v>4215</v>
      </c>
      <c r="N991" s="209" t="s">
        <v>1030</v>
      </c>
      <c r="O991" s="205" t="s">
        <v>652</v>
      </c>
      <c r="P991" s="205" t="s">
        <v>652</v>
      </c>
      <c r="Q991" s="208" t="s">
        <v>2191</v>
      </c>
      <c r="R991" s="208" t="s">
        <v>2192</v>
      </c>
      <c r="S991" s="208" t="s">
        <v>843</v>
      </c>
      <c r="T991" s="205"/>
      <c r="U991" s="205"/>
      <c r="V991" s="205"/>
      <c r="W991" s="205"/>
      <c r="X991" s="205"/>
    </row>
    <row r="992" spans="1:24" hidden="1" x14ac:dyDescent="0.2">
      <c r="A992" s="205" t="s">
        <v>249</v>
      </c>
      <c r="B992" s="205" t="s">
        <v>4216</v>
      </c>
      <c r="C992" s="214" t="s">
        <v>843</v>
      </c>
      <c r="D992" s="209" t="s">
        <v>152</v>
      </c>
      <c r="F992" s="206">
        <v>85607</v>
      </c>
      <c r="G992" s="206">
        <v>8561</v>
      </c>
      <c r="H992" s="206">
        <v>428</v>
      </c>
      <c r="I992" s="202">
        <f t="shared" si="15"/>
        <v>77474</v>
      </c>
      <c r="J992" s="205" t="s">
        <v>489</v>
      </c>
      <c r="K992" s="205" t="s">
        <v>23</v>
      </c>
      <c r="L992" s="209" t="s">
        <v>1042</v>
      </c>
      <c r="M992" s="205" t="s">
        <v>4217</v>
      </c>
      <c r="N992" s="209" t="s">
        <v>1030</v>
      </c>
      <c r="O992" s="205" t="s">
        <v>652</v>
      </c>
      <c r="P992" s="205" t="s">
        <v>652</v>
      </c>
      <c r="Q992" s="208" t="s">
        <v>2191</v>
      </c>
      <c r="R992" s="208" t="s">
        <v>2192</v>
      </c>
      <c r="S992" s="208" t="s">
        <v>843</v>
      </c>
      <c r="T992" s="205"/>
      <c r="U992" s="205"/>
      <c r="V992" s="205"/>
      <c r="W992" s="205"/>
      <c r="X992" s="205"/>
    </row>
    <row r="993" spans="1:24" hidden="1" x14ac:dyDescent="0.2">
      <c r="A993" s="205" t="s">
        <v>249</v>
      </c>
      <c r="B993" s="205" t="s">
        <v>4218</v>
      </c>
      <c r="C993" s="214" t="s">
        <v>843</v>
      </c>
      <c r="D993" s="209" t="s">
        <v>152</v>
      </c>
      <c r="F993" s="206">
        <v>85607</v>
      </c>
      <c r="G993" s="206">
        <v>8561</v>
      </c>
      <c r="H993" s="206">
        <v>428</v>
      </c>
      <c r="I993" s="202">
        <f t="shared" si="15"/>
        <v>77474</v>
      </c>
      <c r="J993" s="205" t="s">
        <v>489</v>
      </c>
      <c r="K993" s="205" t="s">
        <v>23</v>
      </c>
      <c r="L993" s="209" t="s">
        <v>1042</v>
      </c>
      <c r="M993" s="205" t="s">
        <v>4219</v>
      </c>
      <c r="N993" s="209" t="s">
        <v>1030</v>
      </c>
      <c r="O993" s="205" t="s">
        <v>652</v>
      </c>
      <c r="P993" s="205" t="s">
        <v>652</v>
      </c>
      <c r="Q993" s="208" t="s">
        <v>2191</v>
      </c>
      <c r="R993" s="208" t="s">
        <v>2192</v>
      </c>
      <c r="S993" s="208" t="s">
        <v>843</v>
      </c>
      <c r="T993" s="205"/>
      <c r="U993" s="205"/>
      <c r="V993" s="205"/>
      <c r="W993" s="205"/>
      <c r="X993" s="205"/>
    </row>
    <row r="994" spans="1:24" hidden="1" x14ac:dyDescent="0.2">
      <c r="A994" s="205" t="s">
        <v>249</v>
      </c>
      <c r="B994" s="205" t="s">
        <v>3935</v>
      </c>
      <c r="C994" s="214" t="s">
        <v>843</v>
      </c>
      <c r="D994" s="209" t="s">
        <v>152</v>
      </c>
      <c r="F994" s="206">
        <v>120957</v>
      </c>
      <c r="G994" s="206">
        <v>12096</v>
      </c>
      <c r="H994" s="206">
        <v>605</v>
      </c>
      <c r="I994" s="202">
        <f t="shared" si="15"/>
        <v>109466</v>
      </c>
      <c r="J994" s="205" t="s">
        <v>489</v>
      </c>
      <c r="K994" s="205" t="s">
        <v>23</v>
      </c>
      <c r="L994" s="209" t="s">
        <v>1042</v>
      </c>
      <c r="M994" s="205" t="s">
        <v>4220</v>
      </c>
      <c r="N994" s="209" t="s">
        <v>1030</v>
      </c>
      <c r="O994" s="205" t="s">
        <v>652</v>
      </c>
      <c r="P994" s="205" t="s">
        <v>652</v>
      </c>
      <c r="Q994" s="208" t="s">
        <v>2191</v>
      </c>
      <c r="R994" s="208" t="s">
        <v>2192</v>
      </c>
      <c r="S994" s="208" t="s">
        <v>843</v>
      </c>
      <c r="T994" s="205"/>
      <c r="U994" s="205"/>
      <c r="V994" s="205"/>
      <c r="W994" s="205"/>
      <c r="X994" s="205"/>
    </row>
    <row r="995" spans="1:24" hidden="1" x14ac:dyDescent="0.2">
      <c r="A995" s="205" t="s">
        <v>249</v>
      </c>
      <c r="B995" s="205" t="s">
        <v>3933</v>
      </c>
      <c r="C995" s="214" t="s">
        <v>843</v>
      </c>
      <c r="D995" s="209" t="s">
        <v>152</v>
      </c>
      <c r="F995" s="206">
        <v>85607</v>
      </c>
      <c r="G995" s="206">
        <v>8561</v>
      </c>
      <c r="H995" s="206">
        <v>428</v>
      </c>
      <c r="I995" s="202">
        <f t="shared" si="15"/>
        <v>77474</v>
      </c>
      <c r="J995" s="205" t="s">
        <v>489</v>
      </c>
      <c r="K995" s="205" t="s">
        <v>23</v>
      </c>
      <c r="L995" s="209" t="s">
        <v>1042</v>
      </c>
      <c r="M995" s="205" t="s">
        <v>4221</v>
      </c>
      <c r="N995" s="209" t="s">
        <v>1030</v>
      </c>
      <c r="O995" s="205" t="s">
        <v>652</v>
      </c>
      <c r="P995" s="205" t="s">
        <v>652</v>
      </c>
      <c r="Q995" s="208" t="s">
        <v>2191</v>
      </c>
      <c r="R995" s="208" t="s">
        <v>2192</v>
      </c>
      <c r="S995" s="208" t="s">
        <v>843</v>
      </c>
      <c r="T995" s="205"/>
      <c r="U995" s="205"/>
      <c r="V995" s="205"/>
      <c r="W995" s="205"/>
      <c r="X995" s="205"/>
    </row>
    <row r="996" spans="1:24" hidden="1" x14ac:dyDescent="0.2">
      <c r="A996" s="205" t="s">
        <v>249</v>
      </c>
      <c r="B996" s="205" t="s">
        <v>4222</v>
      </c>
      <c r="C996" s="214" t="s">
        <v>843</v>
      </c>
      <c r="D996" s="209" t="s">
        <v>152</v>
      </c>
      <c r="F996" s="206">
        <v>120957</v>
      </c>
      <c r="G996" s="206">
        <v>12096</v>
      </c>
      <c r="H996" s="206">
        <v>605</v>
      </c>
      <c r="I996" s="202">
        <f t="shared" si="15"/>
        <v>109466</v>
      </c>
      <c r="J996" s="205" t="s">
        <v>489</v>
      </c>
      <c r="K996" s="205" t="s">
        <v>23</v>
      </c>
      <c r="L996" s="209" t="s">
        <v>1042</v>
      </c>
      <c r="M996" s="205" t="s">
        <v>4223</v>
      </c>
      <c r="N996" s="209" t="s">
        <v>1030</v>
      </c>
      <c r="O996" s="205" t="s">
        <v>652</v>
      </c>
      <c r="P996" s="205" t="s">
        <v>652</v>
      </c>
      <c r="Q996" s="208" t="s">
        <v>653</v>
      </c>
      <c r="R996" s="208" t="s">
        <v>654</v>
      </c>
      <c r="S996" s="208" t="s">
        <v>843</v>
      </c>
      <c r="T996" s="205"/>
      <c r="U996" s="205"/>
      <c r="V996" s="205"/>
      <c r="W996" s="205"/>
      <c r="X996" s="205"/>
    </row>
    <row r="997" spans="1:24" hidden="1" x14ac:dyDescent="0.2">
      <c r="A997" s="205" t="s">
        <v>283</v>
      </c>
      <c r="B997" s="205" t="s">
        <v>4224</v>
      </c>
      <c r="C997" s="214" t="s">
        <v>843</v>
      </c>
      <c r="D997" s="209" t="s">
        <v>152</v>
      </c>
      <c r="F997" s="206">
        <v>94377</v>
      </c>
      <c r="G997" s="206">
        <v>9438</v>
      </c>
      <c r="H997" s="206">
        <v>472</v>
      </c>
      <c r="I997" s="202">
        <f t="shared" si="15"/>
        <v>85411</v>
      </c>
      <c r="J997" s="205" t="s">
        <v>489</v>
      </c>
      <c r="K997" s="205" t="s">
        <v>23</v>
      </c>
      <c r="L997" s="209" t="s">
        <v>1058</v>
      </c>
      <c r="M997" s="205" t="s">
        <v>4225</v>
      </c>
      <c r="N997" s="209" t="s">
        <v>1030</v>
      </c>
      <c r="O997" s="205" t="s">
        <v>652</v>
      </c>
      <c r="P997" s="205" t="s">
        <v>652</v>
      </c>
      <c r="Q997" s="208" t="s">
        <v>2191</v>
      </c>
      <c r="R997" s="208" t="s">
        <v>2192</v>
      </c>
      <c r="S997" s="208" t="s">
        <v>843</v>
      </c>
      <c r="T997" s="205"/>
      <c r="U997" s="205"/>
      <c r="V997" s="205"/>
      <c r="W997" s="205"/>
      <c r="X997" s="205"/>
    </row>
    <row r="998" spans="1:24" hidden="1" x14ac:dyDescent="0.2">
      <c r="A998" s="205" t="s">
        <v>283</v>
      </c>
      <c r="B998" s="205" t="s">
        <v>4226</v>
      </c>
      <c r="C998" s="214" t="s">
        <v>843</v>
      </c>
      <c r="D998" s="209" t="s">
        <v>152</v>
      </c>
      <c r="F998" s="206">
        <v>94377</v>
      </c>
      <c r="G998" s="206">
        <v>9438</v>
      </c>
      <c r="H998" s="206">
        <v>472</v>
      </c>
      <c r="I998" s="202">
        <f t="shared" si="15"/>
        <v>85411</v>
      </c>
      <c r="J998" s="205" t="s">
        <v>489</v>
      </c>
      <c r="K998" s="205" t="s">
        <v>23</v>
      </c>
      <c r="L998" s="209" t="s">
        <v>1058</v>
      </c>
      <c r="M998" s="205" t="s">
        <v>4227</v>
      </c>
      <c r="N998" s="209" t="s">
        <v>1030</v>
      </c>
      <c r="O998" s="205" t="s">
        <v>652</v>
      </c>
      <c r="P998" s="205" t="s">
        <v>652</v>
      </c>
      <c r="Q998" s="208" t="s">
        <v>2191</v>
      </c>
      <c r="R998" s="208" t="s">
        <v>2192</v>
      </c>
      <c r="S998" s="208" t="s">
        <v>843</v>
      </c>
      <c r="T998" s="205"/>
      <c r="U998" s="205"/>
      <c r="V998" s="205"/>
      <c r="W998" s="205"/>
      <c r="X998" s="205"/>
    </row>
    <row r="999" spans="1:24" hidden="1" x14ac:dyDescent="0.2">
      <c r="A999" s="205" t="s">
        <v>3964</v>
      </c>
      <c r="B999" s="205" t="s">
        <v>3965</v>
      </c>
      <c r="C999" s="214" t="s">
        <v>843</v>
      </c>
      <c r="D999" s="205" t="s">
        <v>152</v>
      </c>
      <c r="E999" s="205"/>
      <c r="F999" s="206">
        <v>67877</v>
      </c>
      <c r="G999" s="206">
        <v>6788</v>
      </c>
      <c r="H999" s="206">
        <v>339</v>
      </c>
      <c r="I999" s="202">
        <f t="shared" si="15"/>
        <v>61428</v>
      </c>
      <c r="J999" s="205" t="s">
        <v>37</v>
      </c>
      <c r="K999" s="205" t="s">
        <v>23</v>
      </c>
      <c r="L999" s="205" t="s">
        <v>1028</v>
      </c>
      <c r="M999" s="205" t="s">
        <v>4228</v>
      </c>
      <c r="N999" s="209" t="s">
        <v>1030</v>
      </c>
      <c r="O999" s="205" t="s">
        <v>652</v>
      </c>
      <c r="P999" s="205" t="s">
        <v>652</v>
      </c>
      <c r="Q999" s="208" t="s">
        <v>3323</v>
      </c>
      <c r="R999" s="208" t="s">
        <v>3967</v>
      </c>
      <c r="S999" s="208" t="s">
        <v>843</v>
      </c>
      <c r="T999" s="205"/>
      <c r="U999" s="205"/>
      <c r="V999" s="205"/>
      <c r="W999" s="205"/>
      <c r="X999" s="205"/>
    </row>
    <row r="1000" spans="1:24" hidden="1" x14ac:dyDescent="0.2">
      <c r="A1000" s="205" t="s">
        <v>3969</v>
      </c>
      <c r="B1000" s="205" t="s">
        <v>3970</v>
      </c>
      <c r="C1000" s="214" t="s">
        <v>843</v>
      </c>
      <c r="D1000" s="205" t="s">
        <v>152</v>
      </c>
      <c r="E1000" s="205"/>
      <c r="F1000" s="206">
        <v>52204</v>
      </c>
      <c r="G1000" s="206">
        <v>5220</v>
      </c>
      <c r="H1000" s="206">
        <v>261</v>
      </c>
      <c r="I1000" s="202">
        <f t="shared" si="15"/>
        <v>47245</v>
      </c>
      <c r="J1000" s="205" t="s">
        <v>37</v>
      </c>
      <c r="K1000" s="205" t="s">
        <v>23</v>
      </c>
      <c r="L1000" s="205" t="s">
        <v>1028</v>
      </c>
      <c r="M1000" s="205" t="s">
        <v>4229</v>
      </c>
      <c r="N1000" s="205" t="s">
        <v>1030</v>
      </c>
      <c r="O1000" s="205" t="s">
        <v>652</v>
      </c>
      <c r="P1000" s="205" t="s">
        <v>652</v>
      </c>
      <c r="Q1000" s="208" t="s">
        <v>2054</v>
      </c>
      <c r="R1000" s="208" t="s">
        <v>2055</v>
      </c>
      <c r="S1000" s="208" t="s">
        <v>843</v>
      </c>
      <c r="T1000" s="205"/>
      <c r="U1000" s="205"/>
      <c r="V1000" s="205"/>
      <c r="W1000" s="205"/>
      <c r="X1000" s="205"/>
    </row>
    <row r="1001" spans="1:24" hidden="1" x14ac:dyDescent="0.2">
      <c r="A1001" s="205" t="s">
        <v>151</v>
      </c>
      <c r="B1001" s="205" t="s">
        <v>582</v>
      </c>
      <c r="C1001" s="214" t="s">
        <v>843</v>
      </c>
      <c r="D1001" s="205" t="s">
        <v>152</v>
      </c>
      <c r="E1001" s="205"/>
      <c r="F1001" s="206">
        <v>32301</v>
      </c>
      <c r="G1001" s="206">
        <v>3230</v>
      </c>
      <c r="H1001" s="206">
        <v>162</v>
      </c>
      <c r="I1001" s="202">
        <f t="shared" si="15"/>
        <v>29233</v>
      </c>
      <c r="J1001" s="205" t="s">
        <v>54</v>
      </c>
      <c r="K1001" s="205" t="s">
        <v>23</v>
      </c>
      <c r="L1001" s="205" t="s">
        <v>1042</v>
      </c>
      <c r="M1001" s="205" t="s">
        <v>4230</v>
      </c>
      <c r="N1001" s="209" t="s">
        <v>1030</v>
      </c>
      <c r="O1001" s="205" t="s">
        <v>652</v>
      </c>
      <c r="P1001" s="205" t="s">
        <v>652</v>
      </c>
      <c r="Q1001" s="208" t="s">
        <v>653</v>
      </c>
      <c r="R1001" s="208" t="s">
        <v>654</v>
      </c>
      <c r="S1001" s="208" t="s">
        <v>843</v>
      </c>
      <c r="T1001" s="205"/>
      <c r="U1001" s="205"/>
      <c r="V1001" s="205"/>
      <c r="W1001" s="205"/>
      <c r="X1001" s="205"/>
    </row>
    <row r="1002" spans="1:24" hidden="1" x14ac:dyDescent="0.2">
      <c r="A1002" s="205" t="s">
        <v>149</v>
      </c>
      <c r="B1002" s="205" t="s">
        <v>581</v>
      </c>
      <c r="C1002" s="214" t="s">
        <v>843</v>
      </c>
      <c r="D1002" s="205" t="s">
        <v>152</v>
      </c>
      <c r="E1002" s="205"/>
      <c r="F1002" s="206">
        <v>37462</v>
      </c>
      <c r="G1002" s="206">
        <v>3746</v>
      </c>
      <c r="H1002" s="206">
        <v>187</v>
      </c>
      <c r="I1002" s="202">
        <f t="shared" si="15"/>
        <v>33903</v>
      </c>
      <c r="J1002" s="205" t="s">
        <v>54</v>
      </c>
      <c r="K1002" s="205" t="s">
        <v>23</v>
      </c>
      <c r="L1002" s="205" t="s">
        <v>1042</v>
      </c>
      <c r="M1002" s="205" t="s">
        <v>4231</v>
      </c>
      <c r="N1002" s="209" t="s">
        <v>1030</v>
      </c>
      <c r="O1002" s="205" t="s">
        <v>652</v>
      </c>
      <c r="P1002" s="205" t="s">
        <v>652</v>
      </c>
      <c r="Q1002" s="208" t="s">
        <v>653</v>
      </c>
      <c r="R1002" s="208" t="s">
        <v>654</v>
      </c>
      <c r="S1002" s="208" t="s">
        <v>843</v>
      </c>
      <c r="T1002" s="205"/>
      <c r="U1002" s="205"/>
      <c r="V1002" s="205"/>
      <c r="W1002" s="205"/>
      <c r="X1002" s="205"/>
    </row>
    <row r="1003" spans="1:24" hidden="1" x14ac:dyDescent="0.2">
      <c r="A1003" s="205" t="s">
        <v>474</v>
      </c>
      <c r="B1003" s="205" t="s">
        <v>579</v>
      </c>
      <c r="C1003" s="214" t="s">
        <v>843</v>
      </c>
      <c r="D1003" s="205" t="s">
        <v>152</v>
      </c>
      <c r="E1003" s="205"/>
      <c r="F1003" s="206">
        <v>49533</v>
      </c>
      <c r="G1003" s="206">
        <v>4953</v>
      </c>
      <c r="H1003" s="206">
        <v>248</v>
      </c>
      <c r="I1003" s="202">
        <f t="shared" si="15"/>
        <v>44828</v>
      </c>
      <c r="J1003" s="205" t="s">
        <v>54</v>
      </c>
      <c r="K1003" s="205" t="s">
        <v>23</v>
      </c>
      <c r="L1003" s="205" t="s">
        <v>1042</v>
      </c>
      <c r="M1003" s="205" t="s">
        <v>4232</v>
      </c>
      <c r="N1003" s="209" t="s">
        <v>1030</v>
      </c>
      <c r="O1003" s="205" t="s">
        <v>652</v>
      </c>
      <c r="P1003" s="205" t="s">
        <v>652</v>
      </c>
      <c r="Q1003" s="208" t="s">
        <v>653</v>
      </c>
      <c r="R1003" s="208" t="s">
        <v>654</v>
      </c>
      <c r="S1003" s="208" t="s">
        <v>843</v>
      </c>
      <c r="T1003" s="205"/>
      <c r="U1003" s="205"/>
      <c r="V1003" s="205"/>
      <c r="W1003" s="205"/>
      <c r="X1003" s="205"/>
    </row>
    <row r="1004" spans="1:24" hidden="1" x14ac:dyDescent="0.2">
      <c r="A1004" s="205" t="s">
        <v>146</v>
      </c>
      <c r="B1004" s="205" t="s">
        <v>584</v>
      </c>
      <c r="C1004" s="214" t="s">
        <v>843</v>
      </c>
      <c r="D1004" s="205" t="s">
        <v>152</v>
      </c>
      <c r="E1004" s="205"/>
      <c r="F1004" s="206">
        <v>31569</v>
      </c>
      <c r="G1004" s="206">
        <v>3157</v>
      </c>
      <c r="H1004" s="206">
        <v>158</v>
      </c>
      <c r="I1004" s="202">
        <f t="shared" si="15"/>
        <v>28570</v>
      </c>
      <c r="J1004" s="205" t="s">
        <v>54</v>
      </c>
      <c r="K1004" s="205" t="s">
        <v>23</v>
      </c>
      <c r="L1004" s="205" t="s">
        <v>1042</v>
      </c>
      <c r="M1004" s="205" t="s">
        <v>4233</v>
      </c>
      <c r="N1004" s="209" t="s">
        <v>1030</v>
      </c>
      <c r="O1004" s="205" t="s">
        <v>652</v>
      </c>
      <c r="P1004" s="205" t="s">
        <v>652</v>
      </c>
      <c r="Q1004" s="208" t="s">
        <v>653</v>
      </c>
      <c r="R1004" s="208" t="s">
        <v>654</v>
      </c>
      <c r="S1004" s="208" t="s">
        <v>843</v>
      </c>
      <c r="T1004" s="205"/>
      <c r="U1004" s="205"/>
      <c r="V1004" s="205"/>
      <c r="W1004" s="205"/>
      <c r="X1004" s="205"/>
    </row>
    <row r="1005" spans="1:24" hidden="1" x14ac:dyDescent="0.2">
      <c r="A1005" s="205" t="s">
        <v>454</v>
      </c>
      <c r="B1005" s="205" t="s">
        <v>585</v>
      </c>
      <c r="C1005" s="214" t="s">
        <v>843</v>
      </c>
      <c r="D1005" s="205" t="s">
        <v>152</v>
      </c>
      <c r="E1005" s="205"/>
      <c r="F1005" s="206">
        <v>78587</v>
      </c>
      <c r="G1005" s="206">
        <v>7859</v>
      </c>
      <c r="H1005" s="206">
        <v>393</v>
      </c>
      <c r="I1005" s="202">
        <f t="shared" si="15"/>
        <v>71121</v>
      </c>
      <c r="J1005" s="205" t="s">
        <v>54</v>
      </c>
      <c r="K1005" s="205" t="s">
        <v>23</v>
      </c>
      <c r="L1005" s="205" t="s">
        <v>1042</v>
      </c>
      <c r="M1005" s="205" t="s">
        <v>4234</v>
      </c>
      <c r="N1005" s="209" t="s">
        <v>1030</v>
      </c>
      <c r="O1005" s="205" t="s">
        <v>652</v>
      </c>
      <c r="P1005" s="205" t="s">
        <v>652</v>
      </c>
      <c r="Q1005" s="208" t="s">
        <v>653</v>
      </c>
      <c r="R1005" s="208" t="s">
        <v>654</v>
      </c>
      <c r="S1005" s="208" t="s">
        <v>843</v>
      </c>
      <c r="T1005" s="205"/>
      <c r="U1005" s="205"/>
      <c r="V1005" s="205"/>
      <c r="W1005" s="205"/>
      <c r="X1005" s="205"/>
    </row>
    <row r="1006" spans="1:24" hidden="1" x14ac:dyDescent="0.2">
      <c r="A1006" s="205" t="s">
        <v>223</v>
      </c>
      <c r="B1006" s="205" t="s">
        <v>580</v>
      </c>
      <c r="C1006" s="214" t="s">
        <v>843</v>
      </c>
      <c r="D1006" s="205" t="s">
        <v>152</v>
      </c>
      <c r="E1006" s="205"/>
      <c r="F1006" s="206">
        <v>11044</v>
      </c>
      <c r="G1006" s="206">
        <v>1104</v>
      </c>
      <c r="H1006" s="206">
        <v>55</v>
      </c>
      <c r="I1006" s="202">
        <f t="shared" si="15"/>
        <v>9995</v>
      </c>
      <c r="J1006" s="205" t="s">
        <v>54</v>
      </c>
      <c r="K1006" s="205" t="s">
        <v>23</v>
      </c>
      <c r="L1006" s="205" t="s">
        <v>1042</v>
      </c>
      <c r="M1006" s="205" t="s">
        <v>4235</v>
      </c>
      <c r="N1006" s="209" t="s">
        <v>1030</v>
      </c>
      <c r="O1006" s="205" t="s">
        <v>652</v>
      </c>
      <c r="P1006" s="205" t="s">
        <v>652</v>
      </c>
      <c r="Q1006" s="208" t="s">
        <v>653</v>
      </c>
      <c r="R1006" s="208" t="s">
        <v>654</v>
      </c>
      <c r="S1006" s="208" t="s">
        <v>843</v>
      </c>
      <c r="T1006" s="205"/>
      <c r="U1006" s="205"/>
      <c r="V1006" s="205"/>
      <c r="W1006" s="205"/>
      <c r="X1006" s="205"/>
    </row>
    <row r="1007" spans="1:24" hidden="1" x14ac:dyDescent="0.2">
      <c r="A1007" s="209" t="s">
        <v>483</v>
      </c>
      <c r="B1007" s="209" t="s">
        <v>1269</v>
      </c>
      <c r="C1007" s="213" t="s">
        <v>843</v>
      </c>
      <c r="D1007" s="209" t="s">
        <v>152</v>
      </c>
      <c r="F1007" s="211">
        <v>50652</v>
      </c>
      <c r="G1007" s="211">
        <v>5065</v>
      </c>
      <c r="H1007" s="211">
        <v>253</v>
      </c>
      <c r="I1007" s="202">
        <f t="shared" si="15"/>
        <v>45840</v>
      </c>
      <c r="J1007" s="209" t="s">
        <v>22</v>
      </c>
      <c r="K1007" s="209" t="s">
        <v>23</v>
      </c>
      <c r="L1007" s="209" t="s">
        <v>1042</v>
      </c>
      <c r="M1007" s="209" t="s">
        <v>4236</v>
      </c>
      <c r="N1007" s="209" t="s">
        <v>1030</v>
      </c>
      <c r="O1007" s="209" t="s">
        <v>652</v>
      </c>
      <c r="P1007" s="209" t="s">
        <v>652</v>
      </c>
      <c r="Q1007" s="213" t="s">
        <v>987</v>
      </c>
      <c r="R1007" s="213" t="s">
        <v>988</v>
      </c>
      <c r="S1007" s="213" t="s">
        <v>843</v>
      </c>
      <c r="U1007" s="205"/>
      <c r="V1007" s="205"/>
      <c r="W1007" s="205"/>
      <c r="X1007" s="205"/>
    </row>
    <row r="1008" spans="1:24" hidden="1" x14ac:dyDescent="0.2">
      <c r="A1008" s="209" t="s">
        <v>122</v>
      </c>
      <c r="B1008" s="209" t="s">
        <v>966</v>
      </c>
      <c r="C1008" s="213" t="s">
        <v>843</v>
      </c>
      <c r="D1008" s="209" t="s">
        <v>152</v>
      </c>
      <c r="F1008" s="211">
        <v>10054</v>
      </c>
      <c r="G1008" s="211">
        <v>1005</v>
      </c>
      <c r="H1008" s="211">
        <v>50</v>
      </c>
      <c r="I1008" s="202">
        <f t="shared" si="15"/>
        <v>9099</v>
      </c>
      <c r="J1008" s="209" t="s">
        <v>22</v>
      </c>
      <c r="K1008" s="209" t="s">
        <v>23</v>
      </c>
      <c r="L1008" s="209" t="s">
        <v>1042</v>
      </c>
      <c r="M1008" s="209" t="s">
        <v>4237</v>
      </c>
      <c r="N1008" s="209" t="s">
        <v>1030</v>
      </c>
      <c r="O1008" s="209" t="s">
        <v>652</v>
      </c>
      <c r="P1008" s="209" t="s">
        <v>652</v>
      </c>
      <c r="Q1008" s="213" t="s">
        <v>786</v>
      </c>
      <c r="R1008" s="213" t="s">
        <v>962</v>
      </c>
      <c r="S1008" s="213" t="s">
        <v>843</v>
      </c>
      <c r="U1008" s="205"/>
      <c r="V1008" s="205"/>
      <c r="W1008" s="205"/>
      <c r="X1008" s="205"/>
    </row>
    <row r="1009" spans="1:24" hidden="1" x14ac:dyDescent="0.2">
      <c r="A1009" s="209" t="s">
        <v>79</v>
      </c>
      <c r="B1009" s="209" t="s">
        <v>535</v>
      </c>
      <c r="C1009" s="213" t="s">
        <v>843</v>
      </c>
      <c r="D1009" s="209" t="s">
        <v>152</v>
      </c>
      <c r="F1009" s="211">
        <v>4823</v>
      </c>
      <c r="G1009" s="211">
        <v>482</v>
      </c>
      <c r="H1009" s="211">
        <v>24</v>
      </c>
      <c r="I1009" s="202">
        <f t="shared" si="15"/>
        <v>4365</v>
      </c>
      <c r="J1009" s="209" t="s">
        <v>22</v>
      </c>
      <c r="K1009" s="209" t="s">
        <v>23</v>
      </c>
      <c r="L1009" s="209" t="s">
        <v>1141</v>
      </c>
      <c r="M1009" s="209" t="s">
        <v>4238</v>
      </c>
      <c r="N1009" s="209" t="s">
        <v>1030</v>
      </c>
      <c r="O1009" s="209" t="s">
        <v>652</v>
      </c>
      <c r="P1009" s="209" t="s">
        <v>652</v>
      </c>
      <c r="Q1009" s="213" t="s">
        <v>674</v>
      </c>
      <c r="R1009" s="213" t="s">
        <v>675</v>
      </c>
      <c r="S1009" s="213" t="s">
        <v>843</v>
      </c>
    </row>
    <row r="1010" spans="1:24" hidden="1" x14ac:dyDescent="0.2">
      <c r="A1010" s="205" t="s">
        <v>60</v>
      </c>
      <c r="B1010" s="205" t="s">
        <v>541</v>
      </c>
      <c r="C1010" s="214" t="s">
        <v>843</v>
      </c>
      <c r="D1010" s="209" t="s">
        <v>152</v>
      </c>
      <c r="F1010" s="206">
        <v>26626</v>
      </c>
      <c r="G1010" s="206">
        <v>0</v>
      </c>
      <c r="H1010" s="206">
        <v>0</v>
      </c>
      <c r="I1010" s="202">
        <f t="shared" si="15"/>
        <v>26626</v>
      </c>
      <c r="J1010" s="205" t="s">
        <v>25</v>
      </c>
      <c r="K1010" s="205" t="s">
        <v>214</v>
      </c>
      <c r="L1010" s="209" t="s">
        <v>1042</v>
      </c>
      <c r="M1010" s="205" t="s">
        <v>4239</v>
      </c>
      <c r="N1010" s="209" t="s">
        <v>1030</v>
      </c>
      <c r="O1010" s="205" t="s">
        <v>652</v>
      </c>
      <c r="P1010" s="205" t="s">
        <v>652</v>
      </c>
      <c r="Q1010" s="208" t="s">
        <v>688</v>
      </c>
      <c r="R1010" s="208" t="s">
        <v>689</v>
      </c>
      <c r="S1010" s="208" t="s">
        <v>843</v>
      </c>
      <c r="T1010" s="205"/>
    </row>
    <row r="1011" spans="1:24" hidden="1" x14ac:dyDescent="0.2">
      <c r="A1011" s="205" t="s">
        <v>156</v>
      </c>
      <c r="B1011" s="205" t="s">
        <v>648</v>
      </c>
      <c r="C1011" s="214" t="s">
        <v>843</v>
      </c>
      <c r="D1011" s="205" t="s">
        <v>152</v>
      </c>
      <c r="E1011" s="205"/>
      <c r="F1011" s="206">
        <v>146559</v>
      </c>
      <c r="G1011" s="206">
        <v>0</v>
      </c>
      <c r="H1011" s="206">
        <v>0</v>
      </c>
      <c r="I1011" s="202">
        <f t="shared" si="15"/>
        <v>146559</v>
      </c>
      <c r="J1011" s="205" t="s">
        <v>25</v>
      </c>
      <c r="K1011" s="205" t="s">
        <v>214</v>
      </c>
      <c r="L1011" s="205" t="s">
        <v>1042</v>
      </c>
      <c r="M1011" s="205" t="s">
        <v>4240</v>
      </c>
      <c r="N1011" s="209" t="s">
        <v>1030</v>
      </c>
      <c r="O1011" s="205" t="s">
        <v>1190</v>
      </c>
      <c r="P1011" s="205" t="s">
        <v>1191</v>
      </c>
      <c r="Q1011" s="208" t="s">
        <v>778</v>
      </c>
      <c r="R1011" s="208" t="s">
        <v>779</v>
      </c>
      <c r="S1011" s="208" t="s">
        <v>843</v>
      </c>
      <c r="T1011" s="205"/>
    </row>
    <row r="1012" spans="1:24" hidden="1" x14ac:dyDescent="0.2">
      <c r="A1012" s="205" t="s">
        <v>1298</v>
      </c>
      <c r="B1012" s="205" t="s">
        <v>1299</v>
      </c>
      <c r="C1012" s="214" t="s">
        <v>843</v>
      </c>
      <c r="D1012" s="205" t="s">
        <v>152</v>
      </c>
      <c r="E1012" s="205"/>
      <c r="F1012" s="206">
        <v>27879</v>
      </c>
      <c r="G1012" s="206">
        <v>0</v>
      </c>
      <c r="H1012" s="206">
        <v>0</v>
      </c>
      <c r="I1012" s="202">
        <f t="shared" si="15"/>
        <v>27879</v>
      </c>
      <c r="J1012" s="205" t="s">
        <v>25</v>
      </c>
      <c r="K1012" s="205" t="s">
        <v>214</v>
      </c>
      <c r="L1012" s="205" t="s">
        <v>1042</v>
      </c>
      <c r="M1012" s="205" t="s">
        <v>4241</v>
      </c>
      <c r="N1012" s="209" t="s">
        <v>1301</v>
      </c>
      <c r="O1012" s="205" t="s">
        <v>1302</v>
      </c>
      <c r="P1012" s="205" t="s">
        <v>1066</v>
      </c>
      <c r="Q1012" s="208" t="s">
        <v>866</v>
      </c>
      <c r="R1012" s="208" t="s">
        <v>986</v>
      </c>
      <c r="S1012" s="208" t="s">
        <v>843</v>
      </c>
      <c r="T1012" s="205"/>
    </row>
    <row r="1013" spans="1:24" hidden="1" x14ac:dyDescent="0.2">
      <c r="A1013" s="205" t="s">
        <v>57</v>
      </c>
      <c r="B1013" s="205" t="s">
        <v>552</v>
      </c>
      <c r="C1013" s="214" t="s">
        <v>725</v>
      </c>
      <c r="D1013" s="209" t="s">
        <v>152</v>
      </c>
      <c r="F1013" s="206">
        <v>14086</v>
      </c>
      <c r="G1013" s="206">
        <v>1409</v>
      </c>
      <c r="H1013" s="206">
        <v>141</v>
      </c>
      <c r="I1013" s="202">
        <f t="shared" si="15"/>
        <v>12818</v>
      </c>
      <c r="J1013" s="205" t="s">
        <v>58</v>
      </c>
      <c r="K1013" s="205" t="s">
        <v>29</v>
      </c>
      <c r="L1013" s="209" t="s">
        <v>1042</v>
      </c>
      <c r="M1013" s="205" t="s">
        <v>4242</v>
      </c>
      <c r="N1013" s="209" t="s">
        <v>1030</v>
      </c>
      <c r="O1013" s="205" t="s">
        <v>652</v>
      </c>
      <c r="P1013" s="205" t="s">
        <v>652</v>
      </c>
      <c r="Q1013" s="208" t="s">
        <v>705</v>
      </c>
      <c r="R1013" s="208" t="s">
        <v>706</v>
      </c>
      <c r="S1013" s="208" t="s">
        <v>725</v>
      </c>
      <c r="T1013" s="205"/>
      <c r="U1013" s="205"/>
      <c r="V1013" s="205"/>
      <c r="W1013" s="205"/>
      <c r="X1013" s="205"/>
    </row>
    <row r="1014" spans="1:24" hidden="1" x14ac:dyDescent="0.2">
      <c r="A1014" s="205" t="s">
        <v>268</v>
      </c>
      <c r="B1014" s="205" t="s">
        <v>4243</v>
      </c>
      <c r="C1014" s="214" t="s">
        <v>725</v>
      </c>
      <c r="D1014" s="209" t="s">
        <v>152</v>
      </c>
      <c r="F1014" s="206">
        <v>14154567</v>
      </c>
      <c r="G1014" s="206">
        <v>1415456</v>
      </c>
      <c r="H1014" s="206">
        <v>141546</v>
      </c>
      <c r="I1014" s="202">
        <f t="shared" si="15"/>
        <v>12880657</v>
      </c>
      <c r="J1014" s="205" t="s">
        <v>31</v>
      </c>
      <c r="K1014" s="205" t="s">
        <v>29</v>
      </c>
      <c r="L1014" s="209" t="s">
        <v>1028</v>
      </c>
      <c r="M1014" s="205" t="s">
        <v>4244</v>
      </c>
      <c r="N1014" s="209" t="s">
        <v>1030</v>
      </c>
      <c r="O1014" s="205" t="s">
        <v>652</v>
      </c>
      <c r="P1014" s="205" t="s">
        <v>652</v>
      </c>
      <c r="Q1014" s="208" t="s">
        <v>2191</v>
      </c>
      <c r="R1014" s="208" t="s">
        <v>2192</v>
      </c>
      <c r="S1014" s="208" t="s">
        <v>725</v>
      </c>
      <c r="T1014" s="205"/>
      <c r="U1014" s="205"/>
      <c r="V1014" s="205"/>
      <c r="W1014" s="205"/>
      <c r="X1014" s="205"/>
    </row>
    <row r="1015" spans="1:24" hidden="1" x14ac:dyDescent="0.2">
      <c r="A1015" s="205" t="s">
        <v>4245</v>
      </c>
      <c r="B1015" s="205" t="s">
        <v>4246</v>
      </c>
      <c r="C1015" s="214" t="s">
        <v>725</v>
      </c>
      <c r="D1015" s="209" t="s">
        <v>152</v>
      </c>
      <c r="F1015" s="206">
        <v>112603</v>
      </c>
      <c r="G1015" s="206">
        <v>11260</v>
      </c>
      <c r="H1015" s="206">
        <v>1126</v>
      </c>
      <c r="I1015" s="202">
        <f t="shared" si="15"/>
        <v>102469</v>
      </c>
      <c r="J1015" s="205" t="s">
        <v>935</v>
      </c>
      <c r="K1015" s="205" t="s">
        <v>29</v>
      </c>
      <c r="L1015" s="209" t="s">
        <v>1028</v>
      </c>
      <c r="M1015" s="205" t="s">
        <v>4247</v>
      </c>
      <c r="N1015" s="209" t="s">
        <v>1030</v>
      </c>
      <c r="O1015" s="205" t="s">
        <v>652</v>
      </c>
      <c r="P1015" s="205" t="s">
        <v>652</v>
      </c>
      <c r="Q1015" s="208" t="s">
        <v>852</v>
      </c>
      <c r="R1015" s="208" t="s">
        <v>3330</v>
      </c>
      <c r="S1015" s="208" t="s">
        <v>725</v>
      </c>
      <c r="T1015" s="205"/>
      <c r="U1015" s="205"/>
      <c r="V1015" s="205"/>
      <c r="W1015" s="205"/>
      <c r="X1015" s="205"/>
    </row>
    <row r="1016" spans="1:24" hidden="1" x14ac:dyDescent="0.2">
      <c r="A1016" s="205" t="s">
        <v>4248</v>
      </c>
      <c r="B1016" s="205" t="s">
        <v>4249</v>
      </c>
      <c r="C1016" s="214" t="s">
        <v>725</v>
      </c>
      <c r="D1016" s="209" t="s">
        <v>152</v>
      </c>
      <c r="F1016" s="206">
        <v>56700</v>
      </c>
      <c r="G1016" s="206">
        <v>5670</v>
      </c>
      <c r="H1016" s="206">
        <v>567</v>
      </c>
      <c r="I1016" s="202">
        <f t="shared" si="15"/>
        <v>51597</v>
      </c>
      <c r="J1016" s="205" t="s">
        <v>32</v>
      </c>
      <c r="K1016" s="205" t="s">
        <v>29</v>
      </c>
      <c r="L1016" s="209" t="s">
        <v>1028</v>
      </c>
      <c r="M1016" s="205" t="s">
        <v>4250</v>
      </c>
      <c r="N1016" s="209" t="s">
        <v>1030</v>
      </c>
      <c r="O1016" s="205" t="s">
        <v>652</v>
      </c>
      <c r="P1016" s="205" t="s">
        <v>652</v>
      </c>
      <c r="Q1016" s="208" t="s">
        <v>2191</v>
      </c>
      <c r="R1016" s="208" t="s">
        <v>2192</v>
      </c>
      <c r="S1016" s="208" t="s">
        <v>725</v>
      </c>
      <c r="T1016" s="205"/>
      <c r="U1016" s="205"/>
      <c r="V1016" s="205"/>
      <c r="W1016" s="205"/>
      <c r="X1016" s="205"/>
    </row>
    <row r="1017" spans="1:24" hidden="1" x14ac:dyDescent="0.2">
      <c r="A1017" s="205" t="s">
        <v>64</v>
      </c>
      <c r="B1017" s="205" t="s">
        <v>514</v>
      </c>
      <c r="C1017" s="214" t="s">
        <v>725</v>
      </c>
      <c r="D1017" s="209" t="s">
        <v>152</v>
      </c>
      <c r="F1017" s="206">
        <v>64237</v>
      </c>
      <c r="G1017" s="206">
        <v>6424</v>
      </c>
      <c r="H1017" s="206">
        <v>642</v>
      </c>
      <c r="I1017" s="202">
        <f t="shared" si="15"/>
        <v>58455</v>
      </c>
      <c r="J1017" s="205" t="s">
        <v>31</v>
      </c>
      <c r="K1017" s="205" t="s">
        <v>29</v>
      </c>
      <c r="L1017" s="209" t="s">
        <v>1042</v>
      </c>
      <c r="M1017" s="205" t="s">
        <v>4251</v>
      </c>
      <c r="N1017" s="209" t="s">
        <v>1030</v>
      </c>
      <c r="O1017" s="205" t="s">
        <v>652</v>
      </c>
      <c r="P1017" s="205" t="s">
        <v>652</v>
      </c>
      <c r="Q1017" s="208" t="s">
        <v>653</v>
      </c>
      <c r="R1017" s="208" t="s">
        <v>654</v>
      </c>
      <c r="S1017" s="208" t="s">
        <v>725</v>
      </c>
      <c r="T1017" s="205"/>
      <c r="U1017" s="205"/>
      <c r="V1017" s="205"/>
      <c r="W1017" s="205"/>
      <c r="X1017" s="205"/>
    </row>
    <row r="1018" spans="1:24" hidden="1" x14ac:dyDescent="0.2">
      <c r="A1018" s="205" t="s">
        <v>45</v>
      </c>
      <c r="B1018" s="205" t="s">
        <v>527</v>
      </c>
      <c r="C1018" s="214" t="s">
        <v>725</v>
      </c>
      <c r="D1018" s="209" t="s">
        <v>152</v>
      </c>
      <c r="F1018" s="206">
        <v>39797</v>
      </c>
      <c r="G1018" s="206">
        <v>3980</v>
      </c>
      <c r="H1018" s="206">
        <v>398</v>
      </c>
      <c r="I1018" s="202">
        <f t="shared" si="15"/>
        <v>36215</v>
      </c>
      <c r="J1018" s="205" t="s">
        <v>28</v>
      </c>
      <c r="K1018" s="205" t="s">
        <v>29</v>
      </c>
      <c r="L1018" s="209" t="s">
        <v>1042</v>
      </c>
      <c r="M1018" s="205" t="s">
        <v>4252</v>
      </c>
      <c r="N1018" s="209" t="s">
        <v>1030</v>
      </c>
      <c r="O1018" s="205" t="s">
        <v>652</v>
      </c>
      <c r="P1018" s="205" t="s">
        <v>652</v>
      </c>
      <c r="Q1018" s="208" t="s">
        <v>718</v>
      </c>
      <c r="R1018" s="208" t="s">
        <v>719</v>
      </c>
      <c r="S1018" s="208" t="s">
        <v>725</v>
      </c>
      <c r="T1018" s="205"/>
      <c r="U1018" s="205"/>
      <c r="V1018" s="205"/>
      <c r="W1018" s="205"/>
      <c r="X1018" s="205"/>
    </row>
    <row r="1019" spans="1:24" hidden="1" x14ac:dyDescent="0.2">
      <c r="A1019" s="205" t="s">
        <v>4253</v>
      </c>
      <c r="B1019" s="205" t="s">
        <v>4254</v>
      </c>
      <c r="C1019" s="214" t="s">
        <v>725</v>
      </c>
      <c r="D1019" s="205" t="s">
        <v>152</v>
      </c>
      <c r="E1019" s="205"/>
      <c r="F1019" s="206">
        <v>104734</v>
      </c>
      <c r="G1019" s="206">
        <v>10473</v>
      </c>
      <c r="H1019" s="206">
        <v>1047</v>
      </c>
      <c r="I1019" s="202">
        <f t="shared" si="15"/>
        <v>95308</v>
      </c>
      <c r="J1019" s="205" t="s">
        <v>4255</v>
      </c>
      <c r="K1019" s="205" t="s">
        <v>29</v>
      </c>
      <c r="L1019" s="209" t="s">
        <v>1028</v>
      </c>
      <c r="M1019" s="205" t="s">
        <v>4256</v>
      </c>
      <c r="N1019" s="209" t="s">
        <v>1030</v>
      </c>
      <c r="O1019" s="205" t="s">
        <v>652</v>
      </c>
      <c r="P1019" s="205" t="s">
        <v>652</v>
      </c>
      <c r="Q1019" s="208" t="s">
        <v>3254</v>
      </c>
      <c r="R1019" s="208" t="s">
        <v>3285</v>
      </c>
      <c r="S1019" s="208" t="s">
        <v>725</v>
      </c>
      <c r="T1019" s="205"/>
      <c r="U1019" s="205"/>
      <c r="V1019" s="205"/>
      <c r="W1019" s="205"/>
      <c r="X1019" s="205"/>
    </row>
    <row r="1020" spans="1:24" hidden="1" x14ac:dyDescent="0.2">
      <c r="A1020" s="205" t="s">
        <v>187</v>
      </c>
      <c r="B1020" s="205" t="s">
        <v>961</v>
      </c>
      <c r="C1020" s="214" t="s">
        <v>725</v>
      </c>
      <c r="D1020" s="209" t="s">
        <v>152</v>
      </c>
      <c r="F1020" s="206">
        <v>14979</v>
      </c>
      <c r="G1020" s="206">
        <v>1498</v>
      </c>
      <c r="H1020" s="206">
        <v>150</v>
      </c>
      <c r="I1020" s="202">
        <f t="shared" si="15"/>
        <v>13631</v>
      </c>
      <c r="J1020" s="205" t="s">
        <v>188</v>
      </c>
      <c r="K1020" s="205" t="s">
        <v>29</v>
      </c>
      <c r="L1020" s="209" t="s">
        <v>1042</v>
      </c>
      <c r="M1020" s="205" t="s">
        <v>4257</v>
      </c>
      <c r="N1020" s="209" t="s">
        <v>1030</v>
      </c>
      <c r="O1020" s="205" t="s">
        <v>652</v>
      </c>
      <c r="P1020" s="205" t="s">
        <v>652</v>
      </c>
      <c r="Q1020" s="208" t="s">
        <v>691</v>
      </c>
      <c r="R1020" s="208" t="s">
        <v>960</v>
      </c>
      <c r="S1020" s="208" t="s">
        <v>725</v>
      </c>
      <c r="T1020" s="205"/>
      <c r="U1020" s="205"/>
      <c r="V1020" s="205"/>
      <c r="W1020" s="205"/>
      <c r="X1020" s="205"/>
    </row>
    <row r="1021" spans="1:24" hidden="1" x14ac:dyDescent="0.2">
      <c r="A1021" s="205" t="s">
        <v>187</v>
      </c>
      <c r="B1021" s="205" t="s">
        <v>961</v>
      </c>
      <c r="C1021" s="214" t="s">
        <v>725</v>
      </c>
      <c r="D1021" s="209" t="s">
        <v>152</v>
      </c>
      <c r="F1021" s="206">
        <v>17334</v>
      </c>
      <c r="G1021" s="206">
        <v>1733</v>
      </c>
      <c r="H1021" s="206">
        <v>173</v>
      </c>
      <c r="I1021" s="202">
        <f t="shared" si="15"/>
        <v>15774</v>
      </c>
      <c r="J1021" s="205" t="s">
        <v>188</v>
      </c>
      <c r="K1021" s="205" t="s">
        <v>29</v>
      </c>
      <c r="L1021" s="209" t="s">
        <v>1141</v>
      </c>
      <c r="M1021" s="205" t="s">
        <v>4258</v>
      </c>
      <c r="N1021" s="209" t="s">
        <v>1030</v>
      </c>
      <c r="O1021" s="205" t="s">
        <v>652</v>
      </c>
      <c r="P1021" s="205" t="s">
        <v>652</v>
      </c>
      <c r="Q1021" s="208" t="s">
        <v>691</v>
      </c>
      <c r="R1021" s="208" t="s">
        <v>960</v>
      </c>
      <c r="S1021" s="208" t="s">
        <v>725</v>
      </c>
      <c r="T1021" s="205"/>
      <c r="U1021" s="205"/>
      <c r="V1021" s="205"/>
      <c r="W1021" s="205"/>
      <c r="X1021" s="205"/>
    </row>
    <row r="1022" spans="1:24" hidden="1" x14ac:dyDescent="0.2">
      <c r="A1022" s="205" t="s">
        <v>4259</v>
      </c>
      <c r="B1022" s="205" t="s">
        <v>4260</v>
      </c>
      <c r="C1022" s="214" t="s">
        <v>725</v>
      </c>
      <c r="D1022" s="209" t="s">
        <v>152</v>
      </c>
      <c r="F1022" s="206">
        <v>104734</v>
      </c>
      <c r="G1022" s="206">
        <v>10473</v>
      </c>
      <c r="H1022" s="206">
        <v>1047</v>
      </c>
      <c r="I1022" s="202">
        <f t="shared" si="15"/>
        <v>95308</v>
      </c>
      <c r="J1022" s="205" t="s">
        <v>4255</v>
      </c>
      <c r="K1022" s="205" t="s">
        <v>29</v>
      </c>
      <c r="L1022" s="209" t="s">
        <v>1028</v>
      </c>
      <c r="M1022" s="205" t="s">
        <v>4261</v>
      </c>
      <c r="N1022" s="209" t="s">
        <v>1030</v>
      </c>
      <c r="O1022" s="205" t="s">
        <v>652</v>
      </c>
      <c r="P1022" s="205" t="s">
        <v>652</v>
      </c>
      <c r="Q1022" s="208" t="s">
        <v>3254</v>
      </c>
      <c r="R1022" s="208" t="s">
        <v>3285</v>
      </c>
      <c r="S1022" s="208" t="s">
        <v>725</v>
      </c>
      <c r="T1022" s="205"/>
      <c r="U1022" s="205"/>
      <c r="V1022" s="205"/>
      <c r="W1022" s="205"/>
      <c r="X1022" s="205"/>
    </row>
    <row r="1023" spans="1:24" hidden="1" x14ac:dyDescent="0.2">
      <c r="A1023" s="205" t="s">
        <v>4065</v>
      </c>
      <c r="B1023" s="205" t="s">
        <v>4066</v>
      </c>
      <c r="C1023" s="214" t="s">
        <v>725</v>
      </c>
      <c r="D1023" s="205" t="s">
        <v>166</v>
      </c>
      <c r="E1023" s="205"/>
      <c r="F1023" s="206">
        <v>-27534</v>
      </c>
      <c r="G1023" s="206">
        <v>-2753</v>
      </c>
      <c r="H1023" s="206">
        <v>-275</v>
      </c>
      <c r="I1023" s="202">
        <f t="shared" si="15"/>
        <v>-25056</v>
      </c>
      <c r="J1023" s="205" t="s">
        <v>715</v>
      </c>
      <c r="K1023" s="205" t="s">
        <v>29</v>
      </c>
      <c r="L1023" s="205" t="s">
        <v>1058</v>
      </c>
      <c r="M1023" s="205" t="s">
        <v>4262</v>
      </c>
      <c r="N1023" s="209" t="s">
        <v>1030</v>
      </c>
      <c r="O1023" s="205" t="s">
        <v>652</v>
      </c>
      <c r="P1023" s="205" t="s">
        <v>652</v>
      </c>
      <c r="Q1023" s="208" t="s">
        <v>1534</v>
      </c>
      <c r="R1023" s="208" t="s">
        <v>3748</v>
      </c>
      <c r="S1023" s="208" t="s">
        <v>725</v>
      </c>
      <c r="T1023" s="205"/>
      <c r="U1023" s="205"/>
      <c r="V1023" s="205"/>
      <c r="W1023" s="205"/>
      <c r="X1023" s="205"/>
    </row>
    <row r="1024" spans="1:24" hidden="1" x14ac:dyDescent="0.2">
      <c r="A1024" s="205" t="s">
        <v>4263</v>
      </c>
      <c r="B1024" s="205" t="s">
        <v>4264</v>
      </c>
      <c r="C1024" s="214" t="s">
        <v>725</v>
      </c>
      <c r="D1024" s="205" t="s">
        <v>152</v>
      </c>
      <c r="E1024" s="205"/>
      <c r="F1024" s="206">
        <v>35192</v>
      </c>
      <c r="G1024" s="206">
        <v>3519</v>
      </c>
      <c r="H1024" s="206">
        <v>352</v>
      </c>
      <c r="I1024" s="202">
        <f t="shared" si="15"/>
        <v>32025</v>
      </c>
      <c r="J1024" s="205" t="s">
        <v>82</v>
      </c>
      <c r="K1024" s="205" t="s">
        <v>29</v>
      </c>
      <c r="L1024" s="205" t="s">
        <v>1028</v>
      </c>
      <c r="M1024" s="205" t="s">
        <v>4265</v>
      </c>
      <c r="N1024" s="209" t="s">
        <v>1030</v>
      </c>
      <c r="O1024" s="205" t="s">
        <v>652</v>
      </c>
      <c r="P1024" s="205" t="s">
        <v>652</v>
      </c>
      <c r="Q1024" s="208" t="s">
        <v>2191</v>
      </c>
      <c r="R1024" s="208" t="s">
        <v>2192</v>
      </c>
      <c r="S1024" s="208" t="s">
        <v>725</v>
      </c>
      <c r="T1024" s="205"/>
      <c r="U1024" s="205"/>
      <c r="V1024" s="205"/>
      <c r="W1024" s="205"/>
      <c r="X1024" s="205"/>
    </row>
    <row r="1025" spans="1:24" hidden="1" x14ac:dyDescent="0.2">
      <c r="A1025" s="205" t="s">
        <v>4266</v>
      </c>
      <c r="B1025" s="205" t="s">
        <v>4267</v>
      </c>
      <c r="C1025" s="214" t="s">
        <v>725</v>
      </c>
      <c r="D1025" s="205" t="s">
        <v>152</v>
      </c>
      <c r="E1025" s="205"/>
      <c r="F1025" s="206">
        <v>75696</v>
      </c>
      <c r="G1025" s="206">
        <v>7570</v>
      </c>
      <c r="H1025" s="206">
        <v>757</v>
      </c>
      <c r="I1025" s="202">
        <f t="shared" si="15"/>
        <v>68883</v>
      </c>
      <c r="J1025" s="205" t="s">
        <v>4268</v>
      </c>
      <c r="K1025" s="205" t="s">
        <v>29</v>
      </c>
      <c r="L1025" s="205" t="s">
        <v>1028</v>
      </c>
      <c r="M1025" s="205" t="s">
        <v>4269</v>
      </c>
      <c r="N1025" s="209" t="s">
        <v>1030</v>
      </c>
      <c r="O1025" s="205" t="s">
        <v>652</v>
      </c>
      <c r="P1025" s="205" t="s">
        <v>652</v>
      </c>
      <c r="Q1025" s="208" t="s">
        <v>3279</v>
      </c>
      <c r="R1025" s="208" t="s">
        <v>3280</v>
      </c>
      <c r="S1025" s="208" t="s">
        <v>725</v>
      </c>
      <c r="T1025" s="205"/>
      <c r="U1025" s="205"/>
      <c r="V1025" s="205"/>
      <c r="W1025" s="205"/>
      <c r="X1025" s="205"/>
    </row>
    <row r="1026" spans="1:24" hidden="1" x14ac:dyDescent="0.2">
      <c r="A1026" s="205" t="s">
        <v>4270</v>
      </c>
      <c r="B1026" s="205" t="s">
        <v>4271</v>
      </c>
      <c r="C1026" s="214" t="s">
        <v>725</v>
      </c>
      <c r="D1026" s="205" t="s">
        <v>152</v>
      </c>
      <c r="E1026" s="205"/>
      <c r="F1026" s="206">
        <v>51703</v>
      </c>
      <c r="G1026" s="206">
        <v>5170</v>
      </c>
      <c r="H1026" s="206">
        <v>517</v>
      </c>
      <c r="I1026" s="202">
        <f t="shared" si="15"/>
        <v>47050</v>
      </c>
      <c r="J1026" s="205" t="s">
        <v>4272</v>
      </c>
      <c r="K1026" s="205" t="s">
        <v>29</v>
      </c>
      <c r="L1026" s="205" t="s">
        <v>1028</v>
      </c>
      <c r="M1026" s="205" t="s">
        <v>4273</v>
      </c>
      <c r="N1026" s="209" t="s">
        <v>1030</v>
      </c>
      <c r="O1026" s="205" t="s">
        <v>652</v>
      </c>
      <c r="P1026" s="205" t="s">
        <v>652</v>
      </c>
      <c r="Q1026" s="208" t="s">
        <v>1534</v>
      </c>
      <c r="R1026" s="208" t="s">
        <v>3748</v>
      </c>
      <c r="S1026" s="208" t="s">
        <v>725</v>
      </c>
      <c r="T1026" s="205"/>
      <c r="U1026" s="205"/>
      <c r="V1026" s="205"/>
      <c r="W1026" s="205"/>
      <c r="X1026" s="205"/>
    </row>
    <row r="1027" spans="1:24" hidden="1" x14ac:dyDescent="0.2">
      <c r="A1027" s="205" t="s">
        <v>4274</v>
      </c>
      <c r="B1027" s="205" t="s">
        <v>4275</v>
      </c>
      <c r="C1027" s="214" t="s">
        <v>725</v>
      </c>
      <c r="D1027" s="205" t="s">
        <v>152</v>
      </c>
      <c r="E1027" s="205"/>
      <c r="F1027" s="206">
        <v>38660</v>
      </c>
      <c r="G1027" s="206">
        <v>3866</v>
      </c>
      <c r="H1027" s="206">
        <v>387</v>
      </c>
      <c r="I1027" s="202">
        <f t="shared" ref="I1027:I1079" si="16">F1027+H1027-G1027</f>
        <v>35181</v>
      </c>
      <c r="J1027" s="205" t="s">
        <v>46</v>
      </c>
      <c r="K1027" s="205" t="s">
        <v>29</v>
      </c>
      <c r="L1027" s="205" t="s">
        <v>1058</v>
      </c>
      <c r="M1027" s="205" t="s">
        <v>4276</v>
      </c>
      <c r="N1027" s="209" t="s">
        <v>1030</v>
      </c>
      <c r="O1027" s="205" t="s">
        <v>652</v>
      </c>
      <c r="P1027" s="205" t="s">
        <v>652</v>
      </c>
      <c r="Q1027" s="208" t="s">
        <v>2394</v>
      </c>
      <c r="R1027" s="208" t="s">
        <v>2395</v>
      </c>
      <c r="S1027" s="208" t="s">
        <v>725</v>
      </c>
      <c r="T1027" s="205"/>
      <c r="U1027" s="205"/>
      <c r="V1027" s="205"/>
      <c r="W1027" s="205"/>
      <c r="X1027" s="205"/>
    </row>
    <row r="1028" spans="1:24" hidden="1" x14ac:dyDescent="0.2">
      <c r="A1028" s="205" t="s">
        <v>4277</v>
      </c>
      <c r="B1028" s="205" t="s">
        <v>4278</v>
      </c>
      <c r="C1028" s="214" t="s">
        <v>725</v>
      </c>
      <c r="D1028" s="205" t="s">
        <v>152</v>
      </c>
      <c r="E1028" s="205"/>
      <c r="F1028" s="206">
        <v>38660</v>
      </c>
      <c r="G1028" s="206">
        <v>3866</v>
      </c>
      <c r="H1028" s="206">
        <v>387</v>
      </c>
      <c r="I1028" s="202">
        <f t="shared" si="16"/>
        <v>35181</v>
      </c>
      <c r="J1028" s="205" t="s">
        <v>4272</v>
      </c>
      <c r="K1028" s="205" t="s">
        <v>29</v>
      </c>
      <c r="L1028" s="205" t="s">
        <v>1028</v>
      </c>
      <c r="M1028" s="205" t="s">
        <v>4279</v>
      </c>
      <c r="N1028" s="209" t="s">
        <v>1030</v>
      </c>
      <c r="O1028" s="205" t="s">
        <v>652</v>
      </c>
      <c r="P1028" s="205" t="s">
        <v>652</v>
      </c>
      <c r="Q1028" s="208" t="s">
        <v>1534</v>
      </c>
      <c r="R1028" s="208" t="s">
        <v>3748</v>
      </c>
      <c r="S1028" s="208" t="s">
        <v>725</v>
      </c>
      <c r="T1028" s="205"/>
      <c r="U1028" s="205"/>
      <c r="V1028" s="205"/>
      <c r="W1028" s="205"/>
      <c r="X1028" s="205"/>
    </row>
    <row r="1029" spans="1:24" hidden="1" x14ac:dyDescent="0.2">
      <c r="A1029" s="205" t="s">
        <v>4280</v>
      </c>
      <c r="B1029" s="205" t="s">
        <v>4281</v>
      </c>
      <c r="C1029" s="214" t="s">
        <v>725</v>
      </c>
      <c r="D1029" s="205" t="s">
        <v>152</v>
      </c>
      <c r="E1029" s="205"/>
      <c r="F1029" s="206">
        <v>51703</v>
      </c>
      <c r="G1029" s="206">
        <v>5170</v>
      </c>
      <c r="H1029" s="206">
        <v>517</v>
      </c>
      <c r="I1029" s="202">
        <f t="shared" si="16"/>
        <v>47050</v>
      </c>
      <c r="J1029" s="205" t="s">
        <v>4272</v>
      </c>
      <c r="K1029" s="205" t="s">
        <v>29</v>
      </c>
      <c r="L1029" s="205" t="s">
        <v>1028</v>
      </c>
      <c r="M1029" s="205" t="s">
        <v>4282</v>
      </c>
      <c r="N1029" s="209" t="s">
        <v>1030</v>
      </c>
      <c r="O1029" s="205" t="s">
        <v>652</v>
      </c>
      <c r="P1029" s="205" t="s">
        <v>652</v>
      </c>
      <c r="Q1029" s="208" t="s">
        <v>1534</v>
      </c>
      <c r="R1029" s="208" t="s">
        <v>3748</v>
      </c>
      <c r="S1029" s="208" t="s">
        <v>725</v>
      </c>
      <c r="T1029" s="205"/>
      <c r="U1029" s="205"/>
      <c r="V1029" s="205"/>
      <c r="W1029" s="205"/>
      <c r="X1029" s="205"/>
    </row>
    <row r="1030" spans="1:24" hidden="1" x14ac:dyDescent="0.2">
      <c r="A1030" s="205" t="s">
        <v>4283</v>
      </c>
      <c r="B1030" s="205" t="s">
        <v>4284</v>
      </c>
      <c r="C1030" s="214" t="s">
        <v>725</v>
      </c>
      <c r="D1030" s="205" t="s">
        <v>152</v>
      </c>
      <c r="E1030" s="205"/>
      <c r="F1030" s="206">
        <v>38660</v>
      </c>
      <c r="G1030" s="206">
        <v>3866</v>
      </c>
      <c r="H1030" s="206">
        <v>387</v>
      </c>
      <c r="I1030" s="202">
        <f t="shared" si="16"/>
        <v>35181</v>
      </c>
      <c r="J1030" s="205" t="s">
        <v>46</v>
      </c>
      <c r="K1030" s="205" t="s">
        <v>29</v>
      </c>
      <c r="L1030" s="205" t="s">
        <v>1058</v>
      </c>
      <c r="M1030" s="205" t="s">
        <v>4285</v>
      </c>
      <c r="N1030" s="209" t="s">
        <v>1030</v>
      </c>
      <c r="O1030" s="205" t="s">
        <v>652</v>
      </c>
      <c r="P1030" s="205" t="s">
        <v>652</v>
      </c>
      <c r="Q1030" s="208" t="s">
        <v>2394</v>
      </c>
      <c r="R1030" s="208" t="s">
        <v>2395</v>
      </c>
      <c r="S1030" s="208" t="s">
        <v>725</v>
      </c>
      <c r="T1030" s="205"/>
      <c r="U1030" s="205"/>
      <c r="V1030" s="205"/>
      <c r="W1030" s="205"/>
      <c r="X1030" s="205"/>
    </row>
    <row r="1031" spans="1:24" hidden="1" x14ac:dyDescent="0.2">
      <c r="A1031" s="205" t="s">
        <v>4286</v>
      </c>
      <c r="B1031" s="205" t="s">
        <v>4287</v>
      </c>
      <c r="C1031" s="214" t="s">
        <v>725</v>
      </c>
      <c r="D1031" s="205" t="s">
        <v>152</v>
      </c>
      <c r="E1031" s="205"/>
      <c r="F1031" s="206">
        <v>30055</v>
      </c>
      <c r="G1031" s="206">
        <v>3006</v>
      </c>
      <c r="H1031" s="206">
        <v>301</v>
      </c>
      <c r="I1031" s="202">
        <f t="shared" si="16"/>
        <v>27350</v>
      </c>
      <c r="J1031" s="205" t="s">
        <v>906</v>
      </c>
      <c r="K1031" s="205" t="s">
        <v>29</v>
      </c>
      <c r="L1031" s="205" t="s">
        <v>1028</v>
      </c>
      <c r="M1031" s="205" t="s">
        <v>4288</v>
      </c>
      <c r="N1031" s="209" t="s">
        <v>4289</v>
      </c>
      <c r="O1031" s="205" t="s">
        <v>652</v>
      </c>
      <c r="P1031" s="205" t="s">
        <v>652</v>
      </c>
      <c r="Q1031" s="208" t="s">
        <v>1407</v>
      </c>
      <c r="R1031" s="208" t="s">
        <v>1408</v>
      </c>
      <c r="S1031" s="216" t="s">
        <v>725</v>
      </c>
      <c r="T1031" s="205"/>
      <c r="U1031" s="205"/>
      <c r="V1031" s="205"/>
      <c r="W1031" s="205"/>
      <c r="X1031" s="205"/>
    </row>
    <row r="1032" spans="1:24" hidden="1" x14ac:dyDescent="0.2">
      <c r="A1032" s="205" t="s">
        <v>93</v>
      </c>
      <c r="B1032" s="205" t="s">
        <v>4290</v>
      </c>
      <c r="C1032" s="214" t="s">
        <v>725</v>
      </c>
      <c r="D1032" s="205" t="s">
        <v>152</v>
      </c>
      <c r="E1032" s="205"/>
      <c r="F1032" s="206">
        <v>280870</v>
      </c>
      <c r="G1032" s="206">
        <v>28087</v>
      </c>
      <c r="H1032" s="206">
        <v>2809</v>
      </c>
      <c r="I1032" s="202">
        <f t="shared" si="16"/>
        <v>255592</v>
      </c>
      <c r="J1032" s="205" t="s">
        <v>93</v>
      </c>
      <c r="K1032" s="205" t="s">
        <v>29</v>
      </c>
      <c r="L1032" s="205" t="s">
        <v>1028</v>
      </c>
      <c r="M1032" s="205" t="s">
        <v>4291</v>
      </c>
      <c r="N1032" s="209" t="s">
        <v>1030</v>
      </c>
      <c r="O1032" s="205" t="s">
        <v>652</v>
      </c>
      <c r="P1032" s="205" t="s">
        <v>652</v>
      </c>
      <c r="Q1032" s="208" t="s">
        <v>3226</v>
      </c>
      <c r="R1032" s="208" t="s">
        <v>3375</v>
      </c>
      <c r="S1032" s="208" t="s">
        <v>725</v>
      </c>
      <c r="T1032" s="205"/>
      <c r="U1032" s="205"/>
      <c r="V1032" s="205"/>
      <c r="W1032" s="205"/>
      <c r="X1032" s="205"/>
    </row>
    <row r="1033" spans="1:24" hidden="1" x14ac:dyDescent="0.2">
      <c r="A1033" s="205" t="s">
        <v>244</v>
      </c>
      <c r="B1033" s="205" t="s">
        <v>4292</v>
      </c>
      <c r="C1033" s="214" t="s">
        <v>725</v>
      </c>
      <c r="D1033" s="209" t="s">
        <v>152</v>
      </c>
      <c r="F1033" s="206">
        <v>96732</v>
      </c>
      <c r="G1033" s="206">
        <v>9673</v>
      </c>
      <c r="H1033" s="206">
        <v>484</v>
      </c>
      <c r="I1033" s="202">
        <f t="shared" si="16"/>
        <v>87543</v>
      </c>
      <c r="J1033" s="205" t="s">
        <v>38</v>
      </c>
      <c r="K1033" s="205" t="s">
        <v>23</v>
      </c>
      <c r="L1033" s="209" t="s">
        <v>1042</v>
      </c>
      <c r="M1033" s="205" t="s">
        <v>4293</v>
      </c>
      <c r="N1033" s="209" t="s">
        <v>1030</v>
      </c>
      <c r="O1033" s="205" t="s">
        <v>652</v>
      </c>
      <c r="P1033" s="205" t="s">
        <v>652</v>
      </c>
      <c r="Q1033" s="208" t="s">
        <v>664</v>
      </c>
      <c r="R1033" s="208" t="s">
        <v>665</v>
      </c>
      <c r="S1033" s="208" t="s">
        <v>725</v>
      </c>
      <c r="T1033" s="205"/>
      <c r="U1033" s="205"/>
      <c r="V1033" s="205"/>
      <c r="W1033" s="205"/>
      <c r="X1033" s="205"/>
    </row>
    <row r="1034" spans="1:24" hidden="1" x14ac:dyDescent="0.2">
      <c r="A1034" s="205" t="s">
        <v>244</v>
      </c>
      <c r="B1034" s="205" t="s">
        <v>4294</v>
      </c>
      <c r="C1034" s="214" t="s">
        <v>725</v>
      </c>
      <c r="D1034" s="205" t="s">
        <v>152</v>
      </c>
      <c r="E1034" s="205"/>
      <c r="F1034" s="206">
        <v>51793</v>
      </c>
      <c r="G1034" s="206">
        <v>5179</v>
      </c>
      <c r="H1034" s="206">
        <v>259</v>
      </c>
      <c r="I1034" s="202">
        <f t="shared" si="16"/>
        <v>46873</v>
      </c>
      <c r="J1034" s="205" t="s">
        <v>38</v>
      </c>
      <c r="K1034" s="205" t="s">
        <v>23</v>
      </c>
      <c r="L1034" s="209" t="s">
        <v>1028</v>
      </c>
      <c r="M1034" s="205" t="s">
        <v>4295</v>
      </c>
      <c r="N1034" s="209" t="s">
        <v>1030</v>
      </c>
      <c r="O1034" s="205" t="s">
        <v>652</v>
      </c>
      <c r="P1034" s="205" t="s">
        <v>652</v>
      </c>
      <c r="Q1034" s="208" t="s">
        <v>651</v>
      </c>
      <c r="R1034" s="208" t="s">
        <v>673</v>
      </c>
      <c r="S1034" s="208" t="s">
        <v>725</v>
      </c>
      <c r="T1034" s="205"/>
      <c r="U1034" s="205"/>
      <c r="V1034" s="205"/>
      <c r="W1034" s="205"/>
      <c r="X1034" s="205"/>
    </row>
    <row r="1035" spans="1:24" hidden="1" x14ac:dyDescent="0.2">
      <c r="A1035" s="205" t="s">
        <v>3241</v>
      </c>
      <c r="B1035" s="205" t="s">
        <v>3242</v>
      </c>
      <c r="C1035" s="214" t="s">
        <v>725</v>
      </c>
      <c r="D1035" s="209" t="s">
        <v>166</v>
      </c>
      <c r="F1035" s="206">
        <v>-22776</v>
      </c>
      <c r="G1035" s="206">
        <v>-2278</v>
      </c>
      <c r="H1035" s="206">
        <v>-114</v>
      </c>
      <c r="I1035" s="202">
        <f t="shared" si="16"/>
        <v>-20612</v>
      </c>
      <c r="J1035" s="205" t="s">
        <v>52</v>
      </c>
      <c r="K1035" s="205" t="s">
        <v>23</v>
      </c>
      <c r="L1035" s="209" t="s">
        <v>1068</v>
      </c>
      <c r="M1035" s="205" t="s">
        <v>4296</v>
      </c>
      <c r="N1035" s="209" t="s">
        <v>1030</v>
      </c>
      <c r="O1035" s="205" t="s">
        <v>1190</v>
      </c>
      <c r="P1035" s="205" t="s">
        <v>1191</v>
      </c>
      <c r="Q1035" s="208" t="s">
        <v>846</v>
      </c>
      <c r="R1035" s="208" t="s">
        <v>2922</v>
      </c>
      <c r="S1035" s="208" t="s">
        <v>725</v>
      </c>
      <c r="T1035" s="205"/>
      <c r="U1035" s="205"/>
      <c r="V1035" s="205"/>
      <c r="W1035" s="205"/>
      <c r="X1035" s="205"/>
    </row>
    <row r="1036" spans="1:24" hidden="1" x14ac:dyDescent="0.2">
      <c r="A1036" s="205" t="s">
        <v>4297</v>
      </c>
      <c r="B1036" s="205" t="s">
        <v>4298</v>
      </c>
      <c r="C1036" s="214" t="s">
        <v>725</v>
      </c>
      <c r="D1036" s="209" t="s">
        <v>152</v>
      </c>
      <c r="F1036" s="206">
        <v>39293</v>
      </c>
      <c r="G1036" s="206">
        <v>3929</v>
      </c>
      <c r="H1036" s="206">
        <v>196</v>
      </c>
      <c r="I1036" s="202">
        <f t="shared" si="16"/>
        <v>35560</v>
      </c>
      <c r="J1036" s="205" t="s">
        <v>101</v>
      </c>
      <c r="K1036" s="205" t="s">
        <v>23</v>
      </c>
      <c r="L1036" s="209" t="s">
        <v>1028</v>
      </c>
      <c r="M1036" s="205" t="s">
        <v>4299</v>
      </c>
      <c r="N1036" s="209" t="s">
        <v>1030</v>
      </c>
      <c r="O1036" s="205" t="s">
        <v>652</v>
      </c>
      <c r="P1036" s="205" t="s">
        <v>652</v>
      </c>
      <c r="Q1036" s="208" t="s">
        <v>776</v>
      </c>
      <c r="R1036" s="208" t="s">
        <v>2788</v>
      </c>
      <c r="S1036" s="208" t="s">
        <v>725</v>
      </c>
      <c r="T1036" s="205"/>
      <c r="U1036" s="205"/>
      <c r="V1036" s="205"/>
      <c r="W1036" s="205"/>
      <c r="X1036" s="205"/>
    </row>
    <row r="1037" spans="1:24" hidden="1" x14ac:dyDescent="0.2">
      <c r="A1037" s="205" t="s">
        <v>247</v>
      </c>
      <c r="B1037" s="205" t="s">
        <v>4300</v>
      </c>
      <c r="C1037" s="214" t="s">
        <v>725</v>
      </c>
      <c r="D1037" s="209" t="s">
        <v>152</v>
      </c>
      <c r="F1037" s="206">
        <v>69985</v>
      </c>
      <c r="G1037" s="206">
        <v>6999</v>
      </c>
      <c r="H1037" s="206">
        <v>350</v>
      </c>
      <c r="I1037" s="202">
        <f t="shared" si="16"/>
        <v>63336</v>
      </c>
      <c r="J1037" s="205" t="s">
        <v>489</v>
      </c>
      <c r="K1037" s="205" t="s">
        <v>23</v>
      </c>
      <c r="L1037" s="209" t="s">
        <v>1058</v>
      </c>
      <c r="M1037" s="205" t="s">
        <v>4301</v>
      </c>
      <c r="N1037" s="209" t="s">
        <v>1030</v>
      </c>
      <c r="O1037" s="205" t="s">
        <v>652</v>
      </c>
      <c r="P1037" s="205" t="s">
        <v>652</v>
      </c>
      <c r="Q1037" s="208" t="s">
        <v>987</v>
      </c>
      <c r="R1037" s="208" t="s">
        <v>988</v>
      </c>
      <c r="S1037" s="208" t="s">
        <v>725</v>
      </c>
      <c r="T1037" s="205"/>
      <c r="U1037" s="205"/>
      <c r="V1037" s="205"/>
      <c r="W1037" s="205"/>
      <c r="X1037" s="205"/>
    </row>
    <row r="1038" spans="1:24" hidden="1" x14ac:dyDescent="0.2">
      <c r="A1038" s="205" t="s">
        <v>544</v>
      </c>
      <c r="B1038" s="205" t="s">
        <v>545</v>
      </c>
      <c r="C1038" s="214" t="s">
        <v>725</v>
      </c>
      <c r="D1038" s="209" t="s">
        <v>152</v>
      </c>
      <c r="F1038" s="206">
        <v>59470</v>
      </c>
      <c r="G1038" s="206">
        <v>5947</v>
      </c>
      <c r="H1038" s="206">
        <v>297</v>
      </c>
      <c r="I1038" s="202">
        <f t="shared" si="16"/>
        <v>53820</v>
      </c>
      <c r="J1038" s="205" t="s">
        <v>44</v>
      </c>
      <c r="K1038" s="205" t="s">
        <v>23</v>
      </c>
      <c r="L1038" s="209" t="s">
        <v>1042</v>
      </c>
      <c r="M1038" s="205" t="s">
        <v>4302</v>
      </c>
      <c r="N1038" s="209" t="s">
        <v>1030</v>
      </c>
      <c r="O1038" s="205" t="s">
        <v>1382</v>
      </c>
      <c r="P1038" s="205" t="s">
        <v>1382</v>
      </c>
      <c r="Q1038" s="208" t="s">
        <v>699</v>
      </c>
      <c r="R1038" s="208" t="s">
        <v>700</v>
      </c>
      <c r="S1038" s="208" t="s">
        <v>725</v>
      </c>
      <c r="T1038" s="205"/>
      <c r="U1038" s="205"/>
      <c r="V1038" s="205"/>
      <c r="W1038" s="205"/>
      <c r="X1038" s="205"/>
    </row>
    <row r="1039" spans="1:24" hidden="1" x14ac:dyDescent="0.2">
      <c r="A1039" s="205" t="s">
        <v>3875</v>
      </c>
      <c r="B1039" s="205" t="s">
        <v>4303</v>
      </c>
      <c r="C1039" s="214" t="s">
        <v>725</v>
      </c>
      <c r="D1039" s="205" t="s">
        <v>152</v>
      </c>
      <c r="E1039" s="205"/>
      <c r="F1039" s="206">
        <v>420987</v>
      </c>
      <c r="G1039" s="206">
        <v>42099</v>
      </c>
      <c r="H1039" s="206">
        <v>2105</v>
      </c>
      <c r="I1039" s="202">
        <f t="shared" si="16"/>
        <v>380993</v>
      </c>
      <c r="J1039" s="205" t="s">
        <v>50</v>
      </c>
      <c r="K1039" s="205" t="s">
        <v>23</v>
      </c>
      <c r="L1039" s="205" t="s">
        <v>1058</v>
      </c>
      <c r="M1039" s="205" t="s">
        <v>4304</v>
      </c>
      <c r="N1039" s="209" t="s">
        <v>1030</v>
      </c>
      <c r="O1039" s="205" t="s">
        <v>1488</v>
      </c>
      <c r="P1039" s="205" t="s">
        <v>1191</v>
      </c>
      <c r="Q1039" s="208" t="s">
        <v>3279</v>
      </c>
      <c r="R1039" s="208" t="s">
        <v>3280</v>
      </c>
      <c r="S1039" s="208" t="s">
        <v>725</v>
      </c>
      <c r="T1039" s="205"/>
      <c r="U1039" s="205"/>
      <c r="V1039" s="205"/>
      <c r="W1039" s="205"/>
      <c r="X1039" s="205"/>
    </row>
    <row r="1040" spans="1:24" hidden="1" x14ac:dyDescent="0.2">
      <c r="A1040" s="205" t="s">
        <v>3875</v>
      </c>
      <c r="B1040" s="205" t="s">
        <v>3876</v>
      </c>
      <c r="C1040" s="214" t="s">
        <v>725</v>
      </c>
      <c r="D1040" s="205" t="s">
        <v>166</v>
      </c>
      <c r="E1040" s="205"/>
      <c r="F1040" s="206">
        <v>-417137</v>
      </c>
      <c r="G1040" s="206">
        <v>-41714</v>
      </c>
      <c r="H1040" s="206">
        <v>-2086</v>
      </c>
      <c r="I1040" s="202">
        <f t="shared" si="16"/>
        <v>-377509</v>
      </c>
      <c r="J1040" s="205" t="s">
        <v>50</v>
      </c>
      <c r="K1040" s="205" t="s">
        <v>23</v>
      </c>
      <c r="L1040" s="205" t="s">
        <v>1058</v>
      </c>
      <c r="M1040" s="205" t="s">
        <v>4305</v>
      </c>
      <c r="N1040" s="209" t="s">
        <v>1030</v>
      </c>
      <c r="O1040" s="205" t="s">
        <v>1488</v>
      </c>
      <c r="P1040" s="205" t="s">
        <v>1191</v>
      </c>
      <c r="Q1040" s="208" t="s">
        <v>3279</v>
      </c>
      <c r="R1040" s="208" t="s">
        <v>3280</v>
      </c>
      <c r="S1040" s="208" t="s">
        <v>725</v>
      </c>
      <c r="T1040" s="205"/>
      <c r="U1040" s="205"/>
      <c r="V1040" s="205"/>
      <c r="W1040" s="205"/>
      <c r="X1040" s="205"/>
    </row>
    <row r="1041" spans="1:24" hidden="1" x14ac:dyDescent="0.2">
      <c r="A1041" s="205" t="s">
        <v>4306</v>
      </c>
      <c r="B1041" s="205" t="s">
        <v>4307</v>
      </c>
      <c r="C1041" s="214" t="s">
        <v>725</v>
      </c>
      <c r="D1041" s="205" t="s">
        <v>152</v>
      </c>
      <c r="E1041" s="205"/>
      <c r="F1041" s="206">
        <v>47527</v>
      </c>
      <c r="G1041" s="206">
        <v>4753</v>
      </c>
      <c r="H1041" s="206">
        <v>238</v>
      </c>
      <c r="I1041" s="202">
        <f t="shared" si="16"/>
        <v>43012</v>
      </c>
      <c r="J1041" s="205" t="s">
        <v>103</v>
      </c>
      <c r="K1041" s="205" t="s">
        <v>23</v>
      </c>
      <c r="L1041" s="205" t="s">
        <v>1028</v>
      </c>
      <c r="M1041" s="205" t="s">
        <v>4308</v>
      </c>
      <c r="N1041" s="209" t="s">
        <v>1030</v>
      </c>
      <c r="O1041" s="205" t="s">
        <v>652</v>
      </c>
      <c r="P1041" s="205" t="s">
        <v>652</v>
      </c>
      <c r="Q1041" s="208" t="s">
        <v>2793</v>
      </c>
      <c r="R1041" s="208" t="s">
        <v>4309</v>
      </c>
      <c r="S1041" s="208" t="s">
        <v>725</v>
      </c>
      <c r="T1041" s="205"/>
      <c r="U1041" s="205"/>
      <c r="V1041" s="205"/>
      <c r="W1041" s="205"/>
      <c r="X1041" s="205"/>
    </row>
    <row r="1042" spans="1:24" hidden="1" x14ac:dyDescent="0.2">
      <c r="A1042" s="205" t="s">
        <v>4306</v>
      </c>
      <c r="B1042" s="205" t="s">
        <v>4310</v>
      </c>
      <c r="C1042" s="214" t="s">
        <v>725</v>
      </c>
      <c r="D1042" s="205" t="s">
        <v>166</v>
      </c>
      <c r="E1042" s="205"/>
      <c r="F1042" s="206">
        <v>-61799</v>
      </c>
      <c r="G1042" s="206">
        <v>-6180</v>
      </c>
      <c r="H1042" s="206">
        <v>-309</v>
      </c>
      <c r="I1042" s="202">
        <f t="shared" si="16"/>
        <v>-55928</v>
      </c>
      <c r="J1042" s="205" t="s">
        <v>103</v>
      </c>
      <c r="K1042" s="205" t="s">
        <v>23</v>
      </c>
      <c r="L1042" s="205" t="s">
        <v>1386</v>
      </c>
      <c r="M1042" s="205" t="s">
        <v>4311</v>
      </c>
      <c r="N1042" s="209" t="s">
        <v>1030</v>
      </c>
      <c r="O1042" s="205" t="s">
        <v>652</v>
      </c>
      <c r="P1042" s="205" t="s">
        <v>652</v>
      </c>
      <c r="Q1042" s="208" t="s">
        <v>4312</v>
      </c>
      <c r="R1042" s="208" t="s">
        <v>2664</v>
      </c>
      <c r="S1042" s="208" t="s">
        <v>725</v>
      </c>
      <c r="T1042" s="205"/>
      <c r="U1042" s="205"/>
      <c r="V1042" s="205"/>
      <c r="W1042" s="205"/>
      <c r="X1042" s="205"/>
    </row>
    <row r="1043" spans="1:24" hidden="1" x14ac:dyDescent="0.2">
      <c r="A1043" s="205" t="s">
        <v>4313</v>
      </c>
      <c r="B1043" s="205" t="s">
        <v>4314</v>
      </c>
      <c r="C1043" s="214" t="s">
        <v>725</v>
      </c>
      <c r="D1043" s="205" t="s">
        <v>152</v>
      </c>
      <c r="E1043" s="205"/>
      <c r="F1043" s="206">
        <v>101827</v>
      </c>
      <c r="G1043" s="206">
        <v>10183</v>
      </c>
      <c r="H1043" s="206">
        <v>509</v>
      </c>
      <c r="I1043" s="202">
        <f t="shared" si="16"/>
        <v>92153</v>
      </c>
      <c r="J1043" s="205" t="s">
        <v>103</v>
      </c>
      <c r="K1043" s="205" t="s">
        <v>23</v>
      </c>
      <c r="L1043" s="205" t="s">
        <v>1028</v>
      </c>
      <c r="M1043" s="205" t="s">
        <v>4315</v>
      </c>
      <c r="N1043" s="209" t="s">
        <v>1030</v>
      </c>
      <c r="O1043" s="205" t="s">
        <v>652</v>
      </c>
      <c r="P1043" s="205" t="s">
        <v>652</v>
      </c>
      <c r="Q1043" s="208" t="s">
        <v>2793</v>
      </c>
      <c r="R1043" s="208" t="s">
        <v>4309</v>
      </c>
      <c r="S1043" s="208" t="s">
        <v>725</v>
      </c>
      <c r="T1043" s="205"/>
      <c r="U1043" s="205"/>
      <c r="V1043" s="205"/>
      <c r="W1043" s="205"/>
      <c r="X1043" s="205"/>
    </row>
    <row r="1044" spans="1:24" hidden="1" x14ac:dyDescent="0.2">
      <c r="A1044" s="205" t="s">
        <v>4316</v>
      </c>
      <c r="B1044" s="205" t="s">
        <v>4317</v>
      </c>
      <c r="C1044" s="214" t="s">
        <v>725</v>
      </c>
      <c r="D1044" s="205" t="s">
        <v>152</v>
      </c>
      <c r="E1044" s="205"/>
      <c r="F1044" s="206">
        <v>92501</v>
      </c>
      <c r="G1044" s="206">
        <v>9250</v>
      </c>
      <c r="H1044" s="206">
        <v>463</v>
      </c>
      <c r="I1044" s="202">
        <f t="shared" si="16"/>
        <v>83714</v>
      </c>
      <c r="J1044" s="205" t="s">
        <v>103</v>
      </c>
      <c r="K1044" s="205" t="s">
        <v>23</v>
      </c>
      <c r="L1044" s="205" t="s">
        <v>1028</v>
      </c>
      <c r="M1044" s="205" t="s">
        <v>4318</v>
      </c>
      <c r="N1044" s="209" t="s">
        <v>1030</v>
      </c>
      <c r="O1044" s="205" t="s">
        <v>652</v>
      </c>
      <c r="P1044" s="205" t="s">
        <v>652</v>
      </c>
      <c r="Q1044" s="208" t="s">
        <v>882</v>
      </c>
      <c r="R1044" s="208" t="s">
        <v>2881</v>
      </c>
      <c r="S1044" s="208" t="s">
        <v>725</v>
      </c>
      <c r="T1044" s="205"/>
      <c r="U1044" s="205"/>
      <c r="V1044" s="205"/>
      <c r="W1044" s="205"/>
      <c r="X1044" s="205"/>
    </row>
    <row r="1045" spans="1:24" hidden="1" x14ac:dyDescent="0.2">
      <c r="A1045" s="205" t="s">
        <v>4319</v>
      </c>
      <c r="B1045" s="205" t="s">
        <v>4320</v>
      </c>
      <c r="C1045" s="214" t="s">
        <v>725</v>
      </c>
      <c r="D1045" s="205" t="s">
        <v>152</v>
      </c>
      <c r="E1045" s="205"/>
      <c r="F1045" s="206">
        <v>67877</v>
      </c>
      <c r="G1045" s="206">
        <v>6788</v>
      </c>
      <c r="H1045" s="206">
        <v>339</v>
      </c>
      <c r="I1045" s="202">
        <f t="shared" si="16"/>
        <v>61428</v>
      </c>
      <c r="J1045" s="205" t="s">
        <v>37</v>
      </c>
      <c r="K1045" s="205" t="s">
        <v>23</v>
      </c>
      <c r="L1045" s="205" t="s">
        <v>1028</v>
      </c>
      <c r="M1045" s="205" t="s">
        <v>4321</v>
      </c>
      <c r="N1045" s="209" t="s">
        <v>1030</v>
      </c>
      <c r="O1045" s="205" t="s">
        <v>652</v>
      </c>
      <c r="P1045" s="205" t="s">
        <v>652</v>
      </c>
      <c r="Q1045" s="208" t="s">
        <v>830</v>
      </c>
      <c r="R1045" s="208" t="s">
        <v>3228</v>
      </c>
      <c r="S1045" s="208" t="s">
        <v>725</v>
      </c>
      <c r="T1045" s="205"/>
      <c r="U1045" s="205"/>
      <c r="V1045" s="205"/>
      <c r="W1045" s="205"/>
      <c r="X1045" s="205"/>
    </row>
    <row r="1046" spans="1:24" hidden="1" x14ac:dyDescent="0.2">
      <c r="A1046" s="205" t="s">
        <v>4322</v>
      </c>
      <c r="B1046" s="205" t="s">
        <v>4323</v>
      </c>
      <c r="C1046" s="214" t="s">
        <v>725</v>
      </c>
      <c r="D1046" s="205" t="s">
        <v>152</v>
      </c>
      <c r="E1046" s="205"/>
      <c r="F1046" s="206">
        <v>52279</v>
      </c>
      <c r="G1046" s="206">
        <v>5228</v>
      </c>
      <c r="H1046" s="206">
        <v>261</v>
      </c>
      <c r="I1046" s="202">
        <f t="shared" si="16"/>
        <v>47312</v>
      </c>
      <c r="J1046" s="205" t="s">
        <v>103</v>
      </c>
      <c r="K1046" s="205" t="s">
        <v>23</v>
      </c>
      <c r="L1046" s="205" t="s">
        <v>1028</v>
      </c>
      <c r="M1046" s="205" t="s">
        <v>4324</v>
      </c>
      <c r="N1046" s="209" t="s">
        <v>4325</v>
      </c>
      <c r="O1046" s="205" t="s">
        <v>652</v>
      </c>
      <c r="P1046" s="205" t="s">
        <v>652</v>
      </c>
      <c r="Q1046" s="208" t="s">
        <v>866</v>
      </c>
      <c r="R1046" s="208" t="s">
        <v>986</v>
      </c>
      <c r="S1046" s="208" t="s">
        <v>725</v>
      </c>
      <c r="T1046" s="205"/>
      <c r="U1046" s="205"/>
      <c r="V1046" s="205"/>
      <c r="W1046" s="205"/>
      <c r="X1046" s="205"/>
    </row>
    <row r="1047" spans="1:24" hidden="1" x14ac:dyDescent="0.2">
      <c r="A1047" s="205" t="s">
        <v>4326</v>
      </c>
      <c r="B1047" s="205" t="s">
        <v>4327</v>
      </c>
      <c r="C1047" s="214" t="s">
        <v>725</v>
      </c>
      <c r="D1047" s="205" t="s">
        <v>152</v>
      </c>
      <c r="E1047" s="205"/>
      <c r="F1047" s="206">
        <v>92501</v>
      </c>
      <c r="G1047" s="206">
        <v>9250</v>
      </c>
      <c r="H1047" s="206">
        <v>463</v>
      </c>
      <c r="I1047" s="202">
        <f t="shared" si="16"/>
        <v>83714</v>
      </c>
      <c r="J1047" s="205" t="s">
        <v>103</v>
      </c>
      <c r="K1047" s="205" t="s">
        <v>23</v>
      </c>
      <c r="L1047" s="205" t="s">
        <v>1028</v>
      </c>
      <c r="M1047" s="205" t="s">
        <v>4328</v>
      </c>
      <c r="N1047" s="209" t="s">
        <v>1030</v>
      </c>
      <c r="O1047" s="205" t="s">
        <v>652</v>
      </c>
      <c r="P1047" s="205" t="s">
        <v>652</v>
      </c>
      <c r="Q1047" s="208" t="s">
        <v>2796</v>
      </c>
      <c r="R1047" s="208" t="s">
        <v>2797</v>
      </c>
      <c r="S1047" s="208" t="s">
        <v>725</v>
      </c>
      <c r="T1047" s="205"/>
      <c r="U1047" s="205"/>
      <c r="V1047" s="205"/>
      <c r="W1047" s="205"/>
      <c r="X1047" s="205"/>
    </row>
    <row r="1048" spans="1:24" hidden="1" x14ac:dyDescent="0.2">
      <c r="A1048" s="205" t="s">
        <v>4329</v>
      </c>
      <c r="B1048" s="205" t="s">
        <v>4330</v>
      </c>
      <c r="C1048" s="214" t="s">
        <v>725</v>
      </c>
      <c r="D1048" s="205" t="s">
        <v>152</v>
      </c>
      <c r="E1048" s="205"/>
      <c r="F1048" s="206">
        <v>131005</v>
      </c>
      <c r="G1048" s="206">
        <v>13101</v>
      </c>
      <c r="H1048" s="206">
        <v>655</v>
      </c>
      <c r="I1048" s="202">
        <f t="shared" si="16"/>
        <v>118559</v>
      </c>
      <c r="J1048" s="205" t="s">
        <v>103</v>
      </c>
      <c r="K1048" s="205" t="s">
        <v>23</v>
      </c>
      <c r="L1048" s="205" t="s">
        <v>1028</v>
      </c>
      <c r="M1048" s="205" t="s">
        <v>4331</v>
      </c>
      <c r="N1048" s="209" t="s">
        <v>1030</v>
      </c>
      <c r="O1048" s="205" t="s">
        <v>652</v>
      </c>
      <c r="P1048" s="205" t="s">
        <v>652</v>
      </c>
      <c r="Q1048" s="208" t="s">
        <v>882</v>
      </c>
      <c r="R1048" s="208" t="s">
        <v>2881</v>
      </c>
      <c r="S1048" s="208" t="s">
        <v>725</v>
      </c>
      <c r="T1048" s="205"/>
      <c r="U1048" s="205"/>
      <c r="V1048" s="205"/>
      <c r="W1048" s="205"/>
      <c r="X1048" s="205"/>
    </row>
    <row r="1049" spans="1:24" hidden="1" x14ac:dyDescent="0.2">
      <c r="A1049" s="205" t="s">
        <v>4332</v>
      </c>
      <c r="B1049" s="205" t="s">
        <v>4333</v>
      </c>
      <c r="C1049" s="214" t="s">
        <v>725</v>
      </c>
      <c r="D1049" s="205" t="s">
        <v>152</v>
      </c>
      <c r="E1049" s="205"/>
      <c r="F1049" s="206">
        <v>77260</v>
      </c>
      <c r="G1049" s="206">
        <v>7726</v>
      </c>
      <c r="H1049" s="206">
        <v>386</v>
      </c>
      <c r="I1049" s="202">
        <f t="shared" si="16"/>
        <v>69920</v>
      </c>
      <c r="J1049" s="205" t="s">
        <v>103</v>
      </c>
      <c r="K1049" s="205" t="s">
        <v>23</v>
      </c>
      <c r="L1049" s="205" t="s">
        <v>1028</v>
      </c>
      <c r="M1049" s="205" t="s">
        <v>4334</v>
      </c>
      <c r="N1049" s="209" t="s">
        <v>1030</v>
      </c>
      <c r="O1049" s="205" t="s">
        <v>652</v>
      </c>
      <c r="P1049" s="205" t="s">
        <v>652</v>
      </c>
      <c r="Q1049" s="208" t="s">
        <v>3323</v>
      </c>
      <c r="R1049" s="208" t="s">
        <v>3967</v>
      </c>
      <c r="S1049" s="208" t="s">
        <v>725</v>
      </c>
      <c r="T1049" s="205"/>
      <c r="U1049" s="205"/>
      <c r="V1049" s="205"/>
      <c r="W1049" s="205"/>
      <c r="X1049" s="205"/>
    </row>
    <row r="1050" spans="1:24" hidden="1" x14ac:dyDescent="0.2">
      <c r="A1050" s="205" t="s">
        <v>4335</v>
      </c>
      <c r="B1050" s="205" t="s">
        <v>4336</v>
      </c>
      <c r="C1050" s="214" t="s">
        <v>725</v>
      </c>
      <c r="D1050" s="205" t="s">
        <v>152</v>
      </c>
      <c r="E1050" s="205"/>
      <c r="F1050" s="206">
        <v>78059</v>
      </c>
      <c r="G1050" s="206">
        <v>7806</v>
      </c>
      <c r="H1050" s="206">
        <v>390</v>
      </c>
      <c r="I1050" s="202">
        <f t="shared" si="16"/>
        <v>70643</v>
      </c>
      <c r="J1050" s="205" t="s">
        <v>37</v>
      </c>
      <c r="K1050" s="205" t="s">
        <v>23</v>
      </c>
      <c r="L1050" s="205" t="s">
        <v>1028</v>
      </c>
      <c r="M1050" s="205" t="s">
        <v>4337</v>
      </c>
      <c r="N1050" s="209" t="s">
        <v>1030</v>
      </c>
      <c r="O1050" s="205" t="s">
        <v>652</v>
      </c>
      <c r="P1050" s="205" t="s">
        <v>652</v>
      </c>
      <c r="Q1050" s="208" t="s">
        <v>2467</v>
      </c>
      <c r="R1050" s="208" t="s">
        <v>2468</v>
      </c>
      <c r="S1050" s="208" t="s">
        <v>725</v>
      </c>
      <c r="T1050" s="205"/>
      <c r="U1050" s="205"/>
      <c r="V1050" s="205"/>
      <c r="W1050" s="205"/>
      <c r="X1050" s="205"/>
    </row>
    <row r="1051" spans="1:24" hidden="1" x14ac:dyDescent="0.2">
      <c r="A1051" s="205" t="s">
        <v>390</v>
      </c>
      <c r="B1051" s="205" t="s">
        <v>4338</v>
      </c>
      <c r="C1051" s="214" t="s">
        <v>725</v>
      </c>
      <c r="D1051" s="205" t="s">
        <v>152</v>
      </c>
      <c r="E1051" s="205"/>
      <c r="F1051" s="206">
        <v>92501</v>
      </c>
      <c r="G1051" s="206">
        <v>9250</v>
      </c>
      <c r="H1051" s="206">
        <v>463</v>
      </c>
      <c r="I1051" s="202">
        <f t="shared" si="16"/>
        <v>83714</v>
      </c>
      <c r="J1051" s="205" t="s">
        <v>103</v>
      </c>
      <c r="K1051" s="205" t="s">
        <v>23</v>
      </c>
      <c r="L1051" s="205" t="s">
        <v>1028</v>
      </c>
      <c r="M1051" s="205" t="s">
        <v>4339</v>
      </c>
      <c r="N1051" s="209" t="s">
        <v>1030</v>
      </c>
      <c r="O1051" s="205" t="s">
        <v>652</v>
      </c>
      <c r="P1051" s="205" t="s">
        <v>652</v>
      </c>
      <c r="Q1051" s="208" t="s">
        <v>908</v>
      </c>
      <c r="R1051" s="208" t="s">
        <v>909</v>
      </c>
      <c r="S1051" s="208" t="s">
        <v>725</v>
      </c>
      <c r="T1051" s="205"/>
      <c r="U1051" s="205"/>
      <c r="V1051" s="205"/>
      <c r="W1051" s="205"/>
      <c r="X1051" s="205"/>
    </row>
    <row r="1052" spans="1:24" hidden="1" x14ac:dyDescent="0.2">
      <c r="A1052" s="205" t="s">
        <v>4340</v>
      </c>
      <c r="B1052" s="205" t="s">
        <v>4341</v>
      </c>
      <c r="C1052" s="214" t="s">
        <v>725</v>
      </c>
      <c r="D1052" s="205" t="s">
        <v>152</v>
      </c>
      <c r="E1052" s="205"/>
      <c r="F1052" s="206">
        <v>136163</v>
      </c>
      <c r="G1052" s="206">
        <v>13616</v>
      </c>
      <c r="H1052" s="206">
        <v>681</v>
      </c>
      <c r="I1052" s="202">
        <f t="shared" si="16"/>
        <v>123228</v>
      </c>
      <c r="J1052" s="205" t="s">
        <v>54</v>
      </c>
      <c r="K1052" s="205" t="s">
        <v>23</v>
      </c>
      <c r="L1052" s="205" t="s">
        <v>1028</v>
      </c>
      <c r="M1052" s="205" t="s">
        <v>4342</v>
      </c>
      <c r="N1052" s="205" t="s">
        <v>1030</v>
      </c>
      <c r="O1052" s="205" t="s">
        <v>652</v>
      </c>
      <c r="P1052" s="205" t="s">
        <v>652</v>
      </c>
      <c r="Q1052" s="208" t="s">
        <v>2054</v>
      </c>
      <c r="R1052" s="208" t="s">
        <v>2055</v>
      </c>
      <c r="S1052" s="208" t="s">
        <v>725</v>
      </c>
      <c r="T1052" s="205"/>
      <c r="U1052" s="205"/>
      <c r="V1052" s="205"/>
      <c r="W1052" s="205"/>
      <c r="X1052" s="205"/>
    </row>
    <row r="1053" spans="1:24" hidden="1" x14ac:dyDescent="0.2">
      <c r="A1053" s="205" t="s">
        <v>4343</v>
      </c>
      <c r="B1053" s="205" t="s">
        <v>4344</v>
      </c>
      <c r="C1053" s="214" t="s">
        <v>725</v>
      </c>
      <c r="D1053" s="205" t="s">
        <v>152</v>
      </c>
      <c r="E1053" s="205"/>
      <c r="F1053" s="206">
        <v>270893</v>
      </c>
      <c r="G1053" s="206">
        <v>27089</v>
      </c>
      <c r="H1053" s="206">
        <v>1354</v>
      </c>
      <c r="I1053" s="202">
        <f t="shared" si="16"/>
        <v>245158</v>
      </c>
      <c r="J1053" s="205" t="s">
        <v>4345</v>
      </c>
      <c r="K1053" s="205" t="s">
        <v>23</v>
      </c>
      <c r="L1053" s="205" t="s">
        <v>1058</v>
      </c>
      <c r="M1053" s="205" t="s">
        <v>4346</v>
      </c>
      <c r="N1053" s="209" t="s">
        <v>1030</v>
      </c>
      <c r="O1053" s="205" t="s">
        <v>652</v>
      </c>
      <c r="P1053" s="205" t="s">
        <v>652</v>
      </c>
      <c r="Q1053" s="208" t="s">
        <v>722</v>
      </c>
      <c r="R1053" s="208" t="s">
        <v>723</v>
      </c>
      <c r="S1053" s="208" t="s">
        <v>725</v>
      </c>
      <c r="T1053" s="205"/>
      <c r="U1053" s="205"/>
      <c r="V1053" s="205"/>
      <c r="W1053" s="205"/>
      <c r="X1053" s="205"/>
    </row>
    <row r="1054" spans="1:24" hidden="1" x14ac:dyDescent="0.2">
      <c r="A1054" s="205" t="s">
        <v>4343</v>
      </c>
      <c r="B1054" s="205" t="s">
        <v>4347</v>
      </c>
      <c r="C1054" s="214" t="s">
        <v>725</v>
      </c>
      <c r="D1054" s="205" t="s">
        <v>152</v>
      </c>
      <c r="E1054" s="205"/>
      <c r="F1054" s="206">
        <v>270559</v>
      </c>
      <c r="G1054" s="206">
        <v>27056</v>
      </c>
      <c r="H1054" s="206">
        <v>1353</v>
      </c>
      <c r="I1054" s="202">
        <f t="shared" si="16"/>
        <v>244856</v>
      </c>
      <c r="J1054" s="205" t="s">
        <v>38</v>
      </c>
      <c r="K1054" s="205" t="s">
        <v>23</v>
      </c>
      <c r="L1054" s="205" t="s">
        <v>1058</v>
      </c>
      <c r="M1054" s="205" t="s">
        <v>4348</v>
      </c>
      <c r="N1054" s="209" t="s">
        <v>1030</v>
      </c>
      <c r="O1054" s="205" t="s">
        <v>652</v>
      </c>
      <c r="P1054" s="205" t="s">
        <v>652</v>
      </c>
      <c r="Q1054" s="208" t="s">
        <v>722</v>
      </c>
      <c r="R1054" s="208" t="s">
        <v>723</v>
      </c>
      <c r="S1054" s="208" t="s">
        <v>725</v>
      </c>
      <c r="T1054" s="205"/>
      <c r="U1054" s="205"/>
      <c r="V1054" s="205"/>
      <c r="W1054" s="205"/>
      <c r="X1054" s="205"/>
    </row>
    <row r="1055" spans="1:24" hidden="1" x14ac:dyDescent="0.2">
      <c r="A1055" s="205" t="s">
        <v>4343</v>
      </c>
      <c r="B1055" s="205" t="s">
        <v>4344</v>
      </c>
      <c r="C1055" s="214" t="s">
        <v>725</v>
      </c>
      <c r="D1055" s="205" t="s">
        <v>166</v>
      </c>
      <c r="E1055" s="205"/>
      <c r="F1055" s="206">
        <v>-270893</v>
      </c>
      <c r="G1055" s="206">
        <v>-27089</v>
      </c>
      <c r="H1055" s="206">
        <v>-1354</v>
      </c>
      <c r="I1055" s="202">
        <f t="shared" si="16"/>
        <v>-245158</v>
      </c>
      <c r="J1055" s="205" t="s">
        <v>4345</v>
      </c>
      <c r="K1055" s="205" t="s">
        <v>23</v>
      </c>
      <c r="L1055" s="205" t="s">
        <v>1058</v>
      </c>
      <c r="M1055" s="205" t="s">
        <v>4349</v>
      </c>
      <c r="N1055" s="209" t="s">
        <v>1030</v>
      </c>
      <c r="O1055" s="205" t="s">
        <v>652</v>
      </c>
      <c r="P1055" s="205" t="s">
        <v>652</v>
      </c>
      <c r="Q1055" s="216" t="s">
        <v>722</v>
      </c>
      <c r="R1055" s="216" t="s">
        <v>723</v>
      </c>
      <c r="S1055" s="216" t="s">
        <v>725</v>
      </c>
      <c r="T1055" s="205"/>
      <c r="U1055" s="205"/>
      <c r="V1055" s="205"/>
      <c r="W1055" s="205"/>
      <c r="X1055" s="205"/>
    </row>
    <row r="1056" spans="1:24" hidden="1" x14ac:dyDescent="0.2">
      <c r="A1056" s="205" t="s">
        <v>130</v>
      </c>
      <c r="B1056" s="205" t="s">
        <v>623</v>
      </c>
      <c r="C1056" s="214" t="s">
        <v>725</v>
      </c>
      <c r="D1056" s="205" t="s">
        <v>152</v>
      </c>
      <c r="E1056" s="205"/>
      <c r="F1056" s="206">
        <v>24836</v>
      </c>
      <c r="G1056" s="206">
        <v>2484</v>
      </c>
      <c r="H1056" s="206">
        <v>124</v>
      </c>
      <c r="I1056" s="202">
        <f t="shared" si="16"/>
        <v>22476</v>
      </c>
      <c r="J1056" s="205" t="s">
        <v>44</v>
      </c>
      <c r="K1056" s="205" t="s">
        <v>23</v>
      </c>
      <c r="L1056" s="205" t="s">
        <v>1042</v>
      </c>
      <c r="M1056" s="205" t="s">
        <v>4350</v>
      </c>
      <c r="N1056" s="209" t="s">
        <v>1030</v>
      </c>
      <c r="O1056" s="205" t="s">
        <v>652</v>
      </c>
      <c r="P1056" s="205" t="s">
        <v>652</v>
      </c>
      <c r="Q1056" s="208" t="s">
        <v>653</v>
      </c>
      <c r="R1056" s="208" t="s">
        <v>654</v>
      </c>
      <c r="S1056" s="208" t="s">
        <v>725</v>
      </c>
      <c r="T1056" s="205"/>
      <c r="U1056" s="205"/>
      <c r="V1056" s="205"/>
      <c r="W1056" s="205"/>
      <c r="X1056" s="205"/>
    </row>
    <row r="1057" spans="1:24" hidden="1" x14ac:dyDescent="0.2">
      <c r="A1057" s="205" t="s">
        <v>4351</v>
      </c>
      <c r="B1057" s="205" t="s">
        <v>4352</v>
      </c>
      <c r="C1057" s="214" t="s">
        <v>725</v>
      </c>
      <c r="D1057" s="205" t="s">
        <v>152</v>
      </c>
      <c r="E1057" s="205"/>
      <c r="F1057" s="206">
        <v>78508</v>
      </c>
      <c r="G1057" s="206">
        <v>7851</v>
      </c>
      <c r="H1057" s="206">
        <v>393</v>
      </c>
      <c r="I1057" s="202">
        <f t="shared" si="16"/>
        <v>71050</v>
      </c>
      <c r="J1057" s="205" t="s">
        <v>101</v>
      </c>
      <c r="K1057" s="205" t="s">
        <v>23</v>
      </c>
      <c r="L1057" s="205" t="s">
        <v>1028</v>
      </c>
      <c r="M1057" s="205" t="s">
        <v>4353</v>
      </c>
      <c r="N1057" s="209" t="s">
        <v>1030</v>
      </c>
      <c r="O1057" s="205" t="s">
        <v>652</v>
      </c>
      <c r="P1057" s="205" t="s">
        <v>652</v>
      </c>
      <c r="Q1057" s="214" t="s">
        <v>776</v>
      </c>
      <c r="R1057" s="214" t="s">
        <v>2788</v>
      </c>
      <c r="S1057" s="214" t="s">
        <v>725</v>
      </c>
      <c r="T1057" s="205"/>
      <c r="U1057" s="205"/>
      <c r="V1057" s="205"/>
      <c r="W1057" s="205"/>
      <c r="X1057" s="205"/>
    </row>
    <row r="1058" spans="1:24" hidden="1" x14ac:dyDescent="0.2">
      <c r="A1058" s="209" t="s">
        <v>79</v>
      </c>
      <c r="B1058" s="209" t="s">
        <v>535</v>
      </c>
      <c r="C1058" s="213" t="s">
        <v>725</v>
      </c>
      <c r="D1058" s="209" t="s">
        <v>152</v>
      </c>
      <c r="F1058" s="211">
        <v>5620</v>
      </c>
      <c r="G1058" s="211">
        <v>562</v>
      </c>
      <c r="H1058" s="211">
        <v>28</v>
      </c>
      <c r="I1058" s="202">
        <f t="shared" si="16"/>
        <v>5086</v>
      </c>
      <c r="J1058" s="209" t="s">
        <v>22</v>
      </c>
      <c r="K1058" s="209" t="s">
        <v>23</v>
      </c>
      <c r="L1058" s="209" t="s">
        <v>1042</v>
      </c>
      <c r="M1058" s="209" t="s">
        <v>4354</v>
      </c>
      <c r="N1058" s="209" t="s">
        <v>1030</v>
      </c>
      <c r="O1058" s="209" t="s">
        <v>652</v>
      </c>
      <c r="P1058" s="209" t="s">
        <v>652</v>
      </c>
      <c r="Q1058" s="213" t="s">
        <v>674</v>
      </c>
      <c r="R1058" s="213" t="s">
        <v>675</v>
      </c>
      <c r="S1058" s="213" t="s">
        <v>725</v>
      </c>
    </row>
    <row r="1059" spans="1:24" hidden="1" x14ac:dyDescent="0.2">
      <c r="A1059" s="205" t="s">
        <v>148</v>
      </c>
      <c r="B1059" s="205" t="s">
        <v>2804</v>
      </c>
      <c r="C1059" s="214" t="s">
        <v>725</v>
      </c>
      <c r="D1059" s="209" t="s">
        <v>152</v>
      </c>
      <c r="F1059" s="206">
        <v>38454</v>
      </c>
      <c r="G1059" s="206">
        <v>0</v>
      </c>
      <c r="H1059" s="206">
        <v>0</v>
      </c>
      <c r="I1059" s="202">
        <f t="shared" si="16"/>
        <v>38454</v>
      </c>
      <c r="J1059" s="205" t="s">
        <v>25</v>
      </c>
      <c r="K1059" s="205" t="s">
        <v>214</v>
      </c>
      <c r="L1059" s="209" t="s">
        <v>1042</v>
      </c>
      <c r="M1059" s="205" t="s">
        <v>4355</v>
      </c>
      <c r="N1059" s="209" t="s">
        <v>652</v>
      </c>
      <c r="O1059" s="205" t="s">
        <v>652</v>
      </c>
      <c r="P1059" s="205" t="s">
        <v>652</v>
      </c>
      <c r="Q1059" s="208" t="s">
        <v>2191</v>
      </c>
      <c r="R1059" s="208" t="s">
        <v>2192</v>
      </c>
      <c r="S1059" s="208" t="s">
        <v>725</v>
      </c>
      <c r="T1059" s="205"/>
    </row>
    <row r="1060" spans="1:24" hidden="1" x14ac:dyDescent="0.2">
      <c r="A1060" s="205" t="s">
        <v>226</v>
      </c>
      <c r="B1060" s="205" t="s">
        <v>546</v>
      </c>
      <c r="C1060" s="214" t="s">
        <v>725</v>
      </c>
      <c r="D1060" s="209" t="s">
        <v>152</v>
      </c>
      <c r="F1060" s="206">
        <v>15125</v>
      </c>
      <c r="G1060" s="206">
        <v>0</v>
      </c>
      <c r="H1060" s="206">
        <v>0</v>
      </c>
      <c r="I1060" s="202">
        <f t="shared" si="16"/>
        <v>15125</v>
      </c>
      <c r="J1060" s="205" t="s">
        <v>25</v>
      </c>
      <c r="K1060" s="205" t="s">
        <v>214</v>
      </c>
      <c r="L1060" s="209" t="s">
        <v>1042</v>
      </c>
      <c r="M1060" s="205" t="s">
        <v>4356</v>
      </c>
      <c r="N1060" s="209" t="s">
        <v>1030</v>
      </c>
      <c r="O1060" s="205" t="s">
        <v>652</v>
      </c>
      <c r="P1060" s="205" t="s">
        <v>652</v>
      </c>
      <c r="Q1060" s="208" t="s">
        <v>699</v>
      </c>
      <c r="R1060" s="208" t="s">
        <v>700</v>
      </c>
      <c r="S1060" s="208" t="s">
        <v>725</v>
      </c>
      <c r="T1060" s="205"/>
    </row>
    <row r="1061" spans="1:24" hidden="1" x14ac:dyDescent="0.2">
      <c r="A1061" s="205" t="s">
        <v>4357</v>
      </c>
      <c r="B1061" s="205" t="s">
        <v>4358</v>
      </c>
      <c r="C1061" s="214" t="s">
        <v>725</v>
      </c>
      <c r="D1061" s="209" t="s">
        <v>152</v>
      </c>
      <c r="F1061" s="206">
        <v>316745</v>
      </c>
      <c r="G1061" s="206">
        <v>0</v>
      </c>
      <c r="H1061" s="206">
        <v>0</v>
      </c>
      <c r="I1061" s="202">
        <f t="shared" si="16"/>
        <v>316745</v>
      </c>
      <c r="J1061" s="205" t="s">
        <v>25</v>
      </c>
      <c r="K1061" s="205" t="s">
        <v>214</v>
      </c>
      <c r="L1061" s="209" t="s">
        <v>1028</v>
      </c>
      <c r="M1061" s="205" t="s">
        <v>4359</v>
      </c>
      <c r="N1061" s="209" t="s">
        <v>1030</v>
      </c>
      <c r="O1061" s="205" t="s">
        <v>652</v>
      </c>
      <c r="P1061" s="205" t="s">
        <v>652</v>
      </c>
      <c r="Q1061" s="208" t="s">
        <v>2191</v>
      </c>
      <c r="R1061" s="208" t="s">
        <v>2192</v>
      </c>
      <c r="S1061" s="208" t="s">
        <v>725</v>
      </c>
      <c r="T1061" s="205"/>
    </row>
    <row r="1062" spans="1:24" hidden="1" x14ac:dyDescent="0.2">
      <c r="A1062" s="205" t="s">
        <v>35</v>
      </c>
      <c r="B1062" s="205" t="s">
        <v>351</v>
      </c>
      <c r="C1062" s="214" t="s">
        <v>725</v>
      </c>
      <c r="D1062" s="209" t="s">
        <v>152</v>
      </c>
      <c r="F1062" s="206">
        <v>26070</v>
      </c>
      <c r="G1062" s="206">
        <v>0</v>
      </c>
      <c r="H1062" s="206">
        <v>0</v>
      </c>
      <c r="I1062" s="202">
        <f t="shared" si="16"/>
        <v>26070</v>
      </c>
      <c r="J1062" s="205" t="s">
        <v>25</v>
      </c>
      <c r="K1062" s="205" t="s">
        <v>214</v>
      </c>
      <c r="L1062" s="209" t="s">
        <v>1042</v>
      </c>
      <c r="M1062" s="205" t="s">
        <v>4360</v>
      </c>
      <c r="N1062" s="209" t="s">
        <v>1030</v>
      </c>
      <c r="O1062" s="205" t="s">
        <v>652</v>
      </c>
      <c r="P1062" s="205" t="s">
        <v>652</v>
      </c>
      <c r="Q1062" s="208" t="s">
        <v>771</v>
      </c>
      <c r="R1062" s="208" t="s">
        <v>772</v>
      </c>
      <c r="S1062" s="208" t="s">
        <v>725</v>
      </c>
      <c r="T1062" s="205"/>
    </row>
    <row r="1063" spans="1:24" hidden="1" x14ac:dyDescent="0.2">
      <c r="A1063" s="205" t="s">
        <v>946</v>
      </c>
      <c r="B1063" s="205" t="s">
        <v>947</v>
      </c>
      <c r="C1063" s="214" t="s">
        <v>725</v>
      </c>
      <c r="D1063" s="209" t="s">
        <v>152</v>
      </c>
      <c r="F1063" s="206">
        <v>462566</v>
      </c>
      <c r="G1063" s="206">
        <v>0</v>
      </c>
      <c r="H1063" s="206">
        <v>0</v>
      </c>
      <c r="I1063" s="202">
        <f t="shared" si="16"/>
        <v>462566</v>
      </c>
      <c r="J1063" s="205" t="s">
        <v>25</v>
      </c>
      <c r="K1063" s="205" t="s">
        <v>214</v>
      </c>
      <c r="L1063" s="209" t="s">
        <v>1042</v>
      </c>
      <c r="M1063" s="205" t="s">
        <v>4361</v>
      </c>
      <c r="N1063" s="209" t="s">
        <v>1072</v>
      </c>
      <c r="O1063" s="205" t="s">
        <v>1073</v>
      </c>
      <c r="P1063" s="205" t="s">
        <v>1074</v>
      </c>
      <c r="Q1063" s="208" t="s">
        <v>874</v>
      </c>
      <c r="R1063" s="208" t="s">
        <v>945</v>
      </c>
      <c r="S1063" s="208" t="s">
        <v>725</v>
      </c>
      <c r="T1063" s="205"/>
    </row>
    <row r="1064" spans="1:24" hidden="1" x14ac:dyDescent="0.2">
      <c r="A1064" s="205" t="s">
        <v>4362</v>
      </c>
      <c r="B1064" s="205" t="s">
        <v>4363</v>
      </c>
      <c r="C1064" s="214" t="s">
        <v>725</v>
      </c>
      <c r="D1064" s="205" t="s">
        <v>152</v>
      </c>
      <c r="E1064" s="205"/>
      <c r="F1064" s="206">
        <v>9418</v>
      </c>
      <c r="G1064" s="206">
        <v>0</v>
      </c>
      <c r="H1064" s="206">
        <v>0</v>
      </c>
      <c r="I1064" s="202">
        <f t="shared" si="16"/>
        <v>9418</v>
      </c>
      <c r="J1064" s="205" t="s">
        <v>25</v>
      </c>
      <c r="K1064" s="205" t="s">
        <v>214</v>
      </c>
      <c r="L1064" s="205" t="s">
        <v>1028</v>
      </c>
      <c r="M1064" s="205" t="s">
        <v>4364</v>
      </c>
      <c r="N1064" s="209" t="s">
        <v>1030</v>
      </c>
      <c r="O1064" s="205" t="s">
        <v>652</v>
      </c>
      <c r="P1064" s="205" t="s">
        <v>652</v>
      </c>
      <c r="Q1064" s="208" t="s">
        <v>3628</v>
      </c>
      <c r="R1064" s="208" t="s">
        <v>3629</v>
      </c>
      <c r="S1064" s="208" t="s">
        <v>725</v>
      </c>
      <c r="T1064" s="205"/>
    </row>
    <row r="1065" spans="1:24" hidden="1" x14ac:dyDescent="0.2">
      <c r="A1065" s="209" t="s">
        <v>646</v>
      </c>
      <c r="B1065" s="209" t="s">
        <v>647</v>
      </c>
      <c r="C1065" s="241">
        <v>45415</v>
      </c>
      <c r="D1065" s="209" t="s">
        <v>166</v>
      </c>
      <c r="F1065" s="211">
        <v>-185002</v>
      </c>
      <c r="G1065" s="211">
        <v>-18500</v>
      </c>
      <c r="H1065" s="211">
        <v>-925</v>
      </c>
      <c r="I1065" s="202">
        <f t="shared" si="16"/>
        <v>-167427</v>
      </c>
      <c r="J1065" s="209" t="s">
        <v>103</v>
      </c>
      <c r="K1065" s="209" t="s">
        <v>23</v>
      </c>
      <c r="M1065" s="209" t="s">
        <v>4365</v>
      </c>
      <c r="Q1065" s="216" t="s">
        <v>4366</v>
      </c>
      <c r="R1065" s="242" t="s">
        <v>4367</v>
      </c>
      <c r="S1065" s="242" t="s">
        <v>810</v>
      </c>
      <c r="T1065" s="213"/>
    </row>
    <row r="1066" spans="1:24" hidden="1" x14ac:dyDescent="0.2">
      <c r="A1066" s="209" t="s">
        <v>435</v>
      </c>
      <c r="B1066" s="209" t="s">
        <v>525</v>
      </c>
      <c r="C1066" s="241">
        <v>45436</v>
      </c>
      <c r="D1066" s="209" t="s">
        <v>152</v>
      </c>
      <c r="F1066" s="211">
        <v>3949632</v>
      </c>
      <c r="G1066" s="211">
        <v>394963</v>
      </c>
      <c r="H1066" s="211">
        <v>39496</v>
      </c>
      <c r="I1066" s="202">
        <f t="shared" si="16"/>
        <v>3594165</v>
      </c>
      <c r="J1066" s="209" t="s">
        <v>95</v>
      </c>
      <c r="K1066" s="209" t="s">
        <v>29</v>
      </c>
      <c r="M1066" s="209" t="s">
        <v>4368</v>
      </c>
      <c r="Q1066" s="243" t="s">
        <v>666</v>
      </c>
      <c r="R1066" s="242" t="s">
        <v>667</v>
      </c>
      <c r="S1066" s="242" t="s">
        <v>4369</v>
      </c>
      <c r="T1066" s="213"/>
      <c r="U1066" s="205"/>
      <c r="V1066" s="205"/>
      <c r="W1066" s="205"/>
      <c r="X1066" s="205"/>
    </row>
    <row r="1067" spans="1:24" hidden="1" x14ac:dyDescent="0.2">
      <c r="A1067" s="209" t="s">
        <v>4370</v>
      </c>
      <c r="B1067" s="209" t="s">
        <v>4371</v>
      </c>
      <c r="C1067" s="241">
        <v>45436</v>
      </c>
      <c r="D1067" s="209" t="s">
        <v>152</v>
      </c>
      <c r="F1067" s="211">
        <v>37021</v>
      </c>
      <c r="G1067" s="211">
        <v>3702</v>
      </c>
      <c r="H1067" s="211">
        <v>185</v>
      </c>
      <c r="I1067" s="202">
        <f t="shared" si="16"/>
        <v>33504</v>
      </c>
      <c r="J1067" s="209" t="s">
        <v>4372</v>
      </c>
      <c r="K1067" s="209" t="s">
        <v>23</v>
      </c>
      <c r="M1067" s="209" t="s">
        <v>4373</v>
      </c>
      <c r="Q1067" s="243" t="s">
        <v>738</v>
      </c>
      <c r="R1067" s="242" t="s">
        <v>739</v>
      </c>
      <c r="S1067" s="242" t="s">
        <v>4374</v>
      </c>
      <c r="T1067" s="213"/>
    </row>
    <row r="1068" spans="1:24" hidden="1" x14ac:dyDescent="0.2">
      <c r="A1068" s="209" t="s">
        <v>4375</v>
      </c>
      <c r="B1068" s="209" t="s">
        <v>4376</v>
      </c>
      <c r="C1068" s="241">
        <v>45436</v>
      </c>
      <c r="D1068" s="209" t="s">
        <v>152</v>
      </c>
      <c r="F1068" s="211">
        <v>546347</v>
      </c>
      <c r="G1068" s="211">
        <v>54635</v>
      </c>
      <c r="H1068" s="211">
        <v>2732</v>
      </c>
      <c r="I1068" s="202">
        <f t="shared" si="16"/>
        <v>494444</v>
      </c>
      <c r="J1068" s="209" t="s">
        <v>4377</v>
      </c>
      <c r="K1068" s="209" t="s">
        <v>23</v>
      </c>
      <c r="M1068" s="209" t="s">
        <v>4378</v>
      </c>
      <c r="Q1068" s="243" t="s">
        <v>696</v>
      </c>
      <c r="R1068" s="242" t="s">
        <v>697</v>
      </c>
      <c r="S1068" s="242" t="s">
        <v>492</v>
      </c>
      <c r="T1068" s="213"/>
    </row>
    <row r="1069" spans="1:24" hidden="1" x14ac:dyDescent="0.2">
      <c r="A1069" s="209" t="s">
        <v>3908</v>
      </c>
      <c r="B1069" s="209" t="s">
        <v>4379</v>
      </c>
      <c r="C1069" s="241">
        <v>45440</v>
      </c>
      <c r="D1069" s="209" t="s">
        <v>152</v>
      </c>
      <c r="F1069" s="211">
        <v>32253</v>
      </c>
      <c r="G1069" s="211">
        <v>3225</v>
      </c>
      <c r="H1069" s="211">
        <v>323</v>
      </c>
      <c r="I1069" s="202">
        <f t="shared" si="16"/>
        <v>29351</v>
      </c>
      <c r="J1069" s="209" t="s">
        <v>82</v>
      </c>
      <c r="K1069" s="209" t="s">
        <v>29</v>
      </c>
      <c r="M1069" s="209" t="s">
        <v>4380</v>
      </c>
      <c r="Q1069" s="243" t="s">
        <v>2191</v>
      </c>
      <c r="R1069" s="242" t="s">
        <v>2192</v>
      </c>
      <c r="S1069" s="242" t="s">
        <v>3716</v>
      </c>
      <c r="T1069" s="213"/>
      <c r="U1069" s="205"/>
      <c r="V1069" s="205"/>
      <c r="W1069" s="205"/>
      <c r="X1069" s="205"/>
    </row>
    <row r="1070" spans="1:24" hidden="1" x14ac:dyDescent="0.2">
      <c r="A1070" s="209" t="s">
        <v>3908</v>
      </c>
      <c r="B1070" s="209" t="s">
        <v>4379</v>
      </c>
      <c r="C1070" s="241">
        <v>45440</v>
      </c>
      <c r="D1070" s="209" t="s">
        <v>166</v>
      </c>
      <c r="F1070" s="211">
        <v>-32253</v>
      </c>
      <c r="G1070" s="211">
        <v>-3225</v>
      </c>
      <c r="H1070" s="211">
        <v>-323</v>
      </c>
      <c r="I1070" s="202">
        <f t="shared" si="16"/>
        <v>-29351</v>
      </c>
      <c r="J1070" s="209" t="s">
        <v>82</v>
      </c>
      <c r="K1070" s="209" t="s">
        <v>29</v>
      </c>
      <c r="M1070" s="209" t="s">
        <v>4381</v>
      </c>
      <c r="Q1070" s="243" t="s">
        <v>2191</v>
      </c>
      <c r="R1070" s="242" t="s">
        <v>2192</v>
      </c>
      <c r="S1070" s="242" t="s">
        <v>4382</v>
      </c>
      <c r="T1070" s="213"/>
      <c r="U1070" s="205"/>
      <c r="V1070" s="205"/>
      <c r="W1070" s="205"/>
      <c r="X1070" s="205"/>
    </row>
    <row r="1071" spans="1:24" hidden="1" x14ac:dyDescent="0.2">
      <c r="A1071" s="209" t="s">
        <v>4383</v>
      </c>
      <c r="B1071" s="209" t="s">
        <v>4384</v>
      </c>
      <c r="C1071" s="241">
        <v>45441</v>
      </c>
      <c r="D1071" s="209" t="s">
        <v>152</v>
      </c>
      <c r="F1071" s="211">
        <v>27573</v>
      </c>
      <c r="G1071" s="211">
        <v>2757</v>
      </c>
      <c r="H1071" s="211">
        <v>276</v>
      </c>
      <c r="I1071" s="202">
        <f t="shared" si="16"/>
        <v>25092</v>
      </c>
      <c r="J1071" s="209" t="s">
        <v>107</v>
      </c>
      <c r="K1071" s="209" t="s">
        <v>29</v>
      </c>
      <c r="M1071" s="209" t="s">
        <v>4385</v>
      </c>
      <c r="Q1071" s="243" t="s">
        <v>868</v>
      </c>
      <c r="R1071" s="242" t="s">
        <v>953</v>
      </c>
      <c r="S1071" s="242" t="s">
        <v>3984</v>
      </c>
      <c r="T1071" s="213"/>
      <c r="U1071" s="205"/>
      <c r="V1071" s="205"/>
      <c r="W1071" s="205"/>
      <c r="X1071" s="205"/>
    </row>
    <row r="1072" spans="1:24" hidden="1" x14ac:dyDescent="0.2">
      <c r="A1072" s="209" t="s">
        <v>4335</v>
      </c>
      <c r="B1072" s="209" t="s">
        <v>4386</v>
      </c>
      <c r="C1072" s="241">
        <v>45442</v>
      </c>
      <c r="D1072" s="209" t="s">
        <v>152</v>
      </c>
      <c r="F1072" s="211">
        <v>31943</v>
      </c>
      <c r="G1072" s="211">
        <v>3194</v>
      </c>
      <c r="H1072" s="211">
        <v>160</v>
      </c>
      <c r="I1072" s="202">
        <f t="shared" si="16"/>
        <v>28909</v>
      </c>
      <c r="J1072" s="209" t="s">
        <v>37</v>
      </c>
      <c r="K1072" s="209" t="s">
        <v>23</v>
      </c>
      <c r="M1072" s="209" t="s">
        <v>4387</v>
      </c>
      <c r="Q1072" s="243" t="s">
        <v>4388</v>
      </c>
      <c r="R1072" s="242" t="s">
        <v>4389</v>
      </c>
      <c r="S1072" s="242" t="s">
        <v>3890</v>
      </c>
      <c r="T1072" s="213"/>
    </row>
    <row r="1073" spans="1:24" hidden="1" x14ac:dyDescent="0.2">
      <c r="A1073" s="209" t="s">
        <v>4390</v>
      </c>
      <c r="B1073" s="209" t="s">
        <v>4391</v>
      </c>
      <c r="C1073" s="241">
        <v>45442</v>
      </c>
      <c r="D1073" s="209" t="s">
        <v>152</v>
      </c>
      <c r="F1073" s="211">
        <v>52204</v>
      </c>
      <c r="G1073" s="211">
        <v>5220</v>
      </c>
      <c r="H1073" s="211">
        <v>261</v>
      </c>
      <c r="I1073" s="202">
        <f t="shared" si="16"/>
        <v>47245</v>
      </c>
      <c r="J1073" s="209" t="s">
        <v>37</v>
      </c>
      <c r="K1073" s="209" t="s">
        <v>23</v>
      </c>
      <c r="M1073" s="209" t="s">
        <v>4392</v>
      </c>
      <c r="Q1073" s="243" t="s">
        <v>3254</v>
      </c>
      <c r="R1073" s="242" t="s">
        <v>3285</v>
      </c>
      <c r="S1073" s="242" t="s">
        <v>3890</v>
      </c>
      <c r="T1073" s="213"/>
    </row>
    <row r="1074" spans="1:24" hidden="1" x14ac:dyDescent="0.2">
      <c r="A1074" s="209" t="s">
        <v>4335</v>
      </c>
      <c r="B1074" s="209" t="s">
        <v>4386</v>
      </c>
      <c r="C1074" s="241">
        <v>45442</v>
      </c>
      <c r="D1074" s="209" t="s">
        <v>166</v>
      </c>
      <c r="F1074" s="211">
        <v>-31943</v>
      </c>
      <c r="G1074" s="211">
        <v>-3194</v>
      </c>
      <c r="H1074" s="211">
        <v>-160</v>
      </c>
      <c r="I1074" s="202">
        <f t="shared" si="16"/>
        <v>-28909</v>
      </c>
      <c r="J1074" s="209" t="s">
        <v>37</v>
      </c>
      <c r="K1074" s="209" t="s">
        <v>23</v>
      </c>
      <c r="M1074" s="209" t="s">
        <v>4393</v>
      </c>
      <c r="Q1074" s="243" t="s">
        <v>4388</v>
      </c>
      <c r="R1074" s="242" t="s">
        <v>4389</v>
      </c>
      <c r="S1074" s="242" t="s">
        <v>843</v>
      </c>
      <c r="T1074" s="213"/>
    </row>
    <row r="1075" spans="1:24" hidden="1" x14ac:dyDescent="0.2">
      <c r="A1075" s="209" t="s">
        <v>4394</v>
      </c>
      <c r="B1075" s="209" t="s">
        <v>4395</v>
      </c>
      <c r="C1075" s="241">
        <v>45443</v>
      </c>
      <c r="D1075" s="209" t="s">
        <v>166</v>
      </c>
      <c r="F1075" s="211">
        <v>-75633</v>
      </c>
      <c r="G1075" s="211">
        <v>-7563</v>
      </c>
      <c r="H1075" s="211">
        <v>-756</v>
      </c>
      <c r="I1075" s="202">
        <f t="shared" si="16"/>
        <v>-68826</v>
      </c>
      <c r="J1075" s="209" t="s">
        <v>1253</v>
      </c>
      <c r="K1075" s="209" t="s">
        <v>29</v>
      </c>
      <c r="M1075" s="209" t="s">
        <v>4396</v>
      </c>
      <c r="Q1075" s="243" t="s">
        <v>4397</v>
      </c>
      <c r="R1075" s="242" t="s">
        <v>4398</v>
      </c>
      <c r="S1075" s="242" t="s">
        <v>3279</v>
      </c>
      <c r="T1075" s="213"/>
      <c r="U1075" s="205"/>
      <c r="V1075" s="205"/>
      <c r="W1075" s="205"/>
      <c r="X1075" s="205"/>
    </row>
    <row r="1076" spans="1:24" hidden="1" x14ac:dyDescent="0.2">
      <c r="A1076" s="209" t="s">
        <v>36</v>
      </c>
      <c r="B1076" s="209" t="s">
        <v>4399</v>
      </c>
      <c r="C1076" s="241">
        <v>45443</v>
      </c>
      <c r="D1076" s="209" t="s">
        <v>152</v>
      </c>
      <c r="F1076" s="211">
        <v>84856</v>
      </c>
      <c r="G1076" s="211">
        <v>8486</v>
      </c>
      <c r="H1076" s="211">
        <v>424</v>
      </c>
      <c r="I1076" s="202">
        <f t="shared" si="16"/>
        <v>76794</v>
      </c>
      <c r="J1076" s="209" t="s">
        <v>37</v>
      </c>
      <c r="K1076" s="209" t="s">
        <v>23</v>
      </c>
      <c r="M1076" s="209" t="s">
        <v>4400</v>
      </c>
      <c r="Q1076" s="243" t="s">
        <v>1037</v>
      </c>
      <c r="R1076" s="242" t="s">
        <v>1400</v>
      </c>
      <c r="S1076" s="242" t="s">
        <v>3323</v>
      </c>
      <c r="T1076" s="213"/>
    </row>
    <row r="1077" spans="1:24" hidden="1" x14ac:dyDescent="0.2">
      <c r="A1077" s="209" t="s">
        <v>36</v>
      </c>
      <c r="B1077" s="209" t="s">
        <v>4399</v>
      </c>
      <c r="C1077" s="241">
        <v>45443</v>
      </c>
      <c r="D1077" s="209" t="s">
        <v>166</v>
      </c>
      <c r="F1077" s="211">
        <v>-84856</v>
      </c>
      <c r="G1077" s="211">
        <v>-8486</v>
      </c>
      <c r="H1077" s="211">
        <v>-424</v>
      </c>
      <c r="I1077" s="202">
        <f t="shared" si="16"/>
        <v>-76794</v>
      </c>
      <c r="J1077" s="209" t="s">
        <v>37</v>
      </c>
      <c r="K1077" s="209" t="s">
        <v>23</v>
      </c>
      <c r="M1077" s="209" t="s">
        <v>4401</v>
      </c>
      <c r="Q1077" s="243" t="s">
        <v>1037</v>
      </c>
      <c r="R1077" s="242" t="s">
        <v>1400</v>
      </c>
      <c r="S1077" s="242" t="s">
        <v>3323</v>
      </c>
      <c r="T1077" s="213"/>
    </row>
    <row r="1078" spans="1:24" hidden="1" x14ac:dyDescent="0.2">
      <c r="A1078" s="209" t="s">
        <v>4402</v>
      </c>
      <c r="B1078" s="209" t="s">
        <v>4403</v>
      </c>
      <c r="C1078" s="241">
        <v>45443</v>
      </c>
      <c r="D1078" s="209" t="s">
        <v>152</v>
      </c>
      <c r="F1078" s="211">
        <v>133541</v>
      </c>
      <c r="G1078" s="206">
        <v>0</v>
      </c>
      <c r="H1078" s="206">
        <v>0</v>
      </c>
      <c r="I1078" s="202">
        <f t="shared" si="16"/>
        <v>133541</v>
      </c>
      <c r="J1078" s="209" t="s">
        <v>25</v>
      </c>
      <c r="K1078" s="209" t="s">
        <v>214</v>
      </c>
      <c r="M1078" s="209" t="s">
        <v>4404</v>
      </c>
      <c r="Q1078" s="243" t="s">
        <v>1978</v>
      </c>
      <c r="R1078" s="242" t="s">
        <v>1979</v>
      </c>
      <c r="S1078" s="242" t="s">
        <v>3890</v>
      </c>
      <c r="T1078" s="213"/>
    </row>
    <row r="1079" spans="1:24" hidden="1" x14ac:dyDescent="0.2">
      <c r="A1079" s="209" t="s">
        <v>4402</v>
      </c>
      <c r="B1079" s="209" t="s">
        <v>4403</v>
      </c>
      <c r="C1079" s="241">
        <v>45443</v>
      </c>
      <c r="D1079" s="209" t="s">
        <v>166</v>
      </c>
      <c r="F1079" s="211">
        <v>-133541</v>
      </c>
      <c r="G1079" s="206">
        <v>0</v>
      </c>
      <c r="H1079" s="206">
        <v>0</v>
      </c>
      <c r="I1079" s="202">
        <f t="shared" si="16"/>
        <v>-133541</v>
      </c>
      <c r="J1079" s="209" t="s">
        <v>25</v>
      </c>
      <c r="K1079" s="209" t="s">
        <v>214</v>
      </c>
      <c r="M1079" s="209" t="s">
        <v>4405</v>
      </c>
      <c r="Q1079" s="243" t="s">
        <v>1978</v>
      </c>
      <c r="R1079" s="242" t="s">
        <v>1979</v>
      </c>
      <c r="S1079" s="242" t="s">
        <v>3890</v>
      </c>
      <c r="T1079" s="213"/>
    </row>
    <row r="1080" spans="1:24" s="222" customFormat="1" ht="12.75" thickBot="1" x14ac:dyDescent="0.25">
      <c r="C1080" s="244"/>
      <c r="F1080" s="245"/>
      <c r="G1080" s="245"/>
      <c r="H1080" s="245"/>
      <c r="I1080" s="245"/>
      <c r="Q1080" s="244"/>
      <c r="R1080" s="244"/>
      <c r="S1080" s="244"/>
    </row>
    <row r="1081" spans="1:24" s="227" customFormat="1" ht="12.75" thickBot="1" x14ac:dyDescent="0.25">
      <c r="C1081" s="246"/>
      <c r="D1081" s="227" t="s">
        <v>4406</v>
      </c>
      <c r="F1081" s="247">
        <f>SUM(F2:F1080)</f>
        <v>336661156</v>
      </c>
      <c r="G1081" s="247">
        <f>SUM(G2:G1080)</f>
        <v>15040552</v>
      </c>
      <c r="H1081" s="247">
        <f>SUM(H2:H1080)</f>
        <v>1097997</v>
      </c>
      <c r="I1081" s="247">
        <f>SUM(I2:I1080)</f>
        <v>322718601</v>
      </c>
      <c r="Q1081" s="246"/>
      <c r="R1081" s="246"/>
      <c r="S1081" s="246"/>
    </row>
    <row r="1089" spans="2:8" x14ac:dyDescent="0.2">
      <c r="E1089" s="209" t="s">
        <v>4407</v>
      </c>
      <c r="F1089" s="211" t="s">
        <v>4408</v>
      </c>
      <c r="G1089" s="211" t="s">
        <v>4409</v>
      </c>
      <c r="H1089" s="211" t="s">
        <v>4410</v>
      </c>
    </row>
    <row r="1090" spans="2:8" x14ac:dyDescent="0.2">
      <c r="C1090" s="213">
        <v>2024</v>
      </c>
      <c r="D1090" s="248">
        <v>356602</v>
      </c>
      <c r="E1090" s="248">
        <f>65%*D1090</f>
        <v>231791.30000000002</v>
      </c>
      <c r="F1090" s="211">
        <f>1%*E1090</f>
        <v>2317.913</v>
      </c>
      <c r="G1090" s="211">
        <f>21%*E1090</f>
        <v>48676.173000000003</v>
      </c>
      <c r="H1090" s="211">
        <f>E1090-F1090-G1090</f>
        <v>180797.21400000001</v>
      </c>
    </row>
    <row r="1091" spans="2:8" x14ac:dyDescent="0.2">
      <c r="C1091" s="213">
        <v>2022</v>
      </c>
      <c r="D1091" s="248">
        <v>-171679</v>
      </c>
      <c r="E1091" s="248">
        <f>65%*D1091</f>
        <v>-111591.35</v>
      </c>
      <c r="F1091" s="211">
        <f>1%*E1091</f>
        <v>-1115.9135000000001</v>
      </c>
      <c r="G1091" s="211">
        <f>21%*E1091</f>
        <v>-23434.183499999999</v>
      </c>
      <c r="H1091" s="211">
        <f>E1091-F1091-G1091</f>
        <v>-87041.253000000012</v>
      </c>
    </row>
    <row r="1092" spans="2:8" x14ac:dyDescent="0.2">
      <c r="C1092" s="213">
        <v>2023</v>
      </c>
      <c r="D1092" s="248">
        <v>11094533</v>
      </c>
      <c r="E1092" s="248">
        <f>65%*D1092</f>
        <v>7211446.4500000002</v>
      </c>
      <c r="F1092" s="211">
        <f>1%*E1092</f>
        <v>72114.464500000002</v>
      </c>
      <c r="G1092" s="211">
        <f>21%*E1092</f>
        <v>1514403.7545</v>
      </c>
      <c r="H1092" s="211">
        <f>E1092-F1092-G1092</f>
        <v>5624928.2310000006</v>
      </c>
    </row>
    <row r="1093" spans="2:8" x14ac:dyDescent="0.2">
      <c r="C1093" s="213">
        <v>2024</v>
      </c>
      <c r="D1093" s="248">
        <v>325381700</v>
      </c>
      <c r="E1093" s="248">
        <f>65%*D1093</f>
        <v>211498105</v>
      </c>
      <c r="F1093" s="211">
        <f>1%*E1093</f>
        <v>2114981.0499999998</v>
      </c>
      <c r="G1093" s="211">
        <f>21%*E1093</f>
        <v>44414602.049999997</v>
      </c>
      <c r="H1093" s="211">
        <f>E1093-F1093-G1093</f>
        <v>164968521.89999998</v>
      </c>
    </row>
    <row r="1094" spans="2:8" x14ac:dyDescent="0.2">
      <c r="D1094" s="249">
        <f>SUBTOTAL(9,D1090:D1093)</f>
        <v>336661156</v>
      </c>
      <c r="E1094" s="248">
        <f>65%*D1094</f>
        <v>218829751.40000001</v>
      </c>
      <c r="F1094" s="249">
        <f>SUBTOTAL(9,F1090:F1093)</f>
        <v>2188297.514</v>
      </c>
      <c r="G1094" s="211">
        <f>SUBTOTAL(9,G1090:G1093)</f>
        <v>45954247.794</v>
      </c>
      <c r="H1094" s="211">
        <f>E1094-F1094-G1094</f>
        <v>170687206.09200001</v>
      </c>
    </row>
    <row r="1097" spans="2:8" x14ac:dyDescent="0.2">
      <c r="B1097" s="213"/>
      <c r="C1097" s="209" t="s">
        <v>2373</v>
      </c>
      <c r="D1097" s="211" t="s">
        <v>2374</v>
      </c>
      <c r="E1097" s="211"/>
      <c r="F1097" s="211" t="s">
        <v>2375</v>
      </c>
      <c r="G1097" s="211" t="s">
        <v>2376</v>
      </c>
      <c r="H1097" s="211" t="s">
        <v>2377</v>
      </c>
    </row>
    <row r="1098" spans="2:8" x14ac:dyDescent="0.2">
      <c r="B1098" s="213">
        <v>2022</v>
      </c>
      <c r="C1098" s="231">
        <f>30%*H1091</f>
        <v>-26112.375900000003</v>
      </c>
      <c r="D1098" s="211">
        <f>25%*H1091</f>
        <v>-21760.313250000003</v>
      </c>
      <c r="E1098" s="211"/>
      <c r="F1098" s="211">
        <f>25%*H1091</f>
        <v>-21760.313250000003</v>
      </c>
      <c r="G1098" s="211">
        <f>15%*H1091</f>
        <v>-13056.187950000001</v>
      </c>
      <c r="H1098" s="211">
        <f>5%*H1091</f>
        <v>-4352.0626500000008</v>
      </c>
    </row>
    <row r="1099" spans="2:8" x14ac:dyDescent="0.2">
      <c r="B1099" s="213">
        <v>2023</v>
      </c>
      <c r="C1099" s="231">
        <f>35%*H1092</f>
        <v>1968724.8808500001</v>
      </c>
      <c r="D1099" s="211">
        <f>25%*H1092</f>
        <v>1406232.0577500002</v>
      </c>
      <c r="E1099" s="211"/>
      <c r="F1099" s="211">
        <f>25%*H1092</f>
        <v>1406232.0577500002</v>
      </c>
      <c r="G1099" s="211">
        <f>10%*H1092</f>
        <v>562492.82310000004</v>
      </c>
      <c r="H1099" s="211">
        <f>5%*H1092</f>
        <v>281246.41155000002</v>
      </c>
    </row>
    <row r="1100" spans="2:8" x14ac:dyDescent="0.2">
      <c r="B1100" s="213">
        <v>2024</v>
      </c>
      <c r="C1100" s="231">
        <f>36%*H1093</f>
        <v>59388667.883999988</v>
      </c>
      <c r="D1100" s="211">
        <f>25%*H1093</f>
        <v>41242130.474999994</v>
      </c>
      <c r="E1100" s="211"/>
      <c r="F1100" s="211">
        <f>25%*H1093</f>
        <v>41242130.474999994</v>
      </c>
      <c r="G1100" s="211">
        <f>9%*H1093</f>
        <v>14847166.970999997</v>
      </c>
      <c r="H1100" s="211">
        <f>5%*H1093</f>
        <v>8248426.0949999988</v>
      </c>
    </row>
    <row r="1101" spans="2:8" x14ac:dyDescent="0.2">
      <c r="B1101" s="213">
        <v>2025</v>
      </c>
      <c r="C1101" s="231">
        <f>36%*H1090</f>
        <v>65086.997040000002</v>
      </c>
      <c r="D1101" s="211">
        <f>25%*H1090</f>
        <v>45199.303500000002</v>
      </c>
      <c r="E1101" s="211"/>
      <c r="F1101" s="211">
        <f>25%*H1090</f>
        <v>45199.303500000002</v>
      </c>
      <c r="G1101" s="211">
        <f>9%*H1090</f>
        <v>16271.749260000001</v>
      </c>
      <c r="H1101" s="211">
        <f>5%*H1090</f>
        <v>9039.8607000000011</v>
      </c>
    </row>
    <row r="1102" spans="2:8" x14ac:dyDescent="0.2">
      <c r="B1102" s="213"/>
      <c r="C1102" s="250">
        <f>SUM(C1098:C1101)</f>
        <v>61396367.385989994</v>
      </c>
      <c r="D1102" s="250">
        <f>SUM(D1098:D1101)</f>
        <v>42671801.522999994</v>
      </c>
      <c r="E1102" s="250"/>
      <c r="F1102" s="250">
        <f>SUM(F1098:F1101)</f>
        <v>42671801.522999994</v>
      </c>
      <c r="G1102" s="250">
        <f>SUM(G1098:G1101)</f>
        <v>15412875.355409998</v>
      </c>
      <c r="H1102" s="250">
        <f>SUM(H1098:H1101)</f>
        <v>8534360.3045999985</v>
      </c>
    </row>
    <row r="1105" spans="10:10" x14ac:dyDescent="0.2">
      <c r="J1105" s="251"/>
    </row>
  </sheetData>
  <autoFilter ref="A1:X1079" xr:uid="{239E1662-22AC-4EED-90BC-AE644BCA0791}">
    <filterColumn colId="16">
      <filters>
        <filter val="2025-01-01"/>
        <filter val="2025-04-01"/>
        <filter val="2025-05-01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A2F1-90BB-4A54-89E1-619B1ADAF408}">
  <dimension ref="A1:R876"/>
  <sheetViews>
    <sheetView topLeftCell="J1" zoomScaleNormal="100" workbookViewId="0">
      <pane ySplit="1" topLeftCell="A852" activePane="bottomLeft" state="frozen"/>
      <selection pane="bottomLeft" activeCell="K874" sqref="K874"/>
    </sheetView>
  </sheetViews>
  <sheetFormatPr defaultColWidth="31.28515625" defaultRowHeight="12" x14ac:dyDescent="0.2"/>
  <cols>
    <col min="1" max="1" width="54.85546875" style="209" bestFit="1" customWidth="1"/>
    <col min="2" max="2" width="22.5703125" style="209" bestFit="1" customWidth="1"/>
    <col min="3" max="3" width="15.7109375" style="233" customWidth="1"/>
    <col min="4" max="4" width="16.140625" style="209" customWidth="1"/>
    <col min="5" max="5" width="13.28515625" style="211" customWidth="1"/>
    <col min="6" max="6" width="16.7109375" style="211" customWidth="1"/>
    <col min="7" max="7" width="12.85546875" style="211" customWidth="1"/>
    <col min="8" max="8" width="12.85546875" style="211" bestFit="1" customWidth="1"/>
    <col min="9" max="9" width="53.7109375" style="209" bestFit="1" customWidth="1"/>
    <col min="10" max="10" width="16" style="209" customWidth="1"/>
    <col min="11" max="11" width="28.28515625" style="209" bestFit="1" customWidth="1"/>
    <col min="12" max="12" width="21.7109375" style="209" bestFit="1" customWidth="1"/>
    <col min="13" max="13" width="17.7109375" style="209" bestFit="1" customWidth="1"/>
    <col min="14" max="14" width="13.140625" style="209" customWidth="1"/>
    <col min="15" max="15" width="21.140625" style="209" bestFit="1" customWidth="1"/>
    <col min="16" max="16" width="13.140625" style="213" customWidth="1"/>
    <col min="17" max="17" width="12.7109375" style="213" customWidth="1"/>
    <col min="18" max="18" width="14.28515625" style="213" bestFit="1" customWidth="1"/>
    <col min="19" max="256" width="31.28515625" style="209"/>
    <col min="257" max="257" width="54.85546875" style="209" bestFit="1" customWidth="1"/>
    <col min="258" max="258" width="22.5703125" style="209" bestFit="1" customWidth="1"/>
    <col min="259" max="259" width="15.7109375" style="209" customWidth="1"/>
    <col min="260" max="260" width="16.140625" style="209" customWidth="1"/>
    <col min="261" max="261" width="13.28515625" style="209" customWidth="1"/>
    <col min="262" max="262" width="16.7109375" style="209" customWidth="1"/>
    <col min="263" max="263" width="12.85546875" style="209" customWidth="1"/>
    <col min="264" max="264" width="12.85546875" style="209" bestFit="1" customWidth="1"/>
    <col min="265" max="265" width="53.7109375" style="209" bestFit="1" customWidth="1"/>
    <col min="266" max="266" width="16" style="209" customWidth="1"/>
    <col min="267" max="267" width="28.28515625" style="209" bestFit="1" customWidth="1"/>
    <col min="268" max="268" width="21.7109375" style="209" bestFit="1" customWidth="1"/>
    <col min="269" max="269" width="17.7109375" style="209" bestFit="1" customWidth="1"/>
    <col min="270" max="270" width="13.140625" style="209" customWidth="1"/>
    <col min="271" max="271" width="21.140625" style="209" bestFit="1" customWidth="1"/>
    <col min="272" max="272" width="13.140625" style="209" customWidth="1"/>
    <col min="273" max="273" width="12.7109375" style="209" customWidth="1"/>
    <col min="274" max="274" width="14.28515625" style="209" bestFit="1" customWidth="1"/>
    <col min="275" max="512" width="31.28515625" style="209"/>
    <col min="513" max="513" width="54.85546875" style="209" bestFit="1" customWidth="1"/>
    <col min="514" max="514" width="22.5703125" style="209" bestFit="1" customWidth="1"/>
    <col min="515" max="515" width="15.7109375" style="209" customWidth="1"/>
    <col min="516" max="516" width="16.140625" style="209" customWidth="1"/>
    <col min="517" max="517" width="13.28515625" style="209" customWidth="1"/>
    <col min="518" max="518" width="16.7109375" style="209" customWidth="1"/>
    <col min="519" max="519" width="12.85546875" style="209" customWidth="1"/>
    <col min="520" max="520" width="12.85546875" style="209" bestFit="1" customWidth="1"/>
    <col min="521" max="521" width="53.7109375" style="209" bestFit="1" customWidth="1"/>
    <col min="522" max="522" width="16" style="209" customWidth="1"/>
    <col min="523" max="523" width="28.28515625" style="209" bestFit="1" customWidth="1"/>
    <col min="524" max="524" width="21.7109375" style="209" bestFit="1" customWidth="1"/>
    <col min="525" max="525" width="17.7109375" style="209" bestFit="1" customWidth="1"/>
    <col min="526" max="526" width="13.140625" style="209" customWidth="1"/>
    <col min="527" max="527" width="21.140625" style="209" bestFit="1" customWidth="1"/>
    <col min="528" max="528" width="13.140625" style="209" customWidth="1"/>
    <col min="529" max="529" width="12.7109375" style="209" customWidth="1"/>
    <col min="530" max="530" width="14.28515625" style="209" bestFit="1" customWidth="1"/>
    <col min="531" max="768" width="31.28515625" style="209"/>
    <col min="769" max="769" width="54.85546875" style="209" bestFit="1" customWidth="1"/>
    <col min="770" max="770" width="22.5703125" style="209" bestFit="1" customWidth="1"/>
    <col min="771" max="771" width="15.7109375" style="209" customWidth="1"/>
    <col min="772" max="772" width="16.140625" style="209" customWidth="1"/>
    <col min="773" max="773" width="13.28515625" style="209" customWidth="1"/>
    <col min="774" max="774" width="16.7109375" style="209" customWidth="1"/>
    <col min="775" max="775" width="12.85546875" style="209" customWidth="1"/>
    <col min="776" max="776" width="12.85546875" style="209" bestFit="1" customWidth="1"/>
    <col min="777" max="777" width="53.7109375" style="209" bestFit="1" customWidth="1"/>
    <col min="778" max="778" width="16" style="209" customWidth="1"/>
    <col min="779" max="779" width="28.28515625" style="209" bestFit="1" customWidth="1"/>
    <col min="780" max="780" width="21.7109375" style="209" bestFit="1" customWidth="1"/>
    <col min="781" max="781" width="17.7109375" style="209" bestFit="1" customWidth="1"/>
    <col min="782" max="782" width="13.140625" style="209" customWidth="1"/>
    <col min="783" max="783" width="21.140625" style="209" bestFit="1" customWidth="1"/>
    <col min="784" max="784" width="13.140625" style="209" customWidth="1"/>
    <col min="785" max="785" width="12.7109375" style="209" customWidth="1"/>
    <col min="786" max="786" width="14.28515625" style="209" bestFit="1" customWidth="1"/>
    <col min="787" max="1024" width="31.28515625" style="209"/>
    <col min="1025" max="1025" width="54.85546875" style="209" bestFit="1" customWidth="1"/>
    <col min="1026" max="1026" width="22.5703125" style="209" bestFit="1" customWidth="1"/>
    <col min="1027" max="1027" width="15.7109375" style="209" customWidth="1"/>
    <col min="1028" max="1028" width="16.140625" style="209" customWidth="1"/>
    <col min="1029" max="1029" width="13.28515625" style="209" customWidth="1"/>
    <col min="1030" max="1030" width="16.7109375" style="209" customWidth="1"/>
    <col min="1031" max="1031" width="12.85546875" style="209" customWidth="1"/>
    <col min="1032" max="1032" width="12.85546875" style="209" bestFit="1" customWidth="1"/>
    <col min="1033" max="1033" width="53.7109375" style="209" bestFit="1" customWidth="1"/>
    <col min="1034" max="1034" width="16" style="209" customWidth="1"/>
    <col min="1035" max="1035" width="28.28515625" style="209" bestFit="1" customWidth="1"/>
    <col min="1036" max="1036" width="21.7109375" style="209" bestFit="1" customWidth="1"/>
    <col min="1037" max="1037" width="17.7109375" style="209" bestFit="1" customWidth="1"/>
    <col min="1038" max="1038" width="13.140625" style="209" customWidth="1"/>
    <col min="1039" max="1039" width="21.140625" style="209" bestFit="1" customWidth="1"/>
    <col min="1040" max="1040" width="13.140625" style="209" customWidth="1"/>
    <col min="1041" max="1041" width="12.7109375" style="209" customWidth="1"/>
    <col min="1042" max="1042" width="14.28515625" style="209" bestFit="1" customWidth="1"/>
    <col min="1043" max="1280" width="31.28515625" style="209"/>
    <col min="1281" max="1281" width="54.85546875" style="209" bestFit="1" customWidth="1"/>
    <col min="1282" max="1282" width="22.5703125" style="209" bestFit="1" customWidth="1"/>
    <col min="1283" max="1283" width="15.7109375" style="209" customWidth="1"/>
    <col min="1284" max="1284" width="16.140625" style="209" customWidth="1"/>
    <col min="1285" max="1285" width="13.28515625" style="209" customWidth="1"/>
    <col min="1286" max="1286" width="16.7109375" style="209" customWidth="1"/>
    <col min="1287" max="1287" width="12.85546875" style="209" customWidth="1"/>
    <col min="1288" max="1288" width="12.85546875" style="209" bestFit="1" customWidth="1"/>
    <col min="1289" max="1289" width="53.7109375" style="209" bestFit="1" customWidth="1"/>
    <col min="1290" max="1290" width="16" style="209" customWidth="1"/>
    <col min="1291" max="1291" width="28.28515625" style="209" bestFit="1" customWidth="1"/>
    <col min="1292" max="1292" width="21.7109375" style="209" bestFit="1" customWidth="1"/>
    <col min="1293" max="1293" width="17.7109375" style="209" bestFit="1" customWidth="1"/>
    <col min="1294" max="1294" width="13.140625" style="209" customWidth="1"/>
    <col min="1295" max="1295" width="21.140625" style="209" bestFit="1" customWidth="1"/>
    <col min="1296" max="1296" width="13.140625" style="209" customWidth="1"/>
    <col min="1297" max="1297" width="12.7109375" style="209" customWidth="1"/>
    <col min="1298" max="1298" width="14.28515625" style="209" bestFit="1" customWidth="1"/>
    <col min="1299" max="1536" width="31.28515625" style="209"/>
    <col min="1537" max="1537" width="54.85546875" style="209" bestFit="1" customWidth="1"/>
    <col min="1538" max="1538" width="22.5703125" style="209" bestFit="1" customWidth="1"/>
    <col min="1539" max="1539" width="15.7109375" style="209" customWidth="1"/>
    <col min="1540" max="1540" width="16.140625" style="209" customWidth="1"/>
    <col min="1541" max="1541" width="13.28515625" style="209" customWidth="1"/>
    <col min="1542" max="1542" width="16.7109375" style="209" customWidth="1"/>
    <col min="1543" max="1543" width="12.85546875" style="209" customWidth="1"/>
    <col min="1544" max="1544" width="12.85546875" style="209" bestFit="1" customWidth="1"/>
    <col min="1545" max="1545" width="53.7109375" style="209" bestFit="1" customWidth="1"/>
    <col min="1546" max="1546" width="16" style="209" customWidth="1"/>
    <col min="1547" max="1547" width="28.28515625" style="209" bestFit="1" customWidth="1"/>
    <col min="1548" max="1548" width="21.7109375" style="209" bestFit="1" customWidth="1"/>
    <col min="1549" max="1549" width="17.7109375" style="209" bestFit="1" customWidth="1"/>
    <col min="1550" max="1550" width="13.140625" style="209" customWidth="1"/>
    <col min="1551" max="1551" width="21.140625" style="209" bestFit="1" customWidth="1"/>
    <col min="1552" max="1552" width="13.140625" style="209" customWidth="1"/>
    <col min="1553" max="1553" width="12.7109375" style="209" customWidth="1"/>
    <col min="1554" max="1554" width="14.28515625" style="209" bestFit="1" customWidth="1"/>
    <col min="1555" max="1792" width="31.28515625" style="209"/>
    <col min="1793" max="1793" width="54.85546875" style="209" bestFit="1" customWidth="1"/>
    <col min="1794" max="1794" width="22.5703125" style="209" bestFit="1" customWidth="1"/>
    <col min="1795" max="1795" width="15.7109375" style="209" customWidth="1"/>
    <col min="1796" max="1796" width="16.140625" style="209" customWidth="1"/>
    <col min="1797" max="1797" width="13.28515625" style="209" customWidth="1"/>
    <col min="1798" max="1798" width="16.7109375" style="209" customWidth="1"/>
    <col min="1799" max="1799" width="12.85546875" style="209" customWidth="1"/>
    <col min="1800" max="1800" width="12.85546875" style="209" bestFit="1" customWidth="1"/>
    <col min="1801" max="1801" width="53.7109375" style="209" bestFit="1" customWidth="1"/>
    <col min="1802" max="1802" width="16" style="209" customWidth="1"/>
    <col min="1803" max="1803" width="28.28515625" style="209" bestFit="1" customWidth="1"/>
    <col min="1804" max="1804" width="21.7109375" style="209" bestFit="1" customWidth="1"/>
    <col min="1805" max="1805" width="17.7109375" style="209" bestFit="1" customWidth="1"/>
    <col min="1806" max="1806" width="13.140625" style="209" customWidth="1"/>
    <col min="1807" max="1807" width="21.140625" style="209" bestFit="1" customWidth="1"/>
    <col min="1808" max="1808" width="13.140625" style="209" customWidth="1"/>
    <col min="1809" max="1809" width="12.7109375" style="209" customWidth="1"/>
    <col min="1810" max="1810" width="14.28515625" style="209" bestFit="1" customWidth="1"/>
    <col min="1811" max="2048" width="31.28515625" style="209"/>
    <col min="2049" max="2049" width="54.85546875" style="209" bestFit="1" customWidth="1"/>
    <col min="2050" max="2050" width="22.5703125" style="209" bestFit="1" customWidth="1"/>
    <col min="2051" max="2051" width="15.7109375" style="209" customWidth="1"/>
    <col min="2052" max="2052" width="16.140625" style="209" customWidth="1"/>
    <col min="2053" max="2053" width="13.28515625" style="209" customWidth="1"/>
    <col min="2054" max="2054" width="16.7109375" style="209" customWidth="1"/>
    <col min="2055" max="2055" width="12.85546875" style="209" customWidth="1"/>
    <col min="2056" max="2056" width="12.85546875" style="209" bestFit="1" customWidth="1"/>
    <col min="2057" max="2057" width="53.7109375" style="209" bestFit="1" customWidth="1"/>
    <col min="2058" max="2058" width="16" style="209" customWidth="1"/>
    <col min="2059" max="2059" width="28.28515625" style="209" bestFit="1" customWidth="1"/>
    <col min="2060" max="2060" width="21.7109375" style="209" bestFit="1" customWidth="1"/>
    <col min="2061" max="2061" width="17.7109375" style="209" bestFit="1" customWidth="1"/>
    <col min="2062" max="2062" width="13.140625" style="209" customWidth="1"/>
    <col min="2063" max="2063" width="21.140625" style="209" bestFit="1" customWidth="1"/>
    <col min="2064" max="2064" width="13.140625" style="209" customWidth="1"/>
    <col min="2065" max="2065" width="12.7109375" style="209" customWidth="1"/>
    <col min="2066" max="2066" width="14.28515625" style="209" bestFit="1" customWidth="1"/>
    <col min="2067" max="2304" width="31.28515625" style="209"/>
    <col min="2305" max="2305" width="54.85546875" style="209" bestFit="1" customWidth="1"/>
    <col min="2306" max="2306" width="22.5703125" style="209" bestFit="1" customWidth="1"/>
    <col min="2307" max="2307" width="15.7109375" style="209" customWidth="1"/>
    <col min="2308" max="2308" width="16.140625" style="209" customWidth="1"/>
    <col min="2309" max="2309" width="13.28515625" style="209" customWidth="1"/>
    <col min="2310" max="2310" width="16.7109375" style="209" customWidth="1"/>
    <col min="2311" max="2311" width="12.85546875" style="209" customWidth="1"/>
    <col min="2312" max="2312" width="12.85546875" style="209" bestFit="1" customWidth="1"/>
    <col min="2313" max="2313" width="53.7109375" style="209" bestFit="1" customWidth="1"/>
    <col min="2314" max="2314" width="16" style="209" customWidth="1"/>
    <col min="2315" max="2315" width="28.28515625" style="209" bestFit="1" customWidth="1"/>
    <col min="2316" max="2316" width="21.7109375" style="209" bestFit="1" customWidth="1"/>
    <col min="2317" max="2317" width="17.7109375" style="209" bestFit="1" customWidth="1"/>
    <col min="2318" max="2318" width="13.140625" style="209" customWidth="1"/>
    <col min="2319" max="2319" width="21.140625" style="209" bestFit="1" customWidth="1"/>
    <col min="2320" max="2320" width="13.140625" style="209" customWidth="1"/>
    <col min="2321" max="2321" width="12.7109375" style="209" customWidth="1"/>
    <col min="2322" max="2322" width="14.28515625" style="209" bestFit="1" customWidth="1"/>
    <col min="2323" max="2560" width="31.28515625" style="209"/>
    <col min="2561" max="2561" width="54.85546875" style="209" bestFit="1" customWidth="1"/>
    <col min="2562" max="2562" width="22.5703125" style="209" bestFit="1" customWidth="1"/>
    <col min="2563" max="2563" width="15.7109375" style="209" customWidth="1"/>
    <col min="2564" max="2564" width="16.140625" style="209" customWidth="1"/>
    <col min="2565" max="2565" width="13.28515625" style="209" customWidth="1"/>
    <col min="2566" max="2566" width="16.7109375" style="209" customWidth="1"/>
    <col min="2567" max="2567" width="12.85546875" style="209" customWidth="1"/>
    <col min="2568" max="2568" width="12.85546875" style="209" bestFit="1" customWidth="1"/>
    <col min="2569" max="2569" width="53.7109375" style="209" bestFit="1" customWidth="1"/>
    <col min="2570" max="2570" width="16" style="209" customWidth="1"/>
    <col min="2571" max="2571" width="28.28515625" style="209" bestFit="1" customWidth="1"/>
    <col min="2572" max="2572" width="21.7109375" style="209" bestFit="1" customWidth="1"/>
    <col min="2573" max="2573" width="17.7109375" style="209" bestFit="1" customWidth="1"/>
    <col min="2574" max="2574" width="13.140625" style="209" customWidth="1"/>
    <col min="2575" max="2575" width="21.140625" style="209" bestFit="1" customWidth="1"/>
    <col min="2576" max="2576" width="13.140625" style="209" customWidth="1"/>
    <col min="2577" max="2577" width="12.7109375" style="209" customWidth="1"/>
    <col min="2578" max="2578" width="14.28515625" style="209" bestFit="1" customWidth="1"/>
    <col min="2579" max="2816" width="31.28515625" style="209"/>
    <col min="2817" max="2817" width="54.85546875" style="209" bestFit="1" customWidth="1"/>
    <col min="2818" max="2818" width="22.5703125" style="209" bestFit="1" customWidth="1"/>
    <col min="2819" max="2819" width="15.7109375" style="209" customWidth="1"/>
    <col min="2820" max="2820" width="16.140625" style="209" customWidth="1"/>
    <col min="2821" max="2821" width="13.28515625" style="209" customWidth="1"/>
    <col min="2822" max="2822" width="16.7109375" style="209" customWidth="1"/>
    <col min="2823" max="2823" width="12.85546875" style="209" customWidth="1"/>
    <col min="2824" max="2824" width="12.85546875" style="209" bestFit="1" customWidth="1"/>
    <col min="2825" max="2825" width="53.7109375" style="209" bestFit="1" customWidth="1"/>
    <col min="2826" max="2826" width="16" style="209" customWidth="1"/>
    <col min="2827" max="2827" width="28.28515625" style="209" bestFit="1" customWidth="1"/>
    <col min="2828" max="2828" width="21.7109375" style="209" bestFit="1" customWidth="1"/>
    <col min="2829" max="2829" width="17.7109375" style="209" bestFit="1" customWidth="1"/>
    <col min="2830" max="2830" width="13.140625" style="209" customWidth="1"/>
    <col min="2831" max="2831" width="21.140625" style="209" bestFit="1" customWidth="1"/>
    <col min="2832" max="2832" width="13.140625" style="209" customWidth="1"/>
    <col min="2833" max="2833" width="12.7109375" style="209" customWidth="1"/>
    <col min="2834" max="2834" width="14.28515625" style="209" bestFit="1" customWidth="1"/>
    <col min="2835" max="3072" width="31.28515625" style="209"/>
    <col min="3073" max="3073" width="54.85546875" style="209" bestFit="1" customWidth="1"/>
    <col min="3074" max="3074" width="22.5703125" style="209" bestFit="1" customWidth="1"/>
    <col min="3075" max="3075" width="15.7109375" style="209" customWidth="1"/>
    <col min="3076" max="3076" width="16.140625" style="209" customWidth="1"/>
    <col min="3077" max="3077" width="13.28515625" style="209" customWidth="1"/>
    <col min="3078" max="3078" width="16.7109375" style="209" customWidth="1"/>
    <col min="3079" max="3079" width="12.85546875" style="209" customWidth="1"/>
    <col min="3080" max="3080" width="12.85546875" style="209" bestFit="1" customWidth="1"/>
    <col min="3081" max="3081" width="53.7109375" style="209" bestFit="1" customWidth="1"/>
    <col min="3082" max="3082" width="16" style="209" customWidth="1"/>
    <col min="3083" max="3083" width="28.28515625" style="209" bestFit="1" customWidth="1"/>
    <col min="3084" max="3084" width="21.7109375" style="209" bestFit="1" customWidth="1"/>
    <col min="3085" max="3085" width="17.7109375" style="209" bestFit="1" customWidth="1"/>
    <col min="3086" max="3086" width="13.140625" style="209" customWidth="1"/>
    <col min="3087" max="3087" width="21.140625" style="209" bestFit="1" customWidth="1"/>
    <col min="3088" max="3088" width="13.140625" style="209" customWidth="1"/>
    <col min="3089" max="3089" width="12.7109375" style="209" customWidth="1"/>
    <col min="3090" max="3090" width="14.28515625" style="209" bestFit="1" customWidth="1"/>
    <col min="3091" max="3328" width="31.28515625" style="209"/>
    <col min="3329" max="3329" width="54.85546875" style="209" bestFit="1" customWidth="1"/>
    <col min="3330" max="3330" width="22.5703125" style="209" bestFit="1" customWidth="1"/>
    <col min="3331" max="3331" width="15.7109375" style="209" customWidth="1"/>
    <col min="3332" max="3332" width="16.140625" style="209" customWidth="1"/>
    <col min="3333" max="3333" width="13.28515625" style="209" customWidth="1"/>
    <col min="3334" max="3334" width="16.7109375" style="209" customWidth="1"/>
    <col min="3335" max="3335" width="12.85546875" style="209" customWidth="1"/>
    <col min="3336" max="3336" width="12.85546875" style="209" bestFit="1" customWidth="1"/>
    <col min="3337" max="3337" width="53.7109375" style="209" bestFit="1" customWidth="1"/>
    <col min="3338" max="3338" width="16" style="209" customWidth="1"/>
    <col min="3339" max="3339" width="28.28515625" style="209" bestFit="1" customWidth="1"/>
    <col min="3340" max="3340" width="21.7109375" style="209" bestFit="1" customWidth="1"/>
    <col min="3341" max="3341" width="17.7109375" style="209" bestFit="1" customWidth="1"/>
    <col min="3342" max="3342" width="13.140625" style="209" customWidth="1"/>
    <col min="3343" max="3343" width="21.140625" style="209" bestFit="1" customWidth="1"/>
    <col min="3344" max="3344" width="13.140625" style="209" customWidth="1"/>
    <col min="3345" max="3345" width="12.7109375" style="209" customWidth="1"/>
    <col min="3346" max="3346" width="14.28515625" style="209" bestFit="1" customWidth="1"/>
    <col min="3347" max="3584" width="31.28515625" style="209"/>
    <col min="3585" max="3585" width="54.85546875" style="209" bestFit="1" customWidth="1"/>
    <col min="3586" max="3586" width="22.5703125" style="209" bestFit="1" customWidth="1"/>
    <col min="3587" max="3587" width="15.7109375" style="209" customWidth="1"/>
    <col min="3588" max="3588" width="16.140625" style="209" customWidth="1"/>
    <col min="3589" max="3589" width="13.28515625" style="209" customWidth="1"/>
    <col min="3590" max="3590" width="16.7109375" style="209" customWidth="1"/>
    <col min="3591" max="3591" width="12.85546875" style="209" customWidth="1"/>
    <col min="3592" max="3592" width="12.85546875" style="209" bestFit="1" customWidth="1"/>
    <col min="3593" max="3593" width="53.7109375" style="209" bestFit="1" customWidth="1"/>
    <col min="3594" max="3594" width="16" style="209" customWidth="1"/>
    <col min="3595" max="3595" width="28.28515625" style="209" bestFit="1" customWidth="1"/>
    <col min="3596" max="3596" width="21.7109375" style="209" bestFit="1" customWidth="1"/>
    <col min="3597" max="3597" width="17.7109375" style="209" bestFit="1" customWidth="1"/>
    <col min="3598" max="3598" width="13.140625" style="209" customWidth="1"/>
    <col min="3599" max="3599" width="21.140625" style="209" bestFit="1" customWidth="1"/>
    <col min="3600" max="3600" width="13.140625" style="209" customWidth="1"/>
    <col min="3601" max="3601" width="12.7109375" style="209" customWidth="1"/>
    <col min="3602" max="3602" width="14.28515625" style="209" bestFit="1" customWidth="1"/>
    <col min="3603" max="3840" width="31.28515625" style="209"/>
    <col min="3841" max="3841" width="54.85546875" style="209" bestFit="1" customWidth="1"/>
    <col min="3842" max="3842" width="22.5703125" style="209" bestFit="1" customWidth="1"/>
    <col min="3843" max="3843" width="15.7109375" style="209" customWidth="1"/>
    <col min="3844" max="3844" width="16.140625" style="209" customWidth="1"/>
    <col min="3845" max="3845" width="13.28515625" style="209" customWidth="1"/>
    <col min="3846" max="3846" width="16.7109375" style="209" customWidth="1"/>
    <col min="3847" max="3847" width="12.85546875" style="209" customWidth="1"/>
    <col min="3848" max="3848" width="12.85546875" style="209" bestFit="1" customWidth="1"/>
    <col min="3849" max="3849" width="53.7109375" style="209" bestFit="1" customWidth="1"/>
    <col min="3850" max="3850" width="16" style="209" customWidth="1"/>
    <col min="3851" max="3851" width="28.28515625" style="209" bestFit="1" customWidth="1"/>
    <col min="3852" max="3852" width="21.7109375" style="209" bestFit="1" customWidth="1"/>
    <col min="3853" max="3853" width="17.7109375" style="209" bestFit="1" customWidth="1"/>
    <col min="3854" max="3854" width="13.140625" style="209" customWidth="1"/>
    <col min="3855" max="3855" width="21.140625" style="209" bestFit="1" customWidth="1"/>
    <col min="3856" max="3856" width="13.140625" style="209" customWidth="1"/>
    <col min="3857" max="3857" width="12.7109375" style="209" customWidth="1"/>
    <col min="3858" max="3858" width="14.28515625" style="209" bestFit="1" customWidth="1"/>
    <col min="3859" max="4096" width="31.28515625" style="209"/>
    <col min="4097" max="4097" width="54.85546875" style="209" bestFit="1" customWidth="1"/>
    <col min="4098" max="4098" width="22.5703125" style="209" bestFit="1" customWidth="1"/>
    <col min="4099" max="4099" width="15.7109375" style="209" customWidth="1"/>
    <col min="4100" max="4100" width="16.140625" style="209" customWidth="1"/>
    <col min="4101" max="4101" width="13.28515625" style="209" customWidth="1"/>
    <col min="4102" max="4102" width="16.7109375" style="209" customWidth="1"/>
    <col min="4103" max="4103" width="12.85546875" style="209" customWidth="1"/>
    <col min="4104" max="4104" width="12.85546875" style="209" bestFit="1" customWidth="1"/>
    <col min="4105" max="4105" width="53.7109375" style="209" bestFit="1" customWidth="1"/>
    <col min="4106" max="4106" width="16" style="209" customWidth="1"/>
    <col min="4107" max="4107" width="28.28515625" style="209" bestFit="1" customWidth="1"/>
    <col min="4108" max="4108" width="21.7109375" style="209" bestFit="1" customWidth="1"/>
    <col min="4109" max="4109" width="17.7109375" style="209" bestFit="1" customWidth="1"/>
    <col min="4110" max="4110" width="13.140625" style="209" customWidth="1"/>
    <col min="4111" max="4111" width="21.140625" style="209" bestFit="1" customWidth="1"/>
    <col min="4112" max="4112" width="13.140625" style="209" customWidth="1"/>
    <col min="4113" max="4113" width="12.7109375" style="209" customWidth="1"/>
    <col min="4114" max="4114" width="14.28515625" style="209" bestFit="1" customWidth="1"/>
    <col min="4115" max="4352" width="31.28515625" style="209"/>
    <col min="4353" max="4353" width="54.85546875" style="209" bestFit="1" customWidth="1"/>
    <col min="4354" max="4354" width="22.5703125" style="209" bestFit="1" customWidth="1"/>
    <col min="4355" max="4355" width="15.7109375" style="209" customWidth="1"/>
    <col min="4356" max="4356" width="16.140625" style="209" customWidth="1"/>
    <col min="4357" max="4357" width="13.28515625" style="209" customWidth="1"/>
    <col min="4358" max="4358" width="16.7109375" style="209" customWidth="1"/>
    <col min="4359" max="4359" width="12.85546875" style="209" customWidth="1"/>
    <col min="4360" max="4360" width="12.85546875" style="209" bestFit="1" customWidth="1"/>
    <col min="4361" max="4361" width="53.7109375" style="209" bestFit="1" customWidth="1"/>
    <col min="4362" max="4362" width="16" style="209" customWidth="1"/>
    <col min="4363" max="4363" width="28.28515625" style="209" bestFit="1" customWidth="1"/>
    <col min="4364" max="4364" width="21.7109375" style="209" bestFit="1" customWidth="1"/>
    <col min="4365" max="4365" width="17.7109375" style="209" bestFit="1" customWidth="1"/>
    <col min="4366" max="4366" width="13.140625" style="209" customWidth="1"/>
    <col min="4367" max="4367" width="21.140625" style="209" bestFit="1" customWidth="1"/>
    <col min="4368" max="4368" width="13.140625" style="209" customWidth="1"/>
    <col min="4369" max="4369" width="12.7109375" style="209" customWidth="1"/>
    <col min="4370" max="4370" width="14.28515625" style="209" bestFit="1" customWidth="1"/>
    <col min="4371" max="4608" width="31.28515625" style="209"/>
    <col min="4609" max="4609" width="54.85546875" style="209" bestFit="1" customWidth="1"/>
    <col min="4610" max="4610" width="22.5703125" style="209" bestFit="1" customWidth="1"/>
    <col min="4611" max="4611" width="15.7109375" style="209" customWidth="1"/>
    <col min="4612" max="4612" width="16.140625" style="209" customWidth="1"/>
    <col min="4613" max="4613" width="13.28515625" style="209" customWidth="1"/>
    <col min="4614" max="4614" width="16.7109375" style="209" customWidth="1"/>
    <col min="4615" max="4615" width="12.85546875" style="209" customWidth="1"/>
    <col min="4616" max="4616" width="12.85546875" style="209" bestFit="1" customWidth="1"/>
    <col min="4617" max="4617" width="53.7109375" style="209" bestFit="1" customWidth="1"/>
    <col min="4618" max="4618" width="16" style="209" customWidth="1"/>
    <col min="4619" max="4619" width="28.28515625" style="209" bestFit="1" customWidth="1"/>
    <col min="4620" max="4620" width="21.7109375" style="209" bestFit="1" customWidth="1"/>
    <col min="4621" max="4621" width="17.7109375" style="209" bestFit="1" customWidth="1"/>
    <col min="4622" max="4622" width="13.140625" style="209" customWidth="1"/>
    <col min="4623" max="4623" width="21.140625" style="209" bestFit="1" customWidth="1"/>
    <col min="4624" max="4624" width="13.140625" style="209" customWidth="1"/>
    <col min="4625" max="4625" width="12.7109375" style="209" customWidth="1"/>
    <col min="4626" max="4626" width="14.28515625" style="209" bestFit="1" customWidth="1"/>
    <col min="4627" max="4864" width="31.28515625" style="209"/>
    <col min="4865" max="4865" width="54.85546875" style="209" bestFit="1" customWidth="1"/>
    <col min="4866" max="4866" width="22.5703125" style="209" bestFit="1" customWidth="1"/>
    <col min="4867" max="4867" width="15.7109375" style="209" customWidth="1"/>
    <col min="4868" max="4868" width="16.140625" style="209" customWidth="1"/>
    <col min="4869" max="4869" width="13.28515625" style="209" customWidth="1"/>
    <col min="4870" max="4870" width="16.7109375" style="209" customWidth="1"/>
    <col min="4871" max="4871" width="12.85546875" style="209" customWidth="1"/>
    <col min="4872" max="4872" width="12.85546875" style="209" bestFit="1" customWidth="1"/>
    <col min="4873" max="4873" width="53.7109375" style="209" bestFit="1" customWidth="1"/>
    <col min="4874" max="4874" width="16" style="209" customWidth="1"/>
    <col min="4875" max="4875" width="28.28515625" style="209" bestFit="1" customWidth="1"/>
    <col min="4876" max="4876" width="21.7109375" style="209" bestFit="1" customWidth="1"/>
    <col min="4877" max="4877" width="17.7109375" style="209" bestFit="1" customWidth="1"/>
    <col min="4878" max="4878" width="13.140625" style="209" customWidth="1"/>
    <col min="4879" max="4879" width="21.140625" style="209" bestFit="1" customWidth="1"/>
    <col min="4880" max="4880" width="13.140625" style="209" customWidth="1"/>
    <col min="4881" max="4881" width="12.7109375" style="209" customWidth="1"/>
    <col min="4882" max="4882" width="14.28515625" style="209" bestFit="1" customWidth="1"/>
    <col min="4883" max="5120" width="31.28515625" style="209"/>
    <col min="5121" max="5121" width="54.85546875" style="209" bestFit="1" customWidth="1"/>
    <col min="5122" max="5122" width="22.5703125" style="209" bestFit="1" customWidth="1"/>
    <col min="5123" max="5123" width="15.7109375" style="209" customWidth="1"/>
    <col min="5124" max="5124" width="16.140625" style="209" customWidth="1"/>
    <col min="5125" max="5125" width="13.28515625" style="209" customWidth="1"/>
    <col min="5126" max="5126" width="16.7109375" style="209" customWidth="1"/>
    <col min="5127" max="5127" width="12.85546875" style="209" customWidth="1"/>
    <col min="5128" max="5128" width="12.85546875" style="209" bestFit="1" customWidth="1"/>
    <col min="5129" max="5129" width="53.7109375" style="209" bestFit="1" customWidth="1"/>
    <col min="5130" max="5130" width="16" style="209" customWidth="1"/>
    <col min="5131" max="5131" width="28.28515625" style="209" bestFit="1" customWidth="1"/>
    <col min="5132" max="5132" width="21.7109375" style="209" bestFit="1" customWidth="1"/>
    <col min="5133" max="5133" width="17.7109375" style="209" bestFit="1" customWidth="1"/>
    <col min="5134" max="5134" width="13.140625" style="209" customWidth="1"/>
    <col min="5135" max="5135" width="21.140625" style="209" bestFit="1" customWidth="1"/>
    <col min="5136" max="5136" width="13.140625" style="209" customWidth="1"/>
    <col min="5137" max="5137" width="12.7109375" style="209" customWidth="1"/>
    <col min="5138" max="5138" width="14.28515625" style="209" bestFit="1" customWidth="1"/>
    <col min="5139" max="5376" width="31.28515625" style="209"/>
    <col min="5377" max="5377" width="54.85546875" style="209" bestFit="1" customWidth="1"/>
    <col min="5378" max="5378" width="22.5703125" style="209" bestFit="1" customWidth="1"/>
    <col min="5379" max="5379" width="15.7109375" style="209" customWidth="1"/>
    <col min="5380" max="5380" width="16.140625" style="209" customWidth="1"/>
    <col min="5381" max="5381" width="13.28515625" style="209" customWidth="1"/>
    <col min="5382" max="5382" width="16.7109375" style="209" customWidth="1"/>
    <col min="5383" max="5383" width="12.85546875" style="209" customWidth="1"/>
    <col min="5384" max="5384" width="12.85546875" style="209" bestFit="1" customWidth="1"/>
    <col min="5385" max="5385" width="53.7109375" style="209" bestFit="1" customWidth="1"/>
    <col min="5386" max="5386" width="16" style="209" customWidth="1"/>
    <col min="5387" max="5387" width="28.28515625" style="209" bestFit="1" customWidth="1"/>
    <col min="5388" max="5388" width="21.7109375" style="209" bestFit="1" customWidth="1"/>
    <col min="5389" max="5389" width="17.7109375" style="209" bestFit="1" customWidth="1"/>
    <col min="5390" max="5390" width="13.140625" style="209" customWidth="1"/>
    <col min="5391" max="5391" width="21.140625" style="209" bestFit="1" customWidth="1"/>
    <col min="5392" max="5392" width="13.140625" style="209" customWidth="1"/>
    <col min="5393" max="5393" width="12.7109375" style="209" customWidth="1"/>
    <col min="5394" max="5394" width="14.28515625" style="209" bestFit="1" customWidth="1"/>
    <col min="5395" max="5632" width="31.28515625" style="209"/>
    <col min="5633" max="5633" width="54.85546875" style="209" bestFit="1" customWidth="1"/>
    <col min="5634" max="5634" width="22.5703125" style="209" bestFit="1" customWidth="1"/>
    <col min="5635" max="5635" width="15.7109375" style="209" customWidth="1"/>
    <col min="5636" max="5636" width="16.140625" style="209" customWidth="1"/>
    <col min="5637" max="5637" width="13.28515625" style="209" customWidth="1"/>
    <col min="5638" max="5638" width="16.7109375" style="209" customWidth="1"/>
    <col min="5639" max="5639" width="12.85546875" style="209" customWidth="1"/>
    <col min="5640" max="5640" width="12.85546875" style="209" bestFit="1" customWidth="1"/>
    <col min="5641" max="5641" width="53.7109375" style="209" bestFit="1" customWidth="1"/>
    <col min="5642" max="5642" width="16" style="209" customWidth="1"/>
    <col min="5643" max="5643" width="28.28515625" style="209" bestFit="1" customWidth="1"/>
    <col min="5644" max="5644" width="21.7109375" style="209" bestFit="1" customWidth="1"/>
    <col min="5645" max="5645" width="17.7109375" style="209" bestFit="1" customWidth="1"/>
    <col min="5646" max="5646" width="13.140625" style="209" customWidth="1"/>
    <col min="5647" max="5647" width="21.140625" style="209" bestFit="1" customWidth="1"/>
    <col min="5648" max="5648" width="13.140625" style="209" customWidth="1"/>
    <col min="5649" max="5649" width="12.7109375" style="209" customWidth="1"/>
    <col min="5650" max="5650" width="14.28515625" style="209" bestFit="1" customWidth="1"/>
    <col min="5651" max="5888" width="31.28515625" style="209"/>
    <col min="5889" max="5889" width="54.85546875" style="209" bestFit="1" customWidth="1"/>
    <col min="5890" max="5890" width="22.5703125" style="209" bestFit="1" customWidth="1"/>
    <col min="5891" max="5891" width="15.7109375" style="209" customWidth="1"/>
    <col min="5892" max="5892" width="16.140625" style="209" customWidth="1"/>
    <col min="5893" max="5893" width="13.28515625" style="209" customWidth="1"/>
    <col min="5894" max="5894" width="16.7109375" style="209" customWidth="1"/>
    <col min="5895" max="5895" width="12.85546875" style="209" customWidth="1"/>
    <col min="5896" max="5896" width="12.85546875" style="209" bestFit="1" customWidth="1"/>
    <col min="5897" max="5897" width="53.7109375" style="209" bestFit="1" customWidth="1"/>
    <col min="5898" max="5898" width="16" style="209" customWidth="1"/>
    <col min="5899" max="5899" width="28.28515625" style="209" bestFit="1" customWidth="1"/>
    <col min="5900" max="5900" width="21.7109375" style="209" bestFit="1" customWidth="1"/>
    <col min="5901" max="5901" width="17.7109375" style="209" bestFit="1" customWidth="1"/>
    <col min="5902" max="5902" width="13.140625" style="209" customWidth="1"/>
    <col min="5903" max="5903" width="21.140625" style="209" bestFit="1" customWidth="1"/>
    <col min="5904" max="5904" width="13.140625" style="209" customWidth="1"/>
    <col min="5905" max="5905" width="12.7109375" style="209" customWidth="1"/>
    <col min="5906" max="5906" width="14.28515625" style="209" bestFit="1" customWidth="1"/>
    <col min="5907" max="6144" width="31.28515625" style="209"/>
    <col min="6145" max="6145" width="54.85546875" style="209" bestFit="1" customWidth="1"/>
    <col min="6146" max="6146" width="22.5703125" style="209" bestFit="1" customWidth="1"/>
    <col min="6147" max="6147" width="15.7109375" style="209" customWidth="1"/>
    <col min="6148" max="6148" width="16.140625" style="209" customWidth="1"/>
    <col min="6149" max="6149" width="13.28515625" style="209" customWidth="1"/>
    <col min="6150" max="6150" width="16.7109375" style="209" customWidth="1"/>
    <col min="6151" max="6151" width="12.85546875" style="209" customWidth="1"/>
    <col min="6152" max="6152" width="12.85546875" style="209" bestFit="1" customWidth="1"/>
    <col min="6153" max="6153" width="53.7109375" style="209" bestFit="1" customWidth="1"/>
    <col min="6154" max="6154" width="16" style="209" customWidth="1"/>
    <col min="6155" max="6155" width="28.28515625" style="209" bestFit="1" customWidth="1"/>
    <col min="6156" max="6156" width="21.7109375" style="209" bestFit="1" customWidth="1"/>
    <col min="6157" max="6157" width="17.7109375" style="209" bestFit="1" customWidth="1"/>
    <col min="6158" max="6158" width="13.140625" style="209" customWidth="1"/>
    <col min="6159" max="6159" width="21.140625" style="209" bestFit="1" customWidth="1"/>
    <col min="6160" max="6160" width="13.140625" style="209" customWidth="1"/>
    <col min="6161" max="6161" width="12.7109375" style="209" customWidth="1"/>
    <col min="6162" max="6162" width="14.28515625" style="209" bestFit="1" customWidth="1"/>
    <col min="6163" max="6400" width="31.28515625" style="209"/>
    <col min="6401" max="6401" width="54.85546875" style="209" bestFit="1" customWidth="1"/>
    <col min="6402" max="6402" width="22.5703125" style="209" bestFit="1" customWidth="1"/>
    <col min="6403" max="6403" width="15.7109375" style="209" customWidth="1"/>
    <col min="6404" max="6404" width="16.140625" style="209" customWidth="1"/>
    <col min="6405" max="6405" width="13.28515625" style="209" customWidth="1"/>
    <col min="6406" max="6406" width="16.7109375" style="209" customWidth="1"/>
    <col min="6407" max="6407" width="12.85546875" style="209" customWidth="1"/>
    <col min="6408" max="6408" width="12.85546875" style="209" bestFit="1" customWidth="1"/>
    <col min="6409" max="6409" width="53.7109375" style="209" bestFit="1" customWidth="1"/>
    <col min="6410" max="6410" width="16" style="209" customWidth="1"/>
    <col min="6411" max="6411" width="28.28515625" style="209" bestFit="1" customWidth="1"/>
    <col min="6412" max="6412" width="21.7109375" style="209" bestFit="1" customWidth="1"/>
    <col min="6413" max="6413" width="17.7109375" style="209" bestFit="1" customWidth="1"/>
    <col min="6414" max="6414" width="13.140625" style="209" customWidth="1"/>
    <col min="6415" max="6415" width="21.140625" style="209" bestFit="1" customWidth="1"/>
    <col min="6416" max="6416" width="13.140625" style="209" customWidth="1"/>
    <col min="6417" max="6417" width="12.7109375" style="209" customWidth="1"/>
    <col min="6418" max="6418" width="14.28515625" style="209" bestFit="1" customWidth="1"/>
    <col min="6419" max="6656" width="31.28515625" style="209"/>
    <col min="6657" max="6657" width="54.85546875" style="209" bestFit="1" customWidth="1"/>
    <col min="6658" max="6658" width="22.5703125" style="209" bestFit="1" customWidth="1"/>
    <col min="6659" max="6659" width="15.7109375" style="209" customWidth="1"/>
    <col min="6660" max="6660" width="16.140625" style="209" customWidth="1"/>
    <col min="6661" max="6661" width="13.28515625" style="209" customWidth="1"/>
    <col min="6662" max="6662" width="16.7109375" style="209" customWidth="1"/>
    <col min="6663" max="6663" width="12.85546875" style="209" customWidth="1"/>
    <col min="6664" max="6664" width="12.85546875" style="209" bestFit="1" customWidth="1"/>
    <col min="6665" max="6665" width="53.7109375" style="209" bestFit="1" customWidth="1"/>
    <col min="6666" max="6666" width="16" style="209" customWidth="1"/>
    <col min="6667" max="6667" width="28.28515625" style="209" bestFit="1" customWidth="1"/>
    <col min="6668" max="6668" width="21.7109375" style="209" bestFit="1" customWidth="1"/>
    <col min="6669" max="6669" width="17.7109375" style="209" bestFit="1" customWidth="1"/>
    <col min="6670" max="6670" width="13.140625" style="209" customWidth="1"/>
    <col min="6671" max="6671" width="21.140625" style="209" bestFit="1" customWidth="1"/>
    <col min="6672" max="6672" width="13.140625" style="209" customWidth="1"/>
    <col min="6673" max="6673" width="12.7109375" style="209" customWidth="1"/>
    <col min="6674" max="6674" width="14.28515625" style="209" bestFit="1" customWidth="1"/>
    <col min="6675" max="6912" width="31.28515625" style="209"/>
    <col min="6913" max="6913" width="54.85546875" style="209" bestFit="1" customWidth="1"/>
    <col min="6914" max="6914" width="22.5703125" style="209" bestFit="1" customWidth="1"/>
    <col min="6915" max="6915" width="15.7109375" style="209" customWidth="1"/>
    <col min="6916" max="6916" width="16.140625" style="209" customWidth="1"/>
    <col min="6917" max="6917" width="13.28515625" style="209" customWidth="1"/>
    <col min="6918" max="6918" width="16.7109375" style="209" customWidth="1"/>
    <col min="6919" max="6919" width="12.85546875" style="209" customWidth="1"/>
    <col min="6920" max="6920" width="12.85546875" style="209" bestFit="1" customWidth="1"/>
    <col min="6921" max="6921" width="53.7109375" style="209" bestFit="1" customWidth="1"/>
    <col min="6922" max="6922" width="16" style="209" customWidth="1"/>
    <col min="6923" max="6923" width="28.28515625" style="209" bestFit="1" customWidth="1"/>
    <col min="6924" max="6924" width="21.7109375" style="209" bestFit="1" customWidth="1"/>
    <col min="6925" max="6925" width="17.7109375" style="209" bestFit="1" customWidth="1"/>
    <col min="6926" max="6926" width="13.140625" style="209" customWidth="1"/>
    <col min="6927" max="6927" width="21.140625" style="209" bestFit="1" customWidth="1"/>
    <col min="6928" max="6928" width="13.140625" style="209" customWidth="1"/>
    <col min="6929" max="6929" width="12.7109375" style="209" customWidth="1"/>
    <col min="6930" max="6930" width="14.28515625" style="209" bestFit="1" customWidth="1"/>
    <col min="6931" max="7168" width="31.28515625" style="209"/>
    <col min="7169" max="7169" width="54.85546875" style="209" bestFit="1" customWidth="1"/>
    <col min="7170" max="7170" width="22.5703125" style="209" bestFit="1" customWidth="1"/>
    <col min="7171" max="7171" width="15.7109375" style="209" customWidth="1"/>
    <col min="7172" max="7172" width="16.140625" style="209" customWidth="1"/>
    <col min="7173" max="7173" width="13.28515625" style="209" customWidth="1"/>
    <col min="7174" max="7174" width="16.7109375" style="209" customWidth="1"/>
    <col min="7175" max="7175" width="12.85546875" style="209" customWidth="1"/>
    <col min="7176" max="7176" width="12.85546875" style="209" bestFit="1" customWidth="1"/>
    <col min="7177" max="7177" width="53.7109375" style="209" bestFit="1" customWidth="1"/>
    <col min="7178" max="7178" width="16" style="209" customWidth="1"/>
    <col min="7179" max="7179" width="28.28515625" style="209" bestFit="1" customWidth="1"/>
    <col min="7180" max="7180" width="21.7109375" style="209" bestFit="1" customWidth="1"/>
    <col min="7181" max="7181" width="17.7109375" style="209" bestFit="1" customWidth="1"/>
    <col min="7182" max="7182" width="13.140625" style="209" customWidth="1"/>
    <col min="7183" max="7183" width="21.140625" style="209" bestFit="1" customWidth="1"/>
    <col min="7184" max="7184" width="13.140625" style="209" customWidth="1"/>
    <col min="7185" max="7185" width="12.7109375" style="209" customWidth="1"/>
    <col min="7186" max="7186" width="14.28515625" style="209" bestFit="1" customWidth="1"/>
    <col min="7187" max="7424" width="31.28515625" style="209"/>
    <col min="7425" max="7425" width="54.85546875" style="209" bestFit="1" customWidth="1"/>
    <col min="7426" max="7426" width="22.5703125" style="209" bestFit="1" customWidth="1"/>
    <col min="7427" max="7427" width="15.7109375" style="209" customWidth="1"/>
    <col min="7428" max="7428" width="16.140625" style="209" customWidth="1"/>
    <col min="7429" max="7429" width="13.28515625" style="209" customWidth="1"/>
    <col min="7430" max="7430" width="16.7109375" style="209" customWidth="1"/>
    <col min="7431" max="7431" width="12.85546875" style="209" customWidth="1"/>
    <col min="7432" max="7432" width="12.85546875" style="209" bestFit="1" customWidth="1"/>
    <col min="7433" max="7433" width="53.7109375" style="209" bestFit="1" customWidth="1"/>
    <col min="7434" max="7434" width="16" style="209" customWidth="1"/>
    <col min="7435" max="7435" width="28.28515625" style="209" bestFit="1" customWidth="1"/>
    <col min="7436" max="7436" width="21.7109375" style="209" bestFit="1" customWidth="1"/>
    <col min="7437" max="7437" width="17.7109375" style="209" bestFit="1" customWidth="1"/>
    <col min="7438" max="7438" width="13.140625" style="209" customWidth="1"/>
    <col min="7439" max="7439" width="21.140625" style="209" bestFit="1" customWidth="1"/>
    <col min="7440" max="7440" width="13.140625" style="209" customWidth="1"/>
    <col min="7441" max="7441" width="12.7109375" style="209" customWidth="1"/>
    <col min="7442" max="7442" width="14.28515625" style="209" bestFit="1" customWidth="1"/>
    <col min="7443" max="7680" width="31.28515625" style="209"/>
    <col min="7681" max="7681" width="54.85546875" style="209" bestFit="1" customWidth="1"/>
    <col min="7682" max="7682" width="22.5703125" style="209" bestFit="1" customWidth="1"/>
    <col min="7683" max="7683" width="15.7109375" style="209" customWidth="1"/>
    <col min="7684" max="7684" width="16.140625" style="209" customWidth="1"/>
    <col min="7685" max="7685" width="13.28515625" style="209" customWidth="1"/>
    <col min="7686" max="7686" width="16.7109375" style="209" customWidth="1"/>
    <col min="7687" max="7687" width="12.85546875" style="209" customWidth="1"/>
    <col min="7688" max="7688" width="12.85546875" style="209" bestFit="1" customWidth="1"/>
    <col min="7689" max="7689" width="53.7109375" style="209" bestFit="1" customWidth="1"/>
    <col min="7690" max="7690" width="16" style="209" customWidth="1"/>
    <col min="7691" max="7691" width="28.28515625" style="209" bestFit="1" customWidth="1"/>
    <col min="7692" max="7692" width="21.7109375" style="209" bestFit="1" customWidth="1"/>
    <col min="7693" max="7693" width="17.7109375" style="209" bestFit="1" customWidth="1"/>
    <col min="7694" max="7694" width="13.140625" style="209" customWidth="1"/>
    <col min="7695" max="7695" width="21.140625" style="209" bestFit="1" customWidth="1"/>
    <col min="7696" max="7696" width="13.140625" style="209" customWidth="1"/>
    <col min="7697" max="7697" width="12.7109375" style="209" customWidth="1"/>
    <col min="7698" max="7698" width="14.28515625" style="209" bestFit="1" customWidth="1"/>
    <col min="7699" max="7936" width="31.28515625" style="209"/>
    <col min="7937" max="7937" width="54.85546875" style="209" bestFit="1" customWidth="1"/>
    <col min="7938" max="7938" width="22.5703125" style="209" bestFit="1" customWidth="1"/>
    <col min="7939" max="7939" width="15.7109375" style="209" customWidth="1"/>
    <col min="7940" max="7940" width="16.140625" style="209" customWidth="1"/>
    <col min="7941" max="7941" width="13.28515625" style="209" customWidth="1"/>
    <col min="7942" max="7942" width="16.7109375" style="209" customWidth="1"/>
    <col min="7943" max="7943" width="12.85546875" style="209" customWidth="1"/>
    <col min="7944" max="7944" width="12.85546875" style="209" bestFit="1" customWidth="1"/>
    <col min="7945" max="7945" width="53.7109375" style="209" bestFit="1" customWidth="1"/>
    <col min="7946" max="7946" width="16" style="209" customWidth="1"/>
    <col min="7947" max="7947" width="28.28515625" style="209" bestFit="1" customWidth="1"/>
    <col min="7948" max="7948" width="21.7109375" style="209" bestFit="1" customWidth="1"/>
    <col min="7949" max="7949" width="17.7109375" style="209" bestFit="1" customWidth="1"/>
    <col min="7950" max="7950" width="13.140625" style="209" customWidth="1"/>
    <col min="7951" max="7951" width="21.140625" style="209" bestFit="1" customWidth="1"/>
    <col min="7952" max="7952" width="13.140625" style="209" customWidth="1"/>
    <col min="7953" max="7953" width="12.7109375" style="209" customWidth="1"/>
    <col min="7954" max="7954" width="14.28515625" style="209" bestFit="1" customWidth="1"/>
    <col min="7955" max="8192" width="31.28515625" style="209"/>
    <col min="8193" max="8193" width="54.85546875" style="209" bestFit="1" customWidth="1"/>
    <col min="8194" max="8194" width="22.5703125" style="209" bestFit="1" customWidth="1"/>
    <col min="8195" max="8195" width="15.7109375" style="209" customWidth="1"/>
    <col min="8196" max="8196" width="16.140625" style="209" customWidth="1"/>
    <col min="8197" max="8197" width="13.28515625" style="209" customWidth="1"/>
    <col min="8198" max="8198" width="16.7109375" style="209" customWidth="1"/>
    <col min="8199" max="8199" width="12.85546875" style="209" customWidth="1"/>
    <col min="8200" max="8200" width="12.85546875" style="209" bestFit="1" customWidth="1"/>
    <col min="8201" max="8201" width="53.7109375" style="209" bestFit="1" customWidth="1"/>
    <col min="8202" max="8202" width="16" style="209" customWidth="1"/>
    <col min="8203" max="8203" width="28.28515625" style="209" bestFit="1" customWidth="1"/>
    <col min="8204" max="8204" width="21.7109375" style="209" bestFit="1" customWidth="1"/>
    <col min="8205" max="8205" width="17.7109375" style="209" bestFit="1" customWidth="1"/>
    <col min="8206" max="8206" width="13.140625" style="209" customWidth="1"/>
    <col min="8207" max="8207" width="21.140625" style="209" bestFit="1" customWidth="1"/>
    <col min="8208" max="8208" width="13.140625" style="209" customWidth="1"/>
    <col min="8209" max="8209" width="12.7109375" style="209" customWidth="1"/>
    <col min="8210" max="8210" width="14.28515625" style="209" bestFit="1" customWidth="1"/>
    <col min="8211" max="8448" width="31.28515625" style="209"/>
    <col min="8449" max="8449" width="54.85546875" style="209" bestFit="1" customWidth="1"/>
    <col min="8450" max="8450" width="22.5703125" style="209" bestFit="1" customWidth="1"/>
    <col min="8451" max="8451" width="15.7109375" style="209" customWidth="1"/>
    <col min="8452" max="8452" width="16.140625" style="209" customWidth="1"/>
    <col min="8453" max="8453" width="13.28515625" style="209" customWidth="1"/>
    <col min="8454" max="8454" width="16.7109375" style="209" customWidth="1"/>
    <col min="8455" max="8455" width="12.85546875" style="209" customWidth="1"/>
    <col min="8456" max="8456" width="12.85546875" style="209" bestFit="1" customWidth="1"/>
    <col min="8457" max="8457" width="53.7109375" style="209" bestFit="1" customWidth="1"/>
    <col min="8458" max="8458" width="16" style="209" customWidth="1"/>
    <col min="8459" max="8459" width="28.28515625" style="209" bestFit="1" customWidth="1"/>
    <col min="8460" max="8460" width="21.7109375" style="209" bestFit="1" customWidth="1"/>
    <col min="8461" max="8461" width="17.7109375" style="209" bestFit="1" customWidth="1"/>
    <col min="8462" max="8462" width="13.140625" style="209" customWidth="1"/>
    <col min="8463" max="8463" width="21.140625" style="209" bestFit="1" customWidth="1"/>
    <col min="8464" max="8464" width="13.140625" style="209" customWidth="1"/>
    <col min="8465" max="8465" width="12.7109375" style="209" customWidth="1"/>
    <col min="8466" max="8466" width="14.28515625" style="209" bestFit="1" customWidth="1"/>
    <col min="8467" max="8704" width="31.28515625" style="209"/>
    <col min="8705" max="8705" width="54.85546875" style="209" bestFit="1" customWidth="1"/>
    <col min="8706" max="8706" width="22.5703125" style="209" bestFit="1" customWidth="1"/>
    <col min="8707" max="8707" width="15.7109375" style="209" customWidth="1"/>
    <col min="8708" max="8708" width="16.140625" style="209" customWidth="1"/>
    <col min="8709" max="8709" width="13.28515625" style="209" customWidth="1"/>
    <col min="8710" max="8710" width="16.7109375" style="209" customWidth="1"/>
    <col min="8711" max="8711" width="12.85546875" style="209" customWidth="1"/>
    <col min="8712" max="8712" width="12.85546875" style="209" bestFit="1" customWidth="1"/>
    <col min="8713" max="8713" width="53.7109375" style="209" bestFit="1" customWidth="1"/>
    <col min="8714" max="8714" width="16" style="209" customWidth="1"/>
    <col min="8715" max="8715" width="28.28515625" style="209" bestFit="1" customWidth="1"/>
    <col min="8716" max="8716" width="21.7109375" style="209" bestFit="1" customWidth="1"/>
    <col min="8717" max="8717" width="17.7109375" style="209" bestFit="1" customWidth="1"/>
    <col min="8718" max="8718" width="13.140625" style="209" customWidth="1"/>
    <col min="8719" max="8719" width="21.140625" style="209" bestFit="1" customWidth="1"/>
    <col min="8720" max="8720" width="13.140625" style="209" customWidth="1"/>
    <col min="8721" max="8721" width="12.7109375" style="209" customWidth="1"/>
    <col min="8722" max="8722" width="14.28515625" style="209" bestFit="1" customWidth="1"/>
    <col min="8723" max="8960" width="31.28515625" style="209"/>
    <col min="8961" max="8961" width="54.85546875" style="209" bestFit="1" customWidth="1"/>
    <col min="8962" max="8962" width="22.5703125" style="209" bestFit="1" customWidth="1"/>
    <col min="8963" max="8963" width="15.7109375" style="209" customWidth="1"/>
    <col min="8964" max="8964" width="16.140625" style="209" customWidth="1"/>
    <col min="8965" max="8965" width="13.28515625" style="209" customWidth="1"/>
    <col min="8966" max="8966" width="16.7109375" style="209" customWidth="1"/>
    <col min="8967" max="8967" width="12.85546875" style="209" customWidth="1"/>
    <col min="8968" max="8968" width="12.85546875" style="209" bestFit="1" customWidth="1"/>
    <col min="8969" max="8969" width="53.7109375" style="209" bestFit="1" customWidth="1"/>
    <col min="8970" max="8970" width="16" style="209" customWidth="1"/>
    <col min="8971" max="8971" width="28.28515625" style="209" bestFit="1" customWidth="1"/>
    <col min="8972" max="8972" width="21.7109375" style="209" bestFit="1" customWidth="1"/>
    <col min="8973" max="8973" width="17.7109375" style="209" bestFit="1" customWidth="1"/>
    <col min="8974" max="8974" width="13.140625" style="209" customWidth="1"/>
    <col min="8975" max="8975" width="21.140625" style="209" bestFit="1" customWidth="1"/>
    <col min="8976" max="8976" width="13.140625" style="209" customWidth="1"/>
    <col min="8977" max="8977" width="12.7109375" style="209" customWidth="1"/>
    <col min="8978" max="8978" width="14.28515625" style="209" bestFit="1" customWidth="1"/>
    <col min="8979" max="9216" width="31.28515625" style="209"/>
    <col min="9217" max="9217" width="54.85546875" style="209" bestFit="1" customWidth="1"/>
    <col min="9218" max="9218" width="22.5703125" style="209" bestFit="1" customWidth="1"/>
    <col min="9219" max="9219" width="15.7109375" style="209" customWidth="1"/>
    <col min="9220" max="9220" width="16.140625" style="209" customWidth="1"/>
    <col min="9221" max="9221" width="13.28515625" style="209" customWidth="1"/>
    <col min="9222" max="9222" width="16.7109375" style="209" customWidth="1"/>
    <col min="9223" max="9223" width="12.85546875" style="209" customWidth="1"/>
    <col min="9224" max="9224" width="12.85546875" style="209" bestFit="1" customWidth="1"/>
    <col min="9225" max="9225" width="53.7109375" style="209" bestFit="1" customWidth="1"/>
    <col min="9226" max="9226" width="16" style="209" customWidth="1"/>
    <col min="9227" max="9227" width="28.28515625" style="209" bestFit="1" customWidth="1"/>
    <col min="9228" max="9228" width="21.7109375" style="209" bestFit="1" customWidth="1"/>
    <col min="9229" max="9229" width="17.7109375" style="209" bestFit="1" customWidth="1"/>
    <col min="9230" max="9230" width="13.140625" style="209" customWidth="1"/>
    <col min="9231" max="9231" width="21.140625" style="209" bestFit="1" customWidth="1"/>
    <col min="9232" max="9232" width="13.140625" style="209" customWidth="1"/>
    <col min="9233" max="9233" width="12.7109375" style="209" customWidth="1"/>
    <col min="9234" max="9234" width="14.28515625" style="209" bestFit="1" customWidth="1"/>
    <col min="9235" max="9472" width="31.28515625" style="209"/>
    <col min="9473" max="9473" width="54.85546875" style="209" bestFit="1" customWidth="1"/>
    <col min="9474" max="9474" width="22.5703125" style="209" bestFit="1" customWidth="1"/>
    <col min="9475" max="9475" width="15.7109375" style="209" customWidth="1"/>
    <col min="9476" max="9476" width="16.140625" style="209" customWidth="1"/>
    <col min="9477" max="9477" width="13.28515625" style="209" customWidth="1"/>
    <col min="9478" max="9478" width="16.7109375" style="209" customWidth="1"/>
    <col min="9479" max="9479" width="12.85546875" style="209" customWidth="1"/>
    <col min="9480" max="9480" width="12.85546875" style="209" bestFit="1" customWidth="1"/>
    <col min="9481" max="9481" width="53.7109375" style="209" bestFit="1" customWidth="1"/>
    <col min="9482" max="9482" width="16" style="209" customWidth="1"/>
    <col min="9483" max="9483" width="28.28515625" style="209" bestFit="1" customWidth="1"/>
    <col min="9484" max="9484" width="21.7109375" style="209" bestFit="1" customWidth="1"/>
    <col min="9485" max="9485" width="17.7109375" style="209" bestFit="1" customWidth="1"/>
    <col min="9486" max="9486" width="13.140625" style="209" customWidth="1"/>
    <col min="9487" max="9487" width="21.140625" style="209" bestFit="1" customWidth="1"/>
    <col min="9488" max="9488" width="13.140625" style="209" customWidth="1"/>
    <col min="9489" max="9489" width="12.7109375" style="209" customWidth="1"/>
    <col min="9490" max="9490" width="14.28515625" style="209" bestFit="1" customWidth="1"/>
    <col min="9491" max="9728" width="31.28515625" style="209"/>
    <col min="9729" max="9729" width="54.85546875" style="209" bestFit="1" customWidth="1"/>
    <col min="9730" max="9730" width="22.5703125" style="209" bestFit="1" customWidth="1"/>
    <col min="9731" max="9731" width="15.7109375" style="209" customWidth="1"/>
    <col min="9732" max="9732" width="16.140625" style="209" customWidth="1"/>
    <col min="9733" max="9733" width="13.28515625" style="209" customWidth="1"/>
    <col min="9734" max="9734" width="16.7109375" style="209" customWidth="1"/>
    <col min="9735" max="9735" width="12.85546875" style="209" customWidth="1"/>
    <col min="9736" max="9736" width="12.85546875" style="209" bestFit="1" customWidth="1"/>
    <col min="9737" max="9737" width="53.7109375" style="209" bestFit="1" customWidth="1"/>
    <col min="9738" max="9738" width="16" style="209" customWidth="1"/>
    <col min="9739" max="9739" width="28.28515625" style="209" bestFit="1" customWidth="1"/>
    <col min="9740" max="9740" width="21.7109375" style="209" bestFit="1" customWidth="1"/>
    <col min="9741" max="9741" width="17.7109375" style="209" bestFit="1" customWidth="1"/>
    <col min="9742" max="9742" width="13.140625" style="209" customWidth="1"/>
    <col min="9743" max="9743" width="21.140625" style="209" bestFit="1" customWidth="1"/>
    <col min="9744" max="9744" width="13.140625" style="209" customWidth="1"/>
    <col min="9745" max="9745" width="12.7109375" style="209" customWidth="1"/>
    <col min="9746" max="9746" width="14.28515625" style="209" bestFit="1" customWidth="1"/>
    <col min="9747" max="9984" width="31.28515625" style="209"/>
    <col min="9985" max="9985" width="54.85546875" style="209" bestFit="1" customWidth="1"/>
    <col min="9986" max="9986" width="22.5703125" style="209" bestFit="1" customWidth="1"/>
    <col min="9987" max="9987" width="15.7109375" style="209" customWidth="1"/>
    <col min="9988" max="9988" width="16.140625" style="209" customWidth="1"/>
    <col min="9989" max="9989" width="13.28515625" style="209" customWidth="1"/>
    <col min="9990" max="9990" width="16.7109375" style="209" customWidth="1"/>
    <col min="9991" max="9991" width="12.85546875" style="209" customWidth="1"/>
    <col min="9992" max="9992" width="12.85546875" style="209" bestFit="1" customWidth="1"/>
    <col min="9993" max="9993" width="53.7109375" style="209" bestFit="1" customWidth="1"/>
    <col min="9994" max="9994" width="16" style="209" customWidth="1"/>
    <col min="9995" max="9995" width="28.28515625" style="209" bestFit="1" customWidth="1"/>
    <col min="9996" max="9996" width="21.7109375" style="209" bestFit="1" customWidth="1"/>
    <col min="9997" max="9997" width="17.7109375" style="209" bestFit="1" customWidth="1"/>
    <col min="9998" max="9998" width="13.140625" style="209" customWidth="1"/>
    <col min="9999" max="9999" width="21.140625" style="209" bestFit="1" customWidth="1"/>
    <col min="10000" max="10000" width="13.140625" style="209" customWidth="1"/>
    <col min="10001" max="10001" width="12.7109375" style="209" customWidth="1"/>
    <col min="10002" max="10002" width="14.28515625" style="209" bestFit="1" customWidth="1"/>
    <col min="10003" max="10240" width="31.28515625" style="209"/>
    <col min="10241" max="10241" width="54.85546875" style="209" bestFit="1" customWidth="1"/>
    <col min="10242" max="10242" width="22.5703125" style="209" bestFit="1" customWidth="1"/>
    <col min="10243" max="10243" width="15.7109375" style="209" customWidth="1"/>
    <col min="10244" max="10244" width="16.140625" style="209" customWidth="1"/>
    <col min="10245" max="10245" width="13.28515625" style="209" customWidth="1"/>
    <col min="10246" max="10246" width="16.7109375" style="209" customWidth="1"/>
    <col min="10247" max="10247" width="12.85546875" style="209" customWidth="1"/>
    <col min="10248" max="10248" width="12.85546875" style="209" bestFit="1" customWidth="1"/>
    <col min="10249" max="10249" width="53.7109375" style="209" bestFit="1" customWidth="1"/>
    <col min="10250" max="10250" width="16" style="209" customWidth="1"/>
    <col min="10251" max="10251" width="28.28515625" style="209" bestFit="1" customWidth="1"/>
    <col min="10252" max="10252" width="21.7109375" style="209" bestFit="1" customWidth="1"/>
    <col min="10253" max="10253" width="17.7109375" style="209" bestFit="1" customWidth="1"/>
    <col min="10254" max="10254" width="13.140625" style="209" customWidth="1"/>
    <col min="10255" max="10255" width="21.140625" style="209" bestFit="1" customWidth="1"/>
    <col min="10256" max="10256" width="13.140625" style="209" customWidth="1"/>
    <col min="10257" max="10257" width="12.7109375" style="209" customWidth="1"/>
    <col min="10258" max="10258" width="14.28515625" style="209" bestFit="1" customWidth="1"/>
    <col min="10259" max="10496" width="31.28515625" style="209"/>
    <col min="10497" max="10497" width="54.85546875" style="209" bestFit="1" customWidth="1"/>
    <col min="10498" max="10498" width="22.5703125" style="209" bestFit="1" customWidth="1"/>
    <col min="10499" max="10499" width="15.7109375" style="209" customWidth="1"/>
    <col min="10500" max="10500" width="16.140625" style="209" customWidth="1"/>
    <col min="10501" max="10501" width="13.28515625" style="209" customWidth="1"/>
    <col min="10502" max="10502" width="16.7109375" style="209" customWidth="1"/>
    <col min="10503" max="10503" width="12.85546875" style="209" customWidth="1"/>
    <col min="10504" max="10504" width="12.85546875" style="209" bestFit="1" customWidth="1"/>
    <col min="10505" max="10505" width="53.7109375" style="209" bestFit="1" customWidth="1"/>
    <col min="10506" max="10506" width="16" style="209" customWidth="1"/>
    <col min="10507" max="10507" width="28.28515625" style="209" bestFit="1" customWidth="1"/>
    <col min="10508" max="10508" width="21.7109375" style="209" bestFit="1" customWidth="1"/>
    <col min="10509" max="10509" width="17.7109375" style="209" bestFit="1" customWidth="1"/>
    <col min="10510" max="10510" width="13.140625" style="209" customWidth="1"/>
    <col min="10511" max="10511" width="21.140625" style="209" bestFit="1" customWidth="1"/>
    <col min="10512" max="10512" width="13.140625" style="209" customWidth="1"/>
    <col min="10513" max="10513" width="12.7109375" style="209" customWidth="1"/>
    <col min="10514" max="10514" width="14.28515625" style="209" bestFit="1" customWidth="1"/>
    <col min="10515" max="10752" width="31.28515625" style="209"/>
    <col min="10753" max="10753" width="54.85546875" style="209" bestFit="1" customWidth="1"/>
    <col min="10754" max="10754" width="22.5703125" style="209" bestFit="1" customWidth="1"/>
    <col min="10755" max="10755" width="15.7109375" style="209" customWidth="1"/>
    <col min="10756" max="10756" width="16.140625" style="209" customWidth="1"/>
    <col min="10757" max="10757" width="13.28515625" style="209" customWidth="1"/>
    <col min="10758" max="10758" width="16.7109375" style="209" customWidth="1"/>
    <col min="10759" max="10759" width="12.85546875" style="209" customWidth="1"/>
    <col min="10760" max="10760" width="12.85546875" style="209" bestFit="1" customWidth="1"/>
    <col min="10761" max="10761" width="53.7109375" style="209" bestFit="1" customWidth="1"/>
    <col min="10762" max="10762" width="16" style="209" customWidth="1"/>
    <col min="10763" max="10763" width="28.28515625" style="209" bestFit="1" customWidth="1"/>
    <col min="10764" max="10764" width="21.7109375" style="209" bestFit="1" customWidth="1"/>
    <col min="10765" max="10765" width="17.7109375" style="209" bestFit="1" customWidth="1"/>
    <col min="10766" max="10766" width="13.140625" style="209" customWidth="1"/>
    <col min="10767" max="10767" width="21.140625" style="209" bestFit="1" customWidth="1"/>
    <col min="10768" max="10768" width="13.140625" style="209" customWidth="1"/>
    <col min="10769" max="10769" width="12.7109375" style="209" customWidth="1"/>
    <col min="10770" max="10770" width="14.28515625" style="209" bestFit="1" customWidth="1"/>
    <col min="10771" max="11008" width="31.28515625" style="209"/>
    <col min="11009" max="11009" width="54.85546875" style="209" bestFit="1" customWidth="1"/>
    <col min="11010" max="11010" width="22.5703125" style="209" bestFit="1" customWidth="1"/>
    <col min="11011" max="11011" width="15.7109375" style="209" customWidth="1"/>
    <col min="11012" max="11012" width="16.140625" style="209" customWidth="1"/>
    <col min="11013" max="11013" width="13.28515625" style="209" customWidth="1"/>
    <col min="11014" max="11014" width="16.7109375" style="209" customWidth="1"/>
    <col min="11015" max="11015" width="12.85546875" style="209" customWidth="1"/>
    <col min="11016" max="11016" width="12.85546875" style="209" bestFit="1" customWidth="1"/>
    <col min="11017" max="11017" width="53.7109375" style="209" bestFit="1" customWidth="1"/>
    <col min="11018" max="11018" width="16" style="209" customWidth="1"/>
    <col min="11019" max="11019" width="28.28515625" style="209" bestFit="1" customWidth="1"/>
    <col min="11020" max="11020" width="21.7109375" style="209" bestFit="1" customWidth="1"/>
    <col min="11021" max="11021" width="17.7109375" style="209" bestFit="1" customWidth="1"/>
    <col min="11022" max="11022" width="13.140625" style="209" customWidth="1"/>
    <col min="11023" max="11023" width="21.140625" style="209" bestFit="1" customWidth="1"/>
    <col min="11024" max="11024" width="13.140625" style="209" customWidth="1"/>
    <col min="11025" max="11025" width="12.7109375" style="209" customWidth="1"/>
    <col min="11026" max="11026" width="14.28515625" style="209" bestFit="1" customWidth="1"/>
    <col min="11027" max="11264" width="31.28515625" style="209"/>
    <col min="11265" max="11265" width="54.85546875" style="209" bestFit="1" customWidth="1"/>
    <col min="11266" max="11266" width="22.5703125" style="209" bestFit="1" customWidth="1"/>
    <col min="11267" max="11267" width="15.7109375" style="209" customWidth="1"/>
    <col min="11268" max="11268" width="16.140625" style="209" customWidth="1"/>
    <col min="11269" max="11269" width="13.28515625" style="209" customWidth="1"/>
    <col min="11270" max="11270" width="16.7109375" style="209" customWidth="1"/>
    <col min="11271" max="11271" width="12.85546875" style="209" customWidth="1"/>
    <col min="11272" max="11272" width="12.85546875" style="209" bestFit="1" customWidth="1"/>
    <col min="11273" max="11273" width="53.7109375" style="209" bestFit="1" customWidth="1"/>
    <col min="11274" max="11274" width="16" style="209" customWidth="1"/>
    <col min="11275" max="11275" width="28.28515625" style="209" bestFit="1" customWidth="1"/>
    <col min="11276" max="11276" width="21.7109375" style="209" bestFit="1" customWidth="1"/>
    <col min="11277" max="11277" width="17.7109375" style="209" bestFit="1" customWidth="1"/>
    <col min="11278" max="11278" width="13.140625" style="209" customWidth="1"/>
    <col min="11279" max="11279" width="21.140625" style="209" bestFit="1" customWidth="1"/>
    <col min="11280" max="11280" width="13.140625" style="209" customWidth="1"/>
    <col min="11281" max="11281" width="12.7109375" style="209" customWidth="1"/>
    <col min="11282" max="11282" width="14.28515625" style="209" bestFit="1" customWidth="1"/>
    <col min="11283" max="11520" width="31.28515625" style="209"/>
    <col min="11521" max="11521" width="54.85546875" style="209" bestFit="1" customWidth="1"/>
    <col min="11522" max="11522" width="22.5703125" style="209" bestFit="1" customWidth="1"/>
    <col min="11523" max="11523" width="15.7109375" style="209" customWidth="1"/>
    <col min="11524" max="11524" width="16.140625" style="209" customWidth="1"/>
    <col min="11525" max="11525" width="13.28515625" style="209" customWidth="1"/>
    <col min="11526" max="11526" width="16.7109375" style="209" customWidth="1"/>
    <col min="11527" max="11527" width="12.85546875" style="209" customWidth="1"/>
    <col min="11528" max="11528" width="12.85546875" style="209" bestFit="1" customWidth="1"/>
    <col min="11529" max="11529" width="53.7109375" style="209" bestFit="1" customWidth="1"/>
    <col min="11530" max="11530" width="16" style="209" customWidth="1"/>
    <col min="11531" max="11531" width="28.28515625" style="209" bestFit="1" customWidth="1"/>
    <col min="11532" max="11532" width="21.7109375" style="209" bestFit="1" customWidth="1"/>
    <col min="11533" max="11533" width="17.7109375" style="209" bestFit="1" customWidth="1"/>
    <col min="11534" max="11534" width="13.140625" style="209" customWidth="1"/>
    <col min="11535" max="11535" width="21.140625" style="209" bestFit="1" customWidth="1"/>
    <col min="11536" max="11536" width="13.140625" style="209" customWidth="1"/>
    <col min="11537" max="11537" width="12.7109375" style="209" customWidth="1"/>
    <col min="11538" max="11538" width="14.28515625" style="209" bestFit="1" customWidth="1"/>
    <col min="11539" max="11776" width="31.28515625" style="209"/>
    <col min="11777" max="11777" width="54.85546875" style="209" bestFit="1" customWidth="1"/>
    <col min="11778" max="11778" width="22.5703125" style="209" bestFit="1" customWidth="1"/>
    <col min="11779" max="11779" width="15.7109375" style="209" customWidth="1"/>
    <col min="11780" max="11780" width="16.140625" style="209" customWidth="1"/>
    <col min="11781" max="11781" width="13.28515625" style="209" customWidth="1"/>
    <col min="11782" max="11782" width="16.7109375" style="209" customWidth="1"/>
    <col min="11783" max="11783" width="12.85546875" style="209" customWidth="1"/>
    <col min="11784" max="11784" width="12.85546875" style="209" bestFit="1" customWidth="1"/>
    <col min="11785" max="11785" width="53.7109375" style="209" bestFit="1" customWidth="1"/>
    <col min="11786" max="11786" width="16" style="209" customWidth="1"/>
    <col min="11787" max="11787" width="28.28515625" style="209" bestFit="1" customWidth="1"/>
    <col min="11788" max="11788" width="21.7109375" style="209" bestFit="1" customWidth="1"/>
    <col min="11789" max="11789" width="17.7109375" style="209" bestFit="1" customWidth="1"/>
    <col min="11790" max="11790" width="13.140625" style="209" customWidth="1"/>
    <col min="11791" max="11791" width="21.140625" style="209" bestFit="1" customWidth="1"/>
    <col min="11792" max="11792" width="13.140625" style="209" customWidth="1"/>
    <col min="11793" max="11793" width="12.7109375" style="209" customWidth="1"/>
    <col min="11794" max="11794" width="14.28515625" style="209" bestFit="1" customWidth="1"/>
    <col min="11795" max="12032" width="31.28515625" style="209"/>
    <col min="12033" max="12033" width="54.85546875" style="209" bestFit="1" customWidth="1"/>
    <col min="12034" max="12034" width="22.5703125" style="209" bestFit="1" customWidth="1"/>
    <col min="12035" max="12035" width="15.7109375" style="209" customWidth="1"/>
    <col min="12036" max="12036" width="16.140625" style="209" customWidth="1"/>
    <col min="12037" max="12037" width="13.28515625" style="209" customWidth="1"/>
    <col min="12038" max="12038" width="16.7109375" style="209" customWidth="1"/>
    <col min="12039" max="12039" width="12.85546875" style="209" customWidth="1"/>
    <col min="12040" max="12040" width="12.85546875" style="209" bestFit="1" customWidth="1"/>
    <col min="12041" max="12041" width="53.7109375" style="209" bestFit="1" customWidth="1"/>
    <col min="12042" max="12042" width="16" style="209" customWidth="1"/>
    <col min="12043" max="12043" width="28.28515625" style="209" bestFit="1" customWidth="1"/>
    <col min="12044" max="12044" width="21.7109375" style="209" bestFit="1" customWidth="1"/>
    <col min="12045" max="12045" width="17.7109375" style="209" bestFit="1" customWidth="1"/>
    <col min="12046" max="12046" width="13.140625" style="209" customWidth="1"/>
    <col min="12047" max="12047" width="21.140625" style="209" bestFit="1" customWidth="1"/>
    <col min="12048" max="12048" width="13.140625" style="209" customWidth="1"/>
    <col min="12049" max="12049" width="12.7109375" style="209" customWidth="1"/>
    <col min="12050" max="12050" width="14.28515625" style="209" bestFit="1" customWidth="1"/>
    <col min="12051" max="12288" width="31.28515625" style="209"/>
    <col min="12289" max="12289" width="54.85546875" style="209" bestFit="1" customWidth="1"/>
    <col min="12290" max="12290" width="22.5703125" style="209" bestFit="1" customWidth="1"/>
    <col min="12291" max="12291" width="15.7109375" style="209" customWidth="1"/>
    <col min="12292" max="12292" width="16.140625" style="209" customWidth="1"/>
    <col min="12293" max="12293" width="13.28515625" style="209" customWidth="1"/>
    <col min="12294" max="12294" width="16.7109375" style="209" customWidth="1"/>
    <col min="12295" max="12295" width="12.85546875" style="209" customWidth="1"/>
    <col min="12296" max="12296" width="12.85546875" style="209" bestFit="1" customWidth="1"/>
    <col min="12297" max="12297" width="53.7109375" style="209" bestFit="1" customWidth="1"/>
    <col min="12298" max="12298" width="16" style="209" customWidth="1"/>
    <col min="12299" max="12299" width="28.28515625" style="209" bestFit="1" customWidth="1"/>
    <col min="12300" max="12300" width="21.7109375" style="209" bestFit="1" customWidth="1"/>
    <col min="12301" max="12301" width="17.7109375" style="209" bestFit="1" customWidth="1"/>
    <col min="12302" max="12302" width="13.140625" style="209" customWidth="1"/>
    <col min="12303" max="12303" width="21.140625" style="209" bestFit="1" customWidth="1"/>
    <col min="12304" max="12304" width="13.140625" style="209" customWidth="1"/>
    <col min="12305" max="12305" width="12.7109375" style="209" customWidth="1"/>
    <col min="12306" max="12306" width="14.28515625" style="209" bestFit="1" customWidth="1"/>
    <col min="12307" max="12544" width="31.28515625" style="209"/>
    <col min="12545" max="12545" width="54.85546875" style="209" bestFit="1" customWidth="1"/>
    <col min="12546" max="12546" width="22.5703125" style="209" bestFit="1" customWidth="1"/>
    <col min="12547" max="12547" width="15.7109375" style="209" customWidth="1"/>
    <col min="12548" max="12548" width="16.140625" style="209" customWidth="1"/>
    <col min="12549" max="12549" width="13.28515625" style="209" customWidth="1"/>
    <col min="12550" max="12550" width="16.7109375" style="209" customWidth="1"/>
    <col min="12551" max="12551" width="12.85546875" style="209" customWidth="1"/>
    <col min="12552" max="12552" width="12.85546875" style="209" bestFit="1" customWidth="1"/>
    <col min="12553" max="12553" width="53.7109375" style="209" bestFit="1" customWidth="1"/>
    <col min="12554" max="12554" width="16" style="209" customWidth="1"/>
    <col min="12555" max="12555" width="28.28515625" style="209" bestFit="1" customWidth="1"/>
    <col min="12556" max="12556" width="21.7109375" style="209" bestFit="1" customWidth="1"/>
    <col min="12557" max="12557" width="17.7109375" style="209" bestFit="1" customWidth="1"/>
    <col min="12558" max="12558" width="13.140625" style="209" customWidth="1"/>
    <col min="12559" max="12559" width="21.140625" style="209" bestFit="1" customWidth="1"/>
    <col min="12560" max="12560" width="13.140625" style="209" customWidth="1"/>
    <col min="12561" max="12561" width="12.7109375" style="209" customWidth="1"/>
    <col min="12562" max="12562" width="14.28515625" style="209" bestFit="1" customWidth="1"/>
    <col min="12563" max="12800" width="31.28515625" style="209"/>
    <col min="12801" max="12801" width="54.85546875" style="209" bestFit="1" customWidth="1"/>
    <col min="12802" max="12802" width="22.5703125" style="209" bestFit="1" customWidth="1"/>
    <col min="12803" max="12803" width="15.7109375" style="209" customWidth="1"/>
    <col min="12804" max="12804" width="16.140625" style="209" customWidth="1"/>
    <col min="12805" max="12805" width="13.28515625" style="209" customWidth="1"/>
    <col min="12806" max="12806" width="16.7109375" style="209" customWidth="1"/>
    <col min="12807" max="12807" width="12.85546875" style="209" customWidth="1"/>
    <col min="12808" max="12808" width="12.85546875" style="209" bestFit="1" customWidth="1"/>
    <col min="12809" max="12809" width="53.7109375" style="209" bestFit="1" customWidth="1"/>
    <col min="12810" max="12810" width="16" style="209" customWidth="1"/>
    <col min="12811" max="12811" width="28.28515625" style="209" bestFit="1" customWidth="1"/>
    <col min="12812" max="12812" width="21.7109375" style="209" bestFit="1" customWidth="1"/>
    <col min="12813" max="12813" width="17.7109375" style="209" bestFit="1" customWidth="1"/>
    <col min="12814" max="12814" width="13.140625" style="209" customWidth="1"/>
    <col min="12815" max="12815" width="21.140625" style="209" bestFit="1" customWidth="1"/>
    <col min="12816" max="12816" width="13.140625" style="209" customWidth="1"/>
    <col min="12817" max="12817" width="12.7109375" style="209" customWidth="1"/>
    <col min="12818" max="12818" width="14.28515625" style="209" bestFit="1" customWidth="1"/>
    <col min="12819" max="13056" width="31.28515625" style="209"/>
    <col min="13057" max="13057" width="54.85546875" style="209" bestFit="1" customWidth="1"/>
    <col min="13058" max="13058" width="22.5703125" style="209" bestFit="1" customWidth="1"/>
    <col min="13059" max="13059" width="15.7109375" style="209" customWidth="1"/>
    <col min="13060" max="13060" width="16.140625" style="209" customWidth="1"/>
    <col min="13061" max="13061" width="13.28515625" style="209" customWidth="1"/>
    <col min="13062" max="13062" width="16.7109375" style="209" customWidth="1"/>
    <col min="13063" max="13063" width="12.85546875" style="209" customWidth="1"/>
    <col min="13064" max="13064" width="12.85546875" style="209" bestFit="1" customWidth="1"/>
    <col min="13065" max="13065" width="53.7109375" style="209" bestFit="1" customWidth="1"/>
    <col min="13066" max="13066" width="16" style="209" customWidth="1"/>
    <col min="13067" max="13067" width="28.28515625" style="209" bestFit="1" customWidth="1"/>
    <col min="13068" max="13068" width="21.7109375" style="209" bestFit="1" customWidth="1"/>
    <col min="13069" max="13069" width="17.7109375" style="209" bestFit="1" customWidth="1"/>
    <col min="13070" max="13070" width="13.140625" style="209" customWidth="1"/>
    <col min="13071" max="13071" width="21.140625" style="209" bestFit="1" customWidth="1"/>
    <col min="13072" max="13072" width="13.140625" style="209" customWidth="1"/>
    <col min="13073" max="13073" width="12.7109375" style="209" customWidth="1"/>
    <col min="13074" max="13074" width="14.28515625" style="209" bestFit="1" customWidth="1"/>
    <col min="13075" max="13312" width="31.28515625" style="209"/>
    <col min="13313" max="13313" width="54.85546875" style="209" bestFit="1" customWidth="1"/>
    <col min="13314" max="13314" width="22.5703125" style="209" bestFit="1" customWidth="1"/>
    <col min="13315" max="13315" width="15.7109375" style="209" customWidth="1"/>
    <col min="13316" max="13316" width="16.140625" style="209" customWidth="1"/>
    <col min="13317" max="13317" width="13.28515625" style="209" customWidth="1"/>
    <col min="13318" max="13318" width="16.7109375" style="209" customWidth="1"/>
    <col min="13319" max="13319" width="12.85546875" style="209" customWidth="1"/>
    <col min="13320" max="13320" width="12.85546875" style="209" bestFit="1" customWidth="1"/>
    <col min="13321" max="13321" width="53.7109375" style="209" bestFit="1" customWidth="1"/>
    <col min="13322" max="13322" width="16" style="209" customWidth="1"/>
    <col min="13323" max="13323" width="28.28515625" style="209" bestFit="1" customWidth="1"/>
    <col min="13324" max="13324" width="21.7109375" style="209" bestFit="1" customWidth="1"/>
    <col min="13325" max="13325" width="17.7109375" style="209" bestFit="1" customWidth="1"/>
    <col min="13326" max="13326" width="13.140625" style="209" customWidth="1"/>
    <col min="13327" max="13327" width="21.140625" style="209" bestFit="1" customWidth="1"/>
    <col min="13328" max="13328" width="13.140625" style="209" customWidth="1"/>
    <col min="13329" max="13329" width="12.7109375" style="209" customWidth="1"/>
    <col min="13330" max="13330" width="14.28515625" style="209" bestFit="1" customWidth="1"/>
    <col min="13331" max="13568" width="31.28515625" style="209"/>
    <col min="13569" max="13569" width="54.85546875" style="209" bestFit="1" customWidth="1"/>
    <col min="13570" max="13570" width="22.5703125" style="209" bestFit="1" customWidth="1"/>
    <col min="13571" max="13571" width="15.7109375" style="209" customWidth="1"/>
    <col min="13572" max="13572" width="16.140625" style="209" customWidth="1"/>
    <col min="13573" max="13573" width="13.28515625" style="209" customWidth="1"/>
    <col min="13574" max="13574" width="16.7109375" style="209" customWidth="1"/>
    <col min="13575" max="13575" width="12.85546875" style="209" customWidth="1"/>
    <col min="13576" max="13576" width="12.85546875" style="209" bestFit="1" customWidth="1"/>
    <col min="13577" max="13577" width="53.7109375" style="209" bestFit="1" customWidth="1"/>
    <col min="13578" max="13578" width="16" style="209" customWidth="1"/>
    <col min="13579" max="13579" width="28.28515625" style="209" bestFit="1" customWidth="1"/>
    <col min="13580" max="13580" width="21.7109375" style="209" bestFit="1" customWidth="1"/>
    <col min="13581" max="13581" width="17.7109375" style="209" bestFit="1" customWidth="1"/>
    <col min="13582" max="13582" width="13.140625" style="209" customWidth="1"/>
    <col min="13583" max="13583" width="21.140625" style="209" bestFit="1" customWidth="1"/>
    <col min="13584" max="13584" width="13.140625" style="209" customWidth="1"/>
    <col min="13585" max="13585" width="12.7109375" style="209" customWidth="1"/>
    <col min="13586" max="13586" width="14.28515625" style="209" bestFit="1" customWidth="1"/>
    <col min="13587" max="13824" width="31.28515625" style="209"/>
    <col min="13825" max="13825" width="54.85546875" style="209" bestFit="1" customWidth="1"/>
    <col min="13826" max="13826" width="22.5703125" style="209" bestFit="1" customWidth="1"/>
    <col min="13827" max="13827" width="15.7109375" style="209" customWidth="1"/>
    <col min="13828" max="13828" width="16.140625" style="209" customWidth="1"/>
    <col min="13829" max="13829" width="13.28515625" style="209" customWidth="1"/>
    <col min="13830" max="13830" width="16.7109375" style="209" customWidth="1"/>
    <col min="13831" max="13831" width="12.85546875" style="209" customWidth="1"/>
    <col min="13832" max="13832" width="12.85546875" style="209" bestFit="1" customWidth="1"/>
    <col min="13833" max="13833" width="53.7109375" style="209" bestFit="1" customWidth="1"/>
    <col min="13834" max="13834" width="16" style="209" customWidth="1"/>
    <col min="13835" max="13835" width="28.28515625" style="209" bestFit="1" customWidth="1"/>
    <col min="13836" max="13836" width="21.7109375" style="209" bestFit="1" customWidth="1"/>
    <col min="13837" max="13837" width="17.7109375" style="209" bestFit="1" customWidth="1"/>
    <col min="13838" max="13838" width="13.140625" style="209" customWidth="1"/>
    <col min="13839" max="13839" width="21.140625" style="209" bestFit="1" customWidth="1"/>
    <col min="13840" max="13840" width="13.140625" style="209" customWidth="1"/>
    <col min="13841" max="13841" width="12.7109375" style="209" customWidth="1"/>
    <col min="13842" max="13842" width="14.28515625" style="209" bestFit="1" customWidth="1"/>
    <col min="13843" max="14080" width="31.28515625" style="209"/>
    <col min="14081" max="14081" width="54.85546875" style="209" bestFit="1" customWidth="1"/>
    <col min="14082" max="14082" width="22.5703125" style="209" bestFit="1" customWidth="1"/>
    <col min="14083" max="14083" width="15.7109375" style="209" customWidth="1"/>
    <col min="14084" max="14084" width="16.140625" style="209" customWidth="1"/>
    <col min="14085" max="14085" width="13.28515625" style="209" customWidth="1"/>
    <col min="14086" max="14086" width="16.7109375" style="209" customWidth="1"/>
    <col min="14087" max="14087" width="12.85546875" style="209" customWidth="1"/>
    <col min="14088" max="14088" width="12.85546875" style="209" bestFit="1" customWidth="1"/>
    <col min="14089" max="14089" width="53.7109375" style="209" bestFit="1" customWidth="1"/>
    <col min="14090" max="14090" width="16" style="209" customWidth="1"/>
    <col min="14091" max="14091" width="28.28515625" style="209" bestFit="1" customWidth="1"/>
    <col min="14092" max="14092" width="21.7109375" style="209" bestFit="1" customWidth="1"/>
    <col min="14093" max="14093" width="17.7109375" style="209" bestFit="1" customWidth="1"/>
    <col min="14094" max="14094" width="13.140625" style="209" customWidth="1"/>
    <col min="14095" max="14095" width="21.140625" style="209" bestFit="1" customWidth="1"/>
    <col min="14096" max="14096" width="13.140625" style="209" customWidth="1"/>
    <col min="14097" max="14097" width="12.7109375" style="209" customWidth="1"/>
    <col min="14098" max="14098" width="14.28515625" style="209" bestFit="1" customWidth="1"/>
    <col min="14099" max="14336" width="31.28515625" style="209"/>
    <col min="14337" max="14337" width="54.85546875" style="209" bestFit="1" customWidth="1"/>
    <col min="14338" max="14338" width="22.5703125" style="209" bestFit="1" customWidth="1"/>
    <col min="14339" max="14339" width="15.7109375" style="209" customWidth="1"/>
    <col min="14340" max="14340" width="16.140625" style="209" customWidth="1"/>
    <col min="14341" max="14341" width="13.28515625" style="209" customWidth="1"/>
    <col min="14342" max="14342" width="16.7109375" style="209" customWidth="1"/>
    <col min="14343" max="14343" width="12.85546875" style="209" customWidth="1"/>
    <col min="14344" max="14344" width="12.85546875" style="209" bestFit="1" customWidth="1"/>
    <col min="14345" max="14345" width="53.7109375" style="209" bestFit="1" customWidth="1"/>
    <col min="14346" max="14346" width="16" style="209" customWidth="1"/>
    <col min="14347" max="14347" width="28.28515625" style="209" bestFit="1" customWidth="1"/>
    <col min="14348" max="14348" width="21.7109375" style="209" bestFit="1" customWidth="1"/>
    <col min="14349" max="14349" width="17.7109375" style="209" bestFit="1" customWidth="1"/>
    <col min="14350" max="14350" width="13.140625" style="209" customWidth="1"/>
    <col min="14351" max="14351" width="21.140625" style="209" bestFit="1" customWidth="1"/>
    <col min="14352" max="14352" width="13.140625" style="209" customWidth="1"/>
    <col min="14353" max="14353" width="12.7109375" style="209" customWidth="1"/>
    <col min="14354" max="14354" width="14.28515625" style="209" bestFit="1" customWidth="1"/>
    <col min="14355" max="14592" width="31.28515625" style="209"/>
    <col min="14593" max="14593" width="54.85546875" style="209" bestFit="1" customWidth="1"/>
    <col min="14594" max="14594" width="22.5703125" style="209" bestFit="1" customWidth="1"/>
    <col min="14595" max="14595" width="15.7109375" style="209" customWidth="1"/>
    <col min="14596" max="14596" width="16.140625" style="209" customWidth="1"/>
    <col min="14597" max="14597" width="13.28515625" style="209" customWidth="1"/>
    <col min="14598" max="14598" width="16.7109375" style="209" customWidth="1"/>
    <col min="14599" max="14599" width="12.85546875" style="209" customWidth="1"/>
    <col min="14600" max="14600" width="12.85546875" style="209" bestFit="1" customWidth="1"/>
    <col min="14601" max="14601" width="53.7109375" style="209" bestFit="1" customWidth="1"/>
    <col min="14602" max="14602" width="16" style="209" customWidth="1"/>
    <col min="14603" max="14603" width="28.28515625" style="209" bestFit="1" customWidth="1"/>
    <col min="14604" max="14604" width="21.7109375" style="209" bestFit="1" customWidth="1"/>
    <col min="14605" max="14605" width="17.7109375" style="209" bestFit="1" customWidth="1"/>
    <col min="14606" max="14606" width="13.140625" style="209" customWidth="1"/>
    <col min="14607" max="14607" width="21.140625" style="209" bestFit="1" customWidth="1"/>
    <col min="14608" max="14608" width="13.140625" style="209" customWidth="1"/>
    <col min="14609" max="14609" width="12.7109375" style="209" customWidth="1"/>
    <col min="14610" max="14610" width="14.28515625" style="209" bestFit="1" customWidth="1"/>
    <col min="14611" max="14848" width="31.28515625" style="209"/>
    <col min="14849" max="14849" width="54.85546875" style="209" bestFit="1" customWidth="1"/>
    <col min="14850" max="14850" width="22.5703125" style="209" bestFit="1" customWidth="1"/>
    <col min="14851" max="14851" width="15.7109375" style="209" customWidth="1"/>
    <col min="14852" max="14852" width="16.140625" style="209" customWidth="1"/>
    <col min="14853" max="14853" width="13.28515625" style="209" customWidth="1"/>
    <col min="14854" max="14854" width="16.7109375" style="209" customWidth="1"/>
    <col min="14855" max="14855" width="12.85546875" style="209" customWidth="1"/>
    <col min="14856" max="14856" width="12.85546875" style="209" bestFit="1" customWidth="1"/>
    <col min="14857" max="14857" width="53.7109375" style="209" bestFit="1" customWidth="1"/>
    <col min="14858" max="14858" width="16" style="209" customWidth="1"/>
    <col min="14859" max="14859" width="28.28515625" style="209" bestFit="1" customWidth="1"/>
    <col min="14860" max="14860" width="21.7109375" style="209" bestFit="1" customWidth="1"/>
    <col min="14861" max="14861" width="17.7109375" style="209" bestFit="1" customWidth="1"/>
    <col min="14862" max="14862" width="13.140625" style="209" customWidth="1"/>
    <col min="14863" max="14863" width="21.140625" style="209" bestFit="1" customWidth="1"/>
    <col min="14864" max="14864" width="13.140625" style="209" customWidth="1"/>
    <col min="14865" max="14865" width="12.7109375" style="209" customWidth="1"/>
    <col min="14866" max="14866" width="14.28515625" style="209" bestFit="1" customWidth="1"/>
    <col min="14867" max="15104" width="31.28515625" style="209"/>
    <col min="15105" max="15105" width="54.85546875" style="209" bestFit="1" customWidth="1"/>
    <col min="15106" max="15106" width="22.5703125" style="209" bestFit="1" customWidth="1"/>
    <col min="15107" max="15107" width="15.7109375" style="209" customWidth="1"/>
    <col min="15108" max="15108" width="16.140625" style="209" customWidth="1"/>
    <col min="15109" max="15109" width="13.28515625" style="209" customWidth="1"/>
    <col min="15110" max="15110" width="16.7109375" style="209" customWidth="1"/>
    <col min="15111" max="15111" width="12.85546875" style="209" customWidth="1"/>
    <col min="15112" max="15112" width="12.85546875" style="209" bestFit="1" customWidth="1"/>
    <col min="15113" max="15113" width="53.7109375" style="209" bestFit="1" customWidth="1"/>
    <col min="15114" max="15114" width="16" style="209" customWidth="1"/>
    <col min="15115" max="15115" width="28.28515625" style="209" bestFit="1" customWidth="1"/>
    <col min="15116" max="15116" width="21.7109375" style="209" bestFit="1" customWidth="1"/>
    <col min="15117" max="15117" width="17.7109375" style="209" bestFit="1" customWidth="1"/>
    <col min="15118" max="15118" width="13.140625" style="209" customWidth="1"/>
    <col min="15119" max="15119" width="21.140625" style="209" bestFit="1" customWidth="1"/>
    <col min="15120" max="15120" width="13.140625" style="209" customWidth="1"/>
    <col min="15121" max="15121" width="12.7109375" style="209" customWidth="1"/>
    <col min="15122" max="15122" width="14.28515625" style="209" bestFit="1" customWidth="1"/>
    <col min="15123" max="15360" width="31.28515625" style="209"/>
    <col min="15361" max="15361" width="54.85546875" style="209" bestFit="1" customWidth="1"/>
    <col min="15362" max="15362" width="22.5703125" style="209" bestFit="1" customWidth="1"/>
    <col min="15363" max="15363" width="15.7109375" style="209" customWidth="1"/>
    <col min="15364" max="15364" width="16.140625" style="209" customWidth="1"/>
    <col min="15365" max="15365" width="13.28515625" style="209" customWidth="1"/>
    <col min="15366" max="15366" width="16.7109375" style="209" customWidth="1"/>
    <col min="15367" max="15367" width="12.85546875" style="209" customWidth="1"/>
    <col min="15368" max="15368" width="12.85546875" style="209" bestFit="1" customWidth="1"/>
    <col min="15369" max="15369" width="53.7109375" style="209" bestFit="1" customWidth="1"/>
    <col min="15370" max="15370" width="16" style="209" customWidth="1"/>
    <col min="15371" max="15371" width="28.28515625" style="209" bestFit="1" customWidth="1"/>
    <col min="15372" max="15372" width="21.7109375" style="209" bestFit="1" customWidth="1"/>
    <col min="15373" max="15373" width="17.7109375" style="209" bestFit="1" customWidth="1"/>
    <col min="15374" max="15374" width="13.140625" style="209" customWidth="1"/>
    <col min="15375" max="15375" width="21.140625" style="209" bestFit="1" customWidth="1"/>
    <col min="15376" max="15376" width="13.140625" style="209" customWidth="1"/>
    <col min="15377" max="15377" width="12.7109375" style="209" customWidth="1"/>
    <col min="15378" max="15378" width="14.28515625" style="209" bestFit="1" customWidth="1"/>
    <col min="15379" max="15616" width="31.28515625" style="209"/>
    <col min="15617" max="15617" width="54.85546875" style="209" bestFit="1" customWidth="1"/>
    <col min="15618" max="15618" width="22.5703125" style="209" bestFit="1" customWidth="1"/>
    <col min="15619" max="15619" width="15.7109375" style="209" customWidth="1"/>
    <col min="15620" max="15620" width="16.140625" style="209" customWidth="1"/>
    <col min="15621" max="15621" width="13.28515625" style="209" customWidth="1"/>
    <col min="15622" max="15622" width="16.7109375" style="209" customWidth="1"/>
    <col min="15623" max="15623" width="12.85546875" style="209" customWidth="1"/>
    <col min="15624" max="15624" width="12.85546875" style="209" bestFit="1" customWidth="1"/>
    <col min="15625" max="15625" width="53.7109375" style="209" bestFit="1" customWidth="1"/>
    <col min="15626" max="15626" width="16" style="209" customWidth="1"/>
    <col min="15627" max="15627" width="28.28515625" style="209" bestFit="1" customWidth="1"/>
    <col min="15628" max="15628" width="21.7109375" style="209" bestFit="1" customWidth="1"/>
    <col min="15629" max="15629" width="17.7109375" style="209" bestFit="1" customWidth="1"/>
    <col min="15630" max="15630" width="13.140625" style="209" customWidth="1"/>
    <col min="15631" max="15631" width="21.140625" style="209" bestFit="1" customWidth="1"/>
    <col min="15632" max="15632" width="13.140625" style="209" customWidth="1"/>
    <col min="15633" max="15633" width="12.7109375" style="209" customWidth="1"/>
    <col min="15634" max="15634" width="14.28515625" style="209" bestFit="1" customWidth="1"/>
    <col min="15635" max="15872" width="31.28515625" style="209"/>
    <col min="15873" max="15873" width="54.85546875" style="209" bestFit="1" customWidth="1"/>
    <col min="15874" max="15874" width="22.5703125" style="209" bestFit="1" customWidth="1"/>
    <col min="15875" max="15875" width="15.7109375" style="209" customWidth="1"/>
    <col min="15876" max="15876" width="16.140625" style="209" customWidth="1"/>
    <col min="15877" max="15877" width="13.28515625" style="209" customWidth="1"/>
    <col min="15878" max="15878" width="16.7109375" style="209" customWidth="1"/>
    <col min="15879" max="15879" width="12.85546875" style="209" customWidth="1"/>
    <col min="15880" max="15880" width="12.85546875" style="209" bestFit="1" customWidth="1"/>
    <col min="15881" max="15881" width="53.7109375" style="209" bestFit="1" customWidth="1"/>
    <col min="15882" max="15882" width="16" style="209" customWidth="1"/>
    <col min="15883" max="15883" width="28.28515625" style="209" bestFit="1" customWidth="1"/>
    <col min="15884" max="15884" width="21.7109375" style="209" bestFit="1" customWidth="1"/>
    <col min="15885" max="15885" width="17.7109375" style="209" bestFit="1" customWidth="1"/>
    <col min="15886" max="15886" width="13.140625" style="209" customWidth="1"/>
    <col min="15887" max="15887" width="21.140625" style="209" bestFit="1" customWidth="1"/>
    <col min="15888" max="15888" width="13.140625" style="209" customWidth="1"/>
    <col min="15889" max="15889" width="12.7109375" style="209" customWidth="1"/>
    <col min="15890" max="15890" width="14.28515625" style="209" bestFit="1" customWidth="1"/>
    <col min="15891" max="16128" width="31.28515625" style="209"/>
    <col min="16129" max="16129" width="54.85546875" style="209" bestFit="1" customWidth="1"/>
    <col min="16130" max="16130" width="22.5703125" style="209" bestFit="1" customWidth="1"/>
    <col min="16131" max="16131" width="15.7109375" style="209" customWidth="1"/>
    <col min="16132" max="16132" width="16.140625" style="209" customWidth="1"/>
    <col min="16133" max="16133" width="13.28515625" style="209" customWidth="1"/>
    <col min="16134" max="16134" width="16.7109375" style="209" customWidth="1"/>
    <col min="16135" max="16135" width="12.85546875" style="209" customWidth="1"/>
    <col min="16136" max="16136" width="12.85546875" style="209" bestFit="1" customWidth="1"/>
    <col min="16137" max="16137" width="53.7109375" style="209" bestFit="1" customWidth="1"/>
    <col min="16138" max="16138" width="16" style="209" customWidth="1"/>
    <col min="16139" max="16139" width="28.28515625" style="209" bestFit="1" customWidth="1"/>
    <col min="16140" max="16140" width="21.7109375" style="209" bestFit="1" customWidth="1"/>
    <col min="16141" max="16141" width="17.7109375" style="209" bestFit="1" customWidth="1"/>
    <col min="16142" max="16142" width="13.140625" style="209" customWidth="1"/>
    <col min="16143" max="16143" width="21.140625" style="209" bestFit="1" customWidth="1"/>
    <col min="16144" max="16144" width="13.140625" style="209" customWidth="1"/>
    <col min="16145" max="16145" width="12.7109375" style="209" customWidth="1"/>
    <col min="16146" max="16146" width="14.28515625" style="209" bestFit="1" customWidth="1"/>
    <col min="16147" max="16384" width="31.28515625" style="209"/>
  </cols>
  <sheetData>
    <row r="1" spans="1:18" s="196" customFormat="1" ht="14.1" customHeight="1" thickBot="1" x14ac:dyDescent="0.25">
      <c r="A1" s="196" t="s">
        <v>1013</v>
      </c>
      <c r="B1" s="196" t="s">
        <v>1014</v>
      </c>
      <c r="C1" s="252" t="s">
        <v>1015</v>
      </c>
      <c r="D1" s="196" t="s">
        <v>1016</v>
      </c>
      <c r="E1" s="198" t="s">
        <v>1017</v>
      </c>
      <c r="F1" s="198" t="s">
        <v>1018</v>
      </c>
      <c r="G1" s="198" t="s">
        <v>1019</v>
      </c>
      <c r="H1" s="198" t="s">
        <v>1020</v>
      </c>
      <c r="I1" s="196" t="s">
        <v>1021</v>
      </c>
      <c r="J1" s="196" t="s">
        <v>1022</v>
      </c>
      <c r="K1" s="196" t="s">
        <v>1023</v>
      </c>
      <c r="L1" s="196" t="s">
        <v>418</v>
      </c>
      <c r="M1" s="196" t="s">
        <v>1024</v>
      </c>
      <c r="N1" s="196" t="s">
        <v>511</v>
      </c>
      <c r="O1" s="196" t="s">
        <v>1025</v>
      </c>
      <c r="P1" s="197" t="s">
        <v>512</v>
      </c>
      <c r="Q1" s="197" t="s">
        <v>513</v>
      </c>
      <c r="R1" s="197" t="s">
        <v>1026</v>
      </c>
    </row>
    <row r="2" spans="1:18" s="201" customFormat="1" x14ac:dyDescent="0.2">
      <c r="A2" s="199" t="s">
        <v>276</v>
      </c>
      <c r="B2" s="199" t="s">
        <v>4411</v>
      </c>
      <c r="C2" s="200">
        <v>45446</v>
      </c>
      <c r="D2" s="199" t="s">
        <v>152</v>
      </c>
      <c r="E2" s="202">
        <v>2748410</v>
      </c>
      <c r="F2" s="202">
        <v>274841</v>
      </c>
      <c r="G2" s="202">
        <v>27484</v>
      </c>
      <c r="H2" s="202">
        <f t="shared" ref="H2:H65" si="0">E2+G2-F2</f>
        <v>2501053</v>
      </c>
      <c r="I2" s="199" t="s">
        <v>31</v>
      </c>
      <c r="J2" s="199" t="s">
        <v>29</v>
      </c>
      <c r="K2" s="201" t="s">
        <v>1028</v>
      </c>
      <c r="L2" s="199" t="s">
        <v>4412</v>
      </c>
      <c r="M2" s="201" t="s">
        <v>652</v>
      </c>
      <c r="N2" s="199" t="s">
        <v>1190</v>
      </c>
      <c r="O2" s="199" t="s">
        <v>1191</v>
      </c>
      <c r="P2" s="204" t="s">
        <v>1534</v>
      </c>
      <c r="Q2" s="204" t="s">
        <v>3748</v>
      </c>
      <c r="R2" s="204" t="s">
        <v>4413</v>
      </c>
    </row>
    <row r="3" spans="1:18" x14ac:dyDescent="0.2">
      <c r="A3" s="205" t="s">
        <v>450</v>
      </c>
      <c r="B3" s="205" t="s">
        <v>4414</v>
      </c>
      <c r="C3" s="200">
        <v>45446</v>
      </c>
      <c r="D3" s="199" t="s">
        <v>152</v>
      </c>
      <c r="E3" s="206">
        <v>2392830</v>
      </c>
      <c r="F3" s="206">
        <v>239283</v>
      </c>
      <c r="G3" s="206">
        <v>23928</v>
      </c>
      <c r="H3" s="202">
        <f t="shared" si="0"/>
        <v>2177475</v>
      </c>
      <c r="I3" s="205" t="s">
        <v>109</v>
      </c>
      <c r="J3" s="205" t="s">
        <v>29</v>
      </c>
      <c r="K3" s="201" t="s">
        <v>1028</v>
      </c>
      <c r="L3" s="205" t="s">
        <v>4415</v>
      </c>
      <c r="M3" s="201" t="s">
        <v>1030</v>
      </c>
      <c r="N3" s="205" t="s">
        <v>652</v>
      </c>
      <c r="O3" s="205" t="s">
        <v>652</v>
      </c>
      <c r="P3" s="208" t="s">
        <v>1534</v>
      </c>
      <c r="Q3" s="208" t="s">
        <v>3748</v>
      </c>
      <c r="R3" s="208" t="s">
        <v>4413</v>
      </c>
    </row>
    <row r="4" spans="1:18" s="205" customFormat="1" x14ac:dyDescent="0.2">
      <c r="A4" s="205" t="s">
        <v>4416</v>
      </c>
      <c r="B4" s="205" t="s">
        <v>4417</v>
      </c>
      <c r="C4" s="200">
        <v>45446</v>
      </c>
      <c r="D4" s="199" t="s">
        <v>152</v>
      </c>
      <c r="E4" s="206">
        <v>38700</v>
      </c>
      <c r="F4" s="206">
        <v>3870</v>
      </c>
      <c r="G4" s="206">
        <v>387</v>
      </c>
      <c r="H4" s="202">
        <f t="shared" si="0"/>
        <v>35217</v>
      </c>
      <c r="I4" s="205" t="s">
        <v>629</v>
      </c>
      <c r="J4" s="205" t="s">
        <v>29</v>
      </c>
      <c r="K4" s="201" t="s">
        <v>1028</v>
      </c>
      <c r="L4" s="205" t="s">
        <v>4418</v>
      </c>
      <c r="M4" s="201" t="s">
        <v>1072</v>
      </c>
      <c r="N4" s="205" t="s">
        <v>652</v>
      </c>
      <c r="O4" s="205" t="s">
        <v>652</v>
      </c>
      <c r="P4" s="208" t="s">
        <v>3323</v>
      </c>
      <c r="Q4" s="208" t="s">
        <v>3967</v>
      </c>
      <c r="R4" s="208" t="s">
        <v>4413</v>
      </c>
    </row>
    <row r="5" spans="1:18" s="205" customFormat="1" x14ac:dyDescent="0.2">
      <c r="A5" s="205" t="s">
        <v>102</v>
      </c>
      <c r="B5" s="205" t="s">
        <v>4419</v>
      </c>
      <c r="C5" s="200">
        <v>45446</v>
      </c>
      <c r="D5" s="199" t="s">
        <v>152</v>
      </c>
      <c r="E5" s="206">
        <v>17459103</v>
      </c>
      <c r="F5" s="206">
        <v>1745910</v>
      </c>
      <c r="G5" s="206">
        <v>174591</v>
      </c>
      <c r="H5" s="202">
        <f t="shared" si="0"/>
        <v>15887784</v>
      </c>
      <c r="I5" s="205" t="s">
        <v>31</v>
      </c>
      <c r="J5" s="205" t="s">
        <v>29</v>
      </c>
      <c r="K5" s="201" t="s">
        <v>1028</v>
      </c>
      <c r="L5" s="205" t="s">
        <v>4420</v>
      </c>
      <c r="M5" s="201" t="s">
        <v>1030</v>
      </c>
      <c r="N5" s="205" t="s">
        <v>652</v>
      </c>
      <c r="O5" s="205" t="s">
        <v>652</v>
      </c>
      <c r="P5" s="208" t="s">
        <v>1534</v>
      </c>
      <c r="Q5" s="208" t="s">
        <v>3748</v>
      </c>
      <c r="R5" s="208" t="s">
        <v>4413</v>
      </c>
    </row>
    <row r="6" spans="1:18" s="205" customFormat="1" x14ac:dyDescent="0.2">
      <c r="A6" s="205" t="s">
        <v>558</v>
      </c>
      <c r="B6" s="205" t="s">
        <v>559</v>
      </c>
      <c r="C6" s="200">
        <v>45447</v>
      </c>
      <c r="D6" s="199" t="s">
        <v>152</v>
      </c>
      <c r="E6" s="206">
        <v>9071</v>
      </c>
      <c r="F6" s="206">
        <v>907</v>
      </c>
      <c r="G6" s="206">
        <v>91</v>
      </c>
      <c r="H6" s="202">
        <f t="shared" si="0"/>
        <v>8255</v>
      </c>
      <c r="I6" s="205" t="s">
        <v>31</v>
      </c>
      <c r="J6" s="205" t="s">
        <v>29</v>
      </c>
      <c r="K6" s="201" t="s">
        <v>1042</v>
      </c>
      <c r="L6" s="205" t="s">
        <v>4421</v>
      </c>
      <c r="M6" s="201" t="s">
        <v>1030</v>
      </c>
      <c r="N6" s="205" t="s">
        <v>1046</v>
      </c>
      <c r="O6" s="205" t="s">
        <v>1047</v>
      </c>
      <c r="P6" s="208" t="s">
        <v>653</v>
      </c>
      <c r="Q6" s="208" t="s">
        <v>654</v>
      </c>
      <c r="R6" s="208" t="s">
        <v>4422</v>
      </c>
    </row>
    <row r="7" spans="1:18" s="205" customFormat="1" x14ac:dyDescent="0.2">
      <c r="A7" s="205" t="s">
        <v>183</v>
      </c>
      <c r="B7" s="205" t="s">
        <v>4423</v>
      </c>
      <c r="C7" s="200">
        <v>45447</v>
      </c>
      <c r="D7" s="199" t="s">
        <v>152</v>
      </c>
      <c r="E7" s="206">
        <v>21023908</v>
      </c>
      <c r="F7" s="206">
        <v>2102391</v>
      </c>
      <c r="G7" s="206">
        <v>210239</v>
      </c>
      <c r="H7" s="202">
        <f t="shared" si="0"/>
        <v>19131756</v>
      </c>
      <c r="I7" s="205" t="s">
        <v>31</v>
      </c>
      <c r="J7" s="205" t="s">
        <v>29</v>
      </c>
      <c r="K7" s="201" t="s">
        <v>1028</v>
      </c>
      <c r="L7" s="205" t="s">
        <v>4424</v>
      </c>
      <c r="M7" s="201" t="s">
        <v>1030</v>
      </c>
      <c r="N7" s="205" t="s">
        <v>652</v>
      </c>
      <c r="O7" s="205" t="s">
        <v>652</v>
      </c>
      <c r="P7" s="208" t="s">
        <v>1534</v>
      </c>
      <c r="Q7" s="208" t="s">
        <v>3748</v>
      </c>
      <c r="R7" s="208" t="s">
        <v>4422</v>
      </c>
    </row>
    <row r="8" spans="1:18" s="205" customFormat="1" x14ac:dyDescent="0.2">
      <c r="A8" s="205" t="s">
        <v>4425</v>
      </c>
      <c r="B8" s="205" t="s">
        <v>4426</v>
      </c>
      <c r="C8" s="200">
        <v>45447</v>
      </c>
      <c r="D8" s="199" t="s">
        <v>152</v>
      </c>
      <c r="E8" s="206">
        <v>1209487</v>
      </c>
      <c r="F8" s="206">
        <v>120949</v>
      </c>
      <c r="G8" s="206">
        <v>12095</v>
      </c>
      <c r="H8" s="202">
        <f t="shared" si="0"/>
        <v>1100633</v>
      </c>
      <c r="I8" s="205" t="s">
        <v>32</v>
      </c>
      <c r="J8" s="205" t="s">
        <v>29</v>
      </c>
      <c r="K8" s="201" t="s">
        <v>1028</v>
      </c>
      <c r="L8" s="205" t="s">
        <v>4427</v>
      </c>
      <c r="M8" s="201" t="s">
        <v>1030</v>
      </c>
      <c r="N8" s="205" t="s">
        <v>652</v>
      </c>
      <c r="O8" s="205" t="s">
        <v>652</v>
      </c>
      <c r="P8" s="208" t="s">
        <v>1534</v>
      </c>
      <c r="Q8" s="208" t="s">
        <v>3748</v>
      </c>
      <c r="R8" s="208" t="s">
        <v>4422</v>
      </c>
    </row>
    <row r="9" spans="1:18" s="205" customFormat="1" x14ac:dyDescent="0.2">
      <c r="A9" s="205" t="s">
        <v>4428</v>
      </c>
      <c r="B9" s="205" t="s">
        <v>4429</v>
      </c>
      <c r="C9" s="200">
        <v>45448</v>
      </c>
      <c r="D9" s="199" t="s">
        <v>152</v>
      </c>
      <c r="E9" s="206">
        <v>17531</v>
      </c>
      <c r="F9" s="206">
        <v>1753</v>
      </c>
      <c r="G9" s="206">
        <v>175</v>
      </c>
      <c r="H9" s="202">
        <f t="shared" si="0"/>
        <v>15953</v>
      </c>
      <c r="I9" s="205" t="s">
        <v>82</v>
      </c>
      <c r="J9" s="205" t="s">
        <v>29</v>
      </c>
      <c r="K9" s="201" t="s">
        <v>1028</v>
      </c>
      <c r="L9" s="205" t="s">
        <v>4430</v>
      </c>
      <c r="M9" s="201" t="s">
        <v>1030</v>
      </c>
      <c r="N9" s="205" t="s">
        <v>652</v>
      </c>
      <c r="O9" s="205" t="s">
        <v>652</v>
      </c>
      <c r="P9" s="208" t="s">
        <v>2386</v>
      </c>
      <c r="Q9" s="208" t="s">
        <v>2387</v>
      </c>
      <c r="R9" s="208" t="s">
        <v>1534</v>
      </c>
    </row>
    <row r="10" spans="1:18" s="205" customFormat="1" x14ac:dyDescent="0.2">
      <c r="A10" s="205" t="s">
        <v>4431</v>
      </c>
      <c r="B10" s="205" t="s">
        <v>4432</v>
      </c>
      <c r="C10" s="200">
        <v>45448</v>
      </c>
      <c r="D10" s="199" t="s">
        <v>152</v>
      </c>
      <c r="E10" s="206">
        <v>47456</v>
      </c>
      <c r="F10" s="206">
        <v>4746</v>
      </c>
      <c r="G10" s="206">
        <v>475</v>
      </c>
      <c r="H10" s="202">
        <f t="shared" si="0"/>
        <v>43185</v>
      </c>
      <c r="I10" s="205" t="s">
        <v>4433</v>
      </c>
      <c r="J10" s="205" t="s">
        <v>29</v>
      </c>
      <c r="K10" s="201" t="s">
        <v>1028</v>
      </c>
      <c r="L10" s="205" t="s">
        <v>4434</v>
      </c>
      <c r="M10" s="201" t="s">
        <v>1030</v>
      </c>
      <c r="N10" s="205" t="s">
        <v>652</v>
      </c>
      <c r="O10" s="205" t="s">
        <v>652</v>
      </c>
      <c r="P10" s="208" t="s">
        <v>2430</v>
      </c>
      <c r="Q10" s="208" t="s">
        <v>2431</v>
      </c>
      <c r="R10" s="208" t="s">
        <v>4422</v>
      </c>
    </row>
    <row r="11" spans="1:18" s="205" customFormat="1" x14ac:dyDescent="0.2">
      <c r="A11" s="205" t="s">
        <v>4435</v>
      </c>
      <c r="B11" s="205" t="s">
        <v>4436</v>
      </c>
      <c r="C11" s="200">
        <v>45448</v>
      </c>
      <c r="D11" s="199" t="s">
        <v>152</v>
      </c>
      <c r="E11" s="206">
        <v>513506</v>
      </c>
      <c r="F11" s="206">
        <v>51351</v>
      </c>
      <c r="G11" s="206">
        <v>5135</v>
      </c>
      <c r="H11" s="202">
        <f t="shared" si="0"/>
        <v>467290</v>
      </c>
      <c r="I11" s="205" t="s">
        <v>109</v>
      </c>
      <c r="J11" s="205" t="s">
        <v>29</v>
      </c>
      <c r="K11" s="201" t="s">
        <v>1028</v>
      </c>
      <c r="L11" s="205" t="s">
        <v>4437</v>
      </c>
      <c r="M11" s="201" t="s">
        <v>1030</v>
      </c>
      <c r="N11" s="205" t="s">
        <v>1190</v>
      </c>
      <c r="O11" s="205" t="s">
        <v>1191</v>
      </c>
      <c r="P11" s="208" t="s">
        <v>2191</v>
      </c>
      <c r="Q11" s="208" t="s">
        <v>2192</v>
      </c>
      <c r="R11" s="208" t="s">
        <v>4438</v>
      </c>
    </row>
    <row r="12" spans="1:18" s="205" customFormat="1" x14ac:dyDescent="0.2">
      <c r="A12" s="205" t="s">
        <v>4439</v>
      </c>
      <c r="B12" s="205" t="s">
        <v>4440</v>
      </c>
      <c r="C12" s="200">
        <v>45448</v>
      </c>
      <c r="D12" s="199" t="s">
        <v>152</v>
      </c>
      <c r="E12" s="206">
        <v>27534</v>
      </c>
      <c r="F12" s="206">
        <v>2753</v>
      </c>
      <c r="G12" s="206">
        <v>275</v>
      </c>
      <c r="H12" s="202">
        <f t="shared" si="0"/>
        <v>25056</v>
      </c>
      <c r="I12" s="205" t="s">
        <v>839</v>
      </c>
      <c r="J12" s="205" t="s">
        <v>29</v>
      </c>
      <c r="K12" s="201" t="s">
        <v>1058</v>
      </c>
      <c r="L12" s="205" t="s">
        <v>4441</v>
      </c>
      <c r="M12" s="201" t="s">
        <v>1072</v>
      </c>
      <c r="N12" s="205" t="s">
        <v>652</v>
      </c>
      <c r="O12" s="205" t="s">
        <v>652</v>
      </c>
      <c r="P12" s="216" t="s">
        <v>1534</v>
      </c>
      <c r="Q12" s="216" t="s">
        <v>3748</v>
      </c>
      <c r="R12" s="216" t="s">
        <v>4438</v>
      </c>
    </row>
    <row r="13" spans="1:18" s="205" customFormat="1" x14ac:dyDescent="0.2">
      <c r="A13" s="205" t="s">
        <v>4442</v>
      </c>
      <c r="B13" s="205" t="s">
        <v>4443</v>
      </c>
      <c r="C13" s="200">
        <v>45448</v>
      </c>
      <c r="D13" s="199" t="s">
        <v>152</v>
      </c>
      <c r="E13" s="206">
        <v>40588</v>
      </c>
      <c r="F13" s="206">
        <v>4059</v>
      </c>
      <c r="G13" s="206">
        <v>406</v>
      </c>
      <c r="H13" s="202">
        <f t="shared" si="0"/>
        <v>36935</v>
      </c>
      <c r="I13" s="205" t="s">
        <v>839</v>
      </c>
      <c r="J13" s="205" t="s">
        <v>29</v>
      </c>
      <c r="K13" s="201" t="s">
        <v>1058</v>
      </c>
      <c r="L13" s="205" t="s">
        <v>4444</v>
      </c>
      <c r="M13" s="201" t="s">
        <v>1072</v>
      </c>
      <c r="N13" s="205" t="s">
        <v>652</v>
      </c>
      <c r="O13" s="205" t="s">
        <v>652</v>
      </c>
      <c r="P13" s="216" t="s">
        <v>1534</v>
      </c>
      <c r="Q13" s="216" t="s">
        <v>3748</v>
      </c>
      <c r="R13" s="216" t="s">
        <v>4438</v>
      </c>
    </row>
    <row r="14" spans="1:18" s="205" customFormat="1" x14ac:dyDescent="0.2">
      <c r="A14" s="205" t="s">
        <v>127</v>
      </c>
      <c r="B14" s="205" t="s">
        <v>3225</v>
      </c>
      <c r="C14" s="200">
        <v>45448</v>
      </c>
      <c r="D14" s="199" t="s">
        <v>152</v>
      </c>
      <c r="E14" s="206">
        <v>16183</v>
      </c>
      <c r="F14" s="206">
        <v>1618</v>
      </c>
      <c r="G14" s="206">
        <v>162</v>
      </c>
      <c r="H14" s="202">
        <f t="shared" si="0"/>
        <v>14727</v>
      </c>
      <c r="I14" s="205" t="s">
        <v>128</v>
      </c>
      <c r="J14" s="205" t="s">
        <v>29</v>
      </c>
      <c r="K14" s="201" t="s">
        <v>1042</v>
      </c>
      <c r="L14" s="205" t="s">
        <v>4445</v>
      </c>
      <c r="M14" s="201" t="s">
        <v>1030</v>
      </c>
      <c r="N14" s="205" t="s">
        <v>652</v>
      </c>
      <c r="O14" s="205" t="s">
        <v>652</v>
      </c>
      <c r="P14" s="208" t="s">
        <v>830</v>
      </c>
      <c r="Q14" s="208" t="s">
        <v>3228</v>
      </c>
      <c r="R14" s="208" t="s">
        <v>4438</v>
      </c>
    </row>
    <row r="15" spans="1:18" s="205" customFormat="1" x14ac:dyDescent="0.2">
      <c r="A15" s="205" t="s">
        <v>178</v>
      </c>
      <c r="B15" s="205" t="s">
        <v>526</v>
      </c>
      <c r="C15" s="200">
        <v>45448</v>
      </c>
      <c r="D15" s="199" t="s">
        <v>152</v>
      </c>
      <c r="E15" s="206">
        <v>34776</v>
      </c>
      <c r="F15" s="206">
        <v>3478</v>
      </c>
      <c r="G15" s="206">
        <v>348</v>
      </c>
      <c r="H15" s="202">
        <f t="shared" si="0"/>
        <v>31646</v>
      </c>
      <c r="I15" s="205" t="s">
        <v>179</v>
      </c>
      <c r="J15" s="205" t="s">
        <v>29</v>
      </c>
      <c r="K15" s="201" t="s">
        <v>1042</v>
      </c>
      <c r="L15" s="205" t="s">
        <v>4446</v>
      </c>
      <c r="M15" s="201" t="s">
        <v>1030</v>
      </c>
      <c r="N15" s="205" t="s">
        <v>652</v>
      </c>
      <c r="O15" s="205" t="s">
        <v>652</v>
      </c>
      <c r="P15" s="208" t="s">
        <v>718</v>
      </c>
      <c r="Q15" s="208" t="s">
        <v>719</v>
      </c>
      <c r="R15" s="208" t="s">
        <v>4438</v>
      </c>
    </row>
    <row r="16" spans="1:18" s="205" customFormat="1" x14ac:dyDescent="0.2">
      <c r="A16" s="205" t="s">
        <v>53</v>
      </c>
      <c r="B16" s="205" t="s">
        <v>586</v>
      </c>
      <c r="C16" s="200">
        <v>45448</v>
      </c>
      <c r="D16" s="199" t="s">
        <v>152</v>
      </c>
      <c r="E16" s="206">
        <v>19355</v>
      </c>
      <c r="F16" s="206">
        <v>1936</v>
      </c>
      <c r="G16" s="206">
        <v>194</v>
      </c>
      <c r="H16" s="202">
        <f t="shared" si="0"/>
        <v>17613</v>
      </c>
      <c r="I16" s="205" t="s">
        <v>173</v>
      </c>
      <c r="J16" s="205" t="s">
        <v>29</v>
      </c>
      <c r="K16" s="201" t="s">
        <v>1042</v>
      </c>
      <c r="L16" s="205" t="s">
        <v>4447</v>
      </c>
      <c r="M16" s="201" t="s">
        <v>1030</v>
      </c>
      <c r="N16" s="205" t="s">
        <v>652</v>
      </c>
      <c r="O16" s="205" t="s">
        <v>652</v>
      </c>
      <c r="P16" s="208" t="s">
        <v>653</v>
      </c>
      <c r="Q16" s="208" t="s">
        <v>654</v>
      </c>
      <c r="R16" s="208" t="s">
        <v>4438</v>
      </c>
    </row>
    <row r="17" spans="1:18" s="205" customFormat="1" x14ac:dyDescent="0.2">
      <c r="A17" s="205" t="s">
        <v>253</v>
      </c>
      <c r="B17" s="205" t="s">
        <v>4448</v>
      </c>
      <c r="C17" s="200">
        <v>45448</v>
      </c>
      <c r="D17" s="199" t="s">
        <v>152</v>
      </c>
      <c r="E17" s="206">
        <v>2358023</v>
      </c>
      <c r="F17" s="206">
        <v>235802</v>
      </c>
      <c r="G17" s="206">
        <v>23580</v>
      </c>
      <c r="H17" s="202">
        <f t="shared" si="0"/>
        <v>2145801</v>
      </c>
      <c r="I17" s="205" t="s">
        <v>254</v>
      </c>
      <c r="J17" s="205" t="s">
        <v>29</v>
      </c>
      <c r="K17" s="201" t="s">
        <v>1028</v>
      </c>
      <c r="L17" s="205" t="s">
        <v>4449</v>
      </c>
      <c r="M17" s="201" t="s">
        <v>1030</v>
      </c>
      <c r="N17" s="205" t="s">
        <v>652</v>
      </c>
      <c r="O17" s="205" t="s">
        <v>652</v>
      </c>
      <c r="P17" s="208" t="s">
        <v>4450</v>
      </c>
      <c r="Q17" s="208" t="s">
        <v>4451</v>
      </c>
      <c r="R17" s="208" t="s">
        <v>4438</v>
      </c>
    </row>
    <row r="18" spans="1:18" s="205" customFormat="1" x14ac:dyDescent="0.2">
      <c r="A18" s="205" t="s">
        <v>4452</v>
      </c>
      <c r="B18" s="205" t="s">
        <v>4453</v>
      </c>
      <c r="C18" s="200">
        <v>45448</v>
      </c>
      <c r="D18" s="199" t="s">
        <v>152</v>
      </c>
      <c r="E18" s="206">
        <v>72410</v>
      </c>
      <c r="F18" s="206">
        <v>7241</v>
      </c>
      <c r="G18" s="206">
        <v>724</v>
      </c>
      <c r="H18" s="202">
        <f t="shared" si="0"/>
        <v>65893</v>
      </c>
      <c r="I18" s="205" t="s">
        <v>799</v>
      </c>
      <c r="J18" s="205" t="s">
        <v>29</v>
      </c>
      <c r="K18" s="201" t="s">
        <v>1028</v>
      </c>
      <c r="L18" s="205" t="s">
        <v>4454</v>
      </c>
      <c r="M18" s="201" t="s">
        <v>1030</v>
      </c>
      <c r="N18" s="205" t="s">
        <v>652</v>
      </c>
      <c r="O18" s="205" t="s">
        <v>652</v>
      </c>
      <c r="P18" s="208" t="s">
        <v>852</v>
      </c>
      <c r="Q18" s="208" t="s">
        <v>3330</v>
      </c>
      <c r="R18" s="208" t="s">
        <v>4438</v>
      </c>
    </row>
    <row r="19" spans="1:18" s="205" customFormat="1" x14ac:dyDescent="0.2">
      <c r="A19" s="205" t="s">
        <v>558</v>
      </c>
      <c r="B19" s="205" t="s">
        <v>559</v>
      </c>
      <c r="C19" s="200">
        <v>45449</v>
      </c>
      <c r="D19" s="199" t="s">
        <v>152</v>
      </c>
      <c r="E19" s="206">
        <v>74252</v>
      </c>
      <c r="F19" s="206">
        <v>7425</v>
      </c>
      <c r="G19" s="206">
        <v>743</v>
      </c>
      <c r="H19" s="202">
        <f t="shared" si="0"/>
        <v>67570</v>
      </c>
      <c r="I19" s="205" t="s">
        <v>31</v>
      </c>
      <c r="J19" s="205" t="s">
        <v>29</v>
      </c>
      <c r="K19" s="201" t="s">
        <v>1042</v>
      </c>
      <c r="L19" s="205" t="s">
        <v>4455</v>
      </c>
      <c r="M19" s="201" t="s">
        <v>1030</v>
      </c>
      <c r="N19" s="205" t="s">
        <v>1046</v>
      </c>
      <c r="O19" s="205" t="s">
        <v>1047</v>
      </c>
      <c r="P19" s="208" t="s">
        <v>653</v>
      </c>
      <c r="Q19" s="208" t="s">
        <v>654</v>
      </c>
      <c r="R19" s="208" t="s">
        <v>4456</v>
      </c>
    </row>
    <row r="20" spans="1:18" s="205" customFormat="1" x14ac:dyDescent="0.2">
      <c r="A20" s="205" t="s">
        <v>175</v>
      </c>
      <c r="B20" s="205" t="s">
        <v>529</v>
      </c>
      <c r="C20" s="200">
        <v>45449</v>
      </c>
      <c r="D20" s="199" t="s">
        <v>152</v>
      </c>
      <c r="E20" s="206">
        <v>16083</v>
      </c>
      <c r="F20" s="206">
        <v>1608</v>
      </c>
      <c r="G20" s="206">
        <v>161</v>
      </c>
      <c r="H20" s="202">
        <f t="shared" si="0"/>
        <v>14636</v>
      </c>
      <c r="I20" s="205" t="s">
        <v>32</v>
      </c>
      <c r="J20" s="205" t="s">
        <v>29</v>
      </c>
      <c r="K20" s="201" t="s">
        <v>1042</v>
      </c>
      <c r="L20" s="205" t="s">
        <v>4457</v>
      </c>
      <c r="M20" s="201" t="s">
        <v>1030</v>
      </c>
      <c r="N20" s="205" t="s">
        <v>652</v>
      </c>
      <c r="O20" s="205" t="s">
        <v>652</v>
      </c>
      <c r="P20" s="208" t="s">
        <v>718</v>
      </c>
      <c r="Q20" s="208" t="s">
        <v>719</v>
      </c>
      <c r="R20" s="208" t="s">
        <v>4456</v>
      </c>
    </row>
    <row r="21" spans="1:18" s="205" customFormat="1" x14ac:dyDescent="0.2">
      <c r="A21" s="205" t="s">
        <v>4065</v>
      </c>
      <c r="B21" s="205" t="s">
        <v>4066</v>
      </c>
      <c r="C21" s="200">
        <v>45449</v>
      </c>
      <c r="D21" s="199" t="s">
        <v>152</v>
      </c>
      <c r="E21" s="206">
        <v>27534</v>
      </c>
      <c r="F21" s="206">
        <v>2753</v>
      </c>
      <c r="G21" s="206">
        <v>275</v>
      </c>
      <c r="H21" s="202">
        <f t="shared" si="0"/>
        <v>25056</v>
      </c>
      <c r="I21" s="205" t="s">
        <v>715</v>
      </c>
      <c r="J21" s="205" t="s">
        <v>29</v>
      </c>
      <c r="K21" s="201" t="s">
        <v>1058</v>
      </c>
      <c r="L21" s="205" t="s">
        <v>4458</v>
      </c>
      <c r="M21" s="201" t="s">
        <v>1030</v>
      </c>
      <c r="N21" s="205" t="s">
        <v>652</v>
      </c>
      <c r="O21" s="205" t="s">
        <v>652</v>
      </c>
      <c r="P21" s="208" t="s">
        <v>1534</v>
      </c>
      <c r="Q21" s="208" t="s">
        <v>3748</v>
      </c>
      <c r="R21" s="208" t="s">
        <v>4456</v>
      </c>
    </row>
    <row r="22" spans="1:18" s="205" customFormat="1" x14ac:dyDescent="0.2">
      <c r="A22" s="205" t="s">
        <v>4459</v>
      </c>
      <c r="B22" s="205" t="s">
        <v>4460</v>
      </c>
      <c r="C22" s="200">
        <v>45449</v>
      </c>
      <c r="D22" s="199" t="s">
        <v>152</v>
      </c>
      <c r="E22" s="206">
        <v>38372</v>
      </c>
      <c r="F22" s="206">
        <v>3837</v>
      </c>
      <c r="G22" s="206">
        <v>384</v>
      </c>
      <c r="H22" s="202">
        <f t="shared" si="0"/>
        <v>34919</v>
      </c>
      <c r="I22" s="205" t="s">
        <v>935</v>
      </c>
      <c r="J22" s="205" t="s">
        <v>29</v>
      </c>
      <c r="K22" s="201" t="s">
        <v>1028</v>
      </c>
      <c r="L22" s="205" t="s">
        <v>4461</v>
      </c>
      <c r="M22" s="201" t="s">
        <v>1072</v>
      </c>
      <c r="N22" s="205" t="s">
        <v>652</v>
      </c>
      <c r="O22" s="205" t="s">
        <v>652</v>
      </c>
      <c r="P22" s="208" t="s">
        <v>812</v>
      </c>
      <c r="Q22" s="208" t="s">
        <v>857</v>
      </c>
      <c r="R22" s="208" t="s">
        <v>4456</v>
      </c>
    </row>
    <row r="23" spans="1:18" s="205" customFormat="1" x14ac:dyDescent="0.2">
      <c r="A23" s="205" t="s">
        <v>27</v>
      </c>
      <c r="B23" s="205" t="s">
        <v>531</v>
      </c>
      <c r="C23" s="200">
        <v>45449</v>
      </c>
      <c r="D23" s="199" t="s">
        <v>152</v>
      </c>
      <c r="E23" s="206">
        <v>69686</v>
      </c>
      <c r="F23" s="206">
        <v>6969</v>
      </c>
      <c r="G23" s="206">
        <v>697</v>
      </c>
      <c r="H23" s="202">
        <f t="shared" si="0"/>
        <v>63414</v>
      </c>
      <c r="I23" s="205" t="s">
        <v>28</v>
      </c>
      <c r="J23" s="205" t="s">
        <v>29</v>
      </c>
      <c r="K23" s="201" t="s">
        <v>1042</v>
      </c>
      <c r="L23" s="205" t="s">
        <v>4462</v>
      </c>
      <c r="M23" s="201" t="s">
        <v>1030</v>
      </c>
      <c r="N23" s="205" t="s">
        <v>652</v>
      </c>
      <c r="O23" s="205" t="s">
        <v>652</v>
      </c>
      <c r="P23" s="208" t="s">
        <v>764</v>
      </c>
      <c r="Q23" s="208" t="s">
        <v>765</v>
      </c>
      <c r="R23" s="208" t="s">
        <v>4456</v>
      </c>
    </row>
    <row r="24" spans="1:18" s="205" customFormat="1" x14ac:dyDescent="0.2">
      <c r="A24" s="205" t="s">
        <v>75</v>
      </c>
      <c r="B24" s="205" t="s">
        <v>595</v>
      </c>
      <c r="C24" s="200">
        <v>45449</v>
      </c>
      <c r="D24" s="199" t="s">
        <v>152</v>
      </c>
      <c r="E24" s="206">
        <v>16393</v>
      </c>
      <c r="F24" s="206">
        <v>1639</v>
      </c>
      <c r="G24" s="206">
        <v>164</v>
      </c>
      <c r="H24" s="202">
        <f t="shared" si="0"/>
        <v>14918</v>
      </c>
      <c r="I24" s="205" t="s">
        <v>76</v>
      </c>
      <c r="J24" s="205" t="s">
        <v>29</v>
      </c>
      <c r="K24" s="201" t="s">
        <v>1042</v>
      </c>
      <c r="L24" s="205" t="s">
        <v>4463</v>
      </c>
      <c r="M24" s="201" t="s">
        <v>1030</v>
      </c>
      <c r="N24" s="205" t="s">
        <v>652</v>
      </c>
      <c r="O24" s="205" t="s">
        <v>652</v>
      </c>
      <c r="P24" s="208" t="s">
        <v>653</v>
      </c>
      <c r="Q24" s="208" t="s">
        <v>654</v>
      </c>
      <c r="R24" s="208" t="s">
        <v>4456</v>
      </c>
    </row>
    <row r="25" spans="1:18" s="205" customFormat="1" x14ac:dyDescent="0.2">
      <c r="A25" s="205" t="s">
        <v>4464</v>
      </c>
      <c r="B25" s="205" t="s">
        <v>4465</v>
      </c>
      <c r="C25" s="200">
        <v>45449</v>
      </c>
      <c r="D25" s="199" t="s">
        <v>152</v>
      </c>
      <c r="E25" s="206">
        <v>487936</v>
      </c>
      <c r="F25" s="206">
        <v>48794</v>
      </c>
      <c r="G25" s="206">
        <v>4879</v>
      </c>
      <c r="H25" s="202">
        <f t="shared" si="0"/>
        <v>444021</v>
      </c>
      <c r="I25" s="205" t="s">
        <v>31</v>
      </c>
      <c r="J25" s="205" t="s">
        <v>29</v>
      </c>
      <c r="K25" s="201" t="s">
        <v>1028</v>
      </c>
      <c r="L25" s="205" t="s">
        <v>4466</v>
      </c>
      <c r="M25" s="201" t="s">
        <v>1030</v>
      </c>
      <c r="N25" s="205" t="s">
        <v>652</v>
      </c>
      <c r="O25" s="205" t="s">
        <v>652</v>
      </c>
      <c r="P25" s="208" t="s">
        <v>4422</v>
      </c>
      <c r="Q25" s="208" t="s">
        <v>4467</v>
      </c>
      <c r="R25" s="208" t="s">
        <v>4456</v>
      </c>
    </row>
    <row r="26" spans="1:18" s="205" customFormat="1" x14ac:dyDescent="0.2">
      <c r="A26" s="205" t="s">
        <v>102</v>
      </c>
      <c r="B26" s="205" t="s">
        <v>4419</v>
      </c>
      <c r="C26" s="200">
        <v>45449</v>
      </c>
      <c r="D26" s="199" t="s">
        <v>152</v>
      </c>
      <c r="E26" s="206">
        <v>804326</v>
      </c>
      <c r="F26" s="206">
        <v>80433</v>
      </c>
      <c r="G26" s="206">
        <v>8043</v>
      </c>
      <c r="H26" s="202">
        <f t="shared" si="0"/>
        <v>731936</v>
      </c>
      <c r="I26" s="205" t="s">
        <v>31</v>
      </c>
      <c r="J26" s="205" t="s">
        <v>29</v>
      </c>
      <c r="K26" s="201" t="s">
        <v>1042</v>
      </c>
      <c r="L26" s="205" t="s">
        <v>4468</v>
      </c>
      <c r="M26" s="201" t="s">
        <v>1030</v>
      </c>
      <c r="N26" s="205" t="s">
        <v>652</v>
      </c>
      <c r="O26" s="205" t="s">
        <v>652</v>
      </c>
      <c r="P26" s="208" t="s">
        <v>1534</v>
      </c>
      <c r="Q26" s="208" t="s">
        <v>3748</v>
      </c>
      <c r="R26" s="208" t="s">
        <v>4456</v>
      </c>
    </row>
    <row r="27" spans="1:18" s="205" customFormat="1" x14ac:dyDescent="0.2">
      <c r="A27" s="205" t="s">
        <v>64</v>
      </c>
      <c r="B27" s="205" t="s">
        <v>514</v>
      </c>
      <c r="C27" s="200">
        <v>45449</v>
      </c>
      <c r="D27" s="199" t="s">
        <v>152</v>
      </c>
      <c r="E27" s="206">
        <v>221111</v>
      </c>
      <c r="F27" s="206">
        <v>22111</v>
      </c>
      <c r="G27" s="206">
        <v>2211</v>
      </c>
      <c r="H27" s="202">
        <f t="shared" si="0"/>
        <v>201211</v>
      </c>
      <c r="I27" s="205" t="s">
        <v>31</v>
      </c>
      <c r="J27" s="205" t="s">
        <v>29</v>
      </c>
      <c r="K27" s="201" t="s">
        <v>1042</v>
      </c>
      <c r="L27" s="205" t="s">
        <v>4469</v>
      </c>
      <c r="M27" s="201" t="s">
        <v>1030</v>
      </c>
      <c r="N27" s="205" t="s">
        <v>652</v>
      </c>
      <c r="O27" s="205" t="s">
        <v>652</v>
      </c>
      <c r="P27" s="208" t="s">
        <v>653</v>
      </c>
      <c r="Q27" s="208" t="s">
        <v>654</v>
      </c>
      <c r="R27" s="208" t="s">
        <v>4456</v>
      </c>
    </row>
    <row r="28" spans="1:18" s="205" customFormat="1" x14ac:dyDescent="0.2">
      <c r="A28" s="205" t="s">
        <v>558</v>
      </c>
      <c r="B28" s="205" t="s">
        <v>559</v>
      </c>
      <c r="C28" s="200">
        <v>45449</v>
      </c>
      <c r="D28" s="199" t="s">
        <v>152</v>
      </c>
      <c r="E28" s="206">
        <v>69142</v>
      </c>
      <c r="F28" s="206">
        <v>6914</v>
      </c>
      <c r="G28" s="206">
        <v>691</v>
      </c>
      <c r="H28" s="202">
        <f t="shared" si="0"/>
        <v>62919</v>
      </c>
      <c r="I28" s="205" t="s">
        <v>31</v>
      </c>
      <c r="J28" s="205" t="s">
        <v>29</v>
      </c>
      <c r="K28" s="201" t="s">
        <v>1151</v>
      </c>
      <c r="L28" s="205" t="s">
        <v>4470</v>
      </c>
      <c r="M28" s="201" t="s">
        <v>1030</v>
      </c>
      <c r="N28" s="205" t="s">
        <v>1046</v>
      </c>
      <c r="O28" s="205" t="s">
        <v>1047</v>
      </c>
      <c r="P28" s="208" t="s">
        <v>653</v>
      </c>
      <c r="Q28" s="208" t="s">
        <v>654</v>
      </c>
      <c r="R28" s="208" t="s">
        <v>4456</v>
      </c>
    </row>
    <row r="29" spans="1:18" s="205" customFormat="1" x14ac:dyDescent="0.2">
      <c r="A29" s="205" t="s">
        <v>341</v>
      </c>
      <c r="B29" s="205" t="s">
        <v>4471</v>
      </c>
      <c r="C29" s="200">
        <v>45449</v>
      </c>
      <c r="D29" s="199" t="s">
        <v>152</v>
      </c>
      <c r="E29" s="206">
        <v>3028</v>
      </c>
      <c r="F29" s="206">
        <v>303</v>
      </c>
      <c r="G29" s="206">
        <v>30</v>
      </c>
      <c r="H29" s="202">
        <f t="shared" si="0"/>
        <v>2755</v>
      </c>
      <c r="I29" s="205" t="s">
        <v>32</v>
      </c>
      <c r="J29" s="205" t="s">
        <v>29</v>
      </c>
      <c r="K29" s="201" t="s">
        <v>1042</v>
      </c>
      <c r="L29" s="205" t="s">
        <v>4472</v>
      </c>
      <c r="M29" s="201" t="s">
        <v>1030</v>
      </c>
      <c r="N29" s="205" t="s">
        <v>652</v>
      </c>
      <c r="O29" s="205" t="s">
        <v>652</v>
      </c>
      <c r="P29" s="208" t="s">
        <v>696</v>
      </c>
      <c r="Q29" s="208" t="s">
        <v>697</v>
      </c>
      <c r="R29" s="208" t="s">
        <v>4456</v>
      </c>
    </row>
    <row r="30" spans="1:18" s="205" customFormat="1" x14ac:dyDescent="0.2">
      <c r="A30" s="205" t="s">
        <v>238</v>
      </c>
      <c r="B30" s="205" t="s">
        <v>3721</v>
      </c>
      <c r="C30" s="200">
        <v>45449</v>
      </c>
      <c r="D30" s="199" t="s">
        <v>152</v>
      </c>
      <c r="E30" s="206">
        <v>77114</v>
      </c>
      <c r="F30" s="206">
        <v>7711</v>
      </c>
      <c r="G30" s="206">
        <v>771</v>
      </c>
      <c r="H30" s="202">
        <f t="shared" si="0"/>
        <v>70174</v>
      </c>
      <c r="I30" s="205" t="s">
        <v>32</v>
      </c>
      <c r="J30" s="205" t="s">
        <v>29</v>
      </c>
      <c r="K30" s="201" t="s">
        <v>1042</v>
      </c>
      <c r="L30" s="205" t="s">
        <v>4473</v>
      </c>
      <c r="M30" s="201" t="s">
        <v>1030</v>
      </c>
      <c r="N30" s="205" t="s">
        <v>3723</v>
      </c>
      <c r="O30" s="205" t="s">
        <v>1187</v>
      </c>
      <c r="P30" s="208" t="s">
        <v>3628</v>
      </c>
      <c r="Q30" s="208" t="s">
        <v>3629</v>
      </c>
      <c r="R30" s="208" t="s">
        <v>4456</v>
      </c>
    </row>
    <row r="31" spans="1:18" s="205" customFormat="1" x14ac:dyDescent="0.2">
      <c r="A31" s="205" t="s">
        <v>167</v>
      </c>
      <c r="B31" s="205" t="s">
        <v>918</v>
      </c>
      <c r="C31" s="200">
        <v>45449</v>
      </c>
      <c r="D31" s="199" t="s">
        <v>152</v>
      </c>
      <c r="E31" s="206">
        <v>69173</v>
      </c>
      <c r="F31" s="206">
        <v>6917</v>
      </c>
      <c r="G31" s="206">
        <v>692</v>
      </c>
      <c r="H31" s="202">
        <f t="shared" si="0"/>
        <v>62948</v>
      </c>
      <c r="I31" s="205" t="s">
        <v>168</v>
      </c>
      <c r="J31" s="205" t="s">
        <v>29</v>
      </c>
      <c r="K31" s="201" t="s">
        <v>1042</v>
      </c>
      <c r="L31" s="205" t="s">
        <v>4474</v>
      </c>
      <c r="M31" s="201" t="s">
        <v>1030</v>
      </c>
      <c r="N31" s="205" t="s">
        <v>652</v>
      </c>
      <c r="O31" s="205" t="s">
        <v>652</v>
      </c>
      <c r="P31" s="208" t="s">
        <v>663</v>
      </c>
      <c r="Q31" s="208" t="s">
        <v>723</v>
      </c>
      <c r="R31" s="208" t="s">
        <v>4456</v>
      </c>
    </row>
    <row r="32" spans="1:18" s="205" customFormat="1" x14ac:dyDescent="0.2">
      <c r="A32" s="205" t="s">
        <v>191</v>
      </c>
      <c r="B32" s="205" t="s">
        <v>4475</v>
      </c>
      <c r="C32" s="200">
        <v>45450</v>
      </c>
      <c r="D32" s="199" t="s">
        <v>152</v>
      </c>
      <c r="E32" s="206">
        <v>3673746</v>
      </c>
      <c r="F32" s="206">
        <v>367375</v>
      </c>
      <c r="G32" s="206">
        <v>36738</v>
      </c>
      <c r="H32" s="202">
        <f t="shared" si="0"/>
        <v>3343109</v>
      </c>
      <c r="I32" s="205" t="s">
        <v>31</v>
      </c>
      <c r="J32" s="205" t="s">
        <v>29</v>
      </c>
      <c r="K32" s="201" t="s">
        <v>1028</v>
      </c>
      <c r="L32" s="205" t="s">
        <v>4476</v>
      </c>
      <c r="M32" s="201" t="s">
        <v>1030</v>
      </c>
      <c r="N32" s="205" t="s">
        <v>652</v>
      </c>
      <c r="O32" s="205" t="s">
        <v>652</v>
      </c>
      <c r="P32" s="208" t="s">
        <v>1534</v>
      </c>
      <c r="Q32" s="208" t="s">
        <v>3748</v>
      </c>
      <c r="R32" s="208" t="s">
        <v>4456</v>
      </c>
    </row>
    <row r="33" spans="1:18" s="205" customFormat="1" x14ac:dyDescent="0.2">
      <c r="A33" s="205" t="s">
        <v>4477</v>
      </c>
      <c r="B33" s="205" t="s">
        <v>4478</v>
      </c>
      <c r="C33" s="200">
        <v>45450</v>
      </c>
      <c r="D33" s="199" t="s">
        <v>152</v>
      </c>
      <c r="E33" s="206">
        <v>92501</v>
      </c>
      <c r="F33" s="206">
        <v>9250</v>
      </c>
      <c r="G33" s="206">
        <v>925</v>
      </c>
      <c r="H33" s="202">
        <f t="shared" si="0"/>
        <v>84176</v>
      </c>
      <c r="I33" s="205" t="s">
        <v>409</v>
      </c>
      <c r="J33" s="205" t="s">
        <v>29</v>
      </c>
      <c r="K33" s="201" t="s">
        <v>1058</v>
      </c>
      <c r="L33" s="205" t="s">
        <v>4479</v>
      </c>
      <c r="M33" s="201" t="s">
        <v>1072</v>
      </c>
      <c r="N33" s="205" t="s">
        <v>652</v>
      </c>
      <c r="O33" s="205" t="s">
        <v>652</v>
      </c>
      <c r="P33" s="208" t="s">
        <v>875</v>
      </c>
      <c r="Q33" s="208" t="s">
        <v>976</v>
      </c>
      <c r="R33" s="208" t="s">
        <v>3035</v>
      </c>
    </row>
    <row r="34" spans="1:18" s="205" customFormat="1" x14ac:dyDescent="0.2">
      <c r="A34" s="205" t="s">
        <v>563</v>
      </c>
      <c r="B34" s="205" t="s">
        <v>564</v>
      </c>
      <c r="C34" s="200">
        <v>45453</v>
      </c>
      <c r="D34" s="199" t="s">
        <v>152</v>
      </c>
      <c r="E34" s="206">
        <v>58522</v>
      </c>
      <c r="F34" s="206">
        <v>5852</v>
      </c>
      <c r="G34" s="206">
        <v>585</v>
      </c>
      <c r="H34" s="202">
        <f t="shared" si="0"/>
        <v>53255</v>
      </c>
      <c r="I34" s="205" t="s">
        <v>565</v>
      </c>
      <c r="J34" s="205" t="s">
        <v>29</v>
      </c>
      <c r="K34" s="201" t="s">
        <v>1042</v>
      </c>
      <c r="L34" s="205" t="s">
        <v>4480</v>
      </c>
      <c r="M34" s="201" t="s">
        <v>1030</v>
      </c>
      <c r="N34" s="205" t="s">
        <v>1190</v>
      </c>
      <c r="O34" s="205" t="s">
        <v>1191</v>
      </c>
      <c r="P34" s="208" t="s">
        <v>653</v>
      </c>
      <c r="Q34" s="208" t="s">
        <v>654</v>
      </c>
      <c r="R34" s="208" t="s">
        <v>4481</v>
      </c>
    </row>
    <row r="35" spans="1:18" s="205" customFormat="1" x14ac:dyDescent="0.2">
      <c r="A35" s="205" t="s">
        <v>1183</v>
      </c>
      <c r="B35" s="205" t="s">
        <v>1184</v>
      </c>
      <c r="C35" s="200">
        <v>45453</v>
      </c>
      <c r="D35" s="199" t="s">
        <v>152</v>
      </c>
      <c r="E35" s="206">
        <v>56156</v>
      </c>
      <c r="F35" s="206">
        <v>5616</v>
      </c>
      <c r="G35" s="206">
        <v>562</v>
      </c>
      <c r="H35" s="202">
        <f t="shared" si="0"/>
        <v>51102</v>
      </c>
      <c r="I35" s="205" t="s">
        <v>90</v>
      </c>
      <c r="J35" s="205" t="s">
        <v>29</v>
      </c>
      <c r="K35" s="201" t="s">
        <v>1042</v>
      </c>
      <c r="L35" s="205" t="s">
        <v>4482</v>
      </c>
      <c r="M35" s="201" t="s">
        <v>1030</v>
      </c>
      <c r="N35" s="205" t="s">
        <v>1186</v>
      </c>
      <c r="O35" s="205" t="s">
        <v>1187</v>
      </c>
      <c r="P35" s="208" t="s">
        <v>987</v>
      </c>
      <c r="Q35" s="208" t="s">
        <v>988</v>
      </c>
      <c r="R35" s="208" t="s">
        <v>4481</v>
      </c>
    </row>
    <row r="36" spans="1:18" s="205" customFormat="1" x14ac:dyDescent="0.2">
      <c r="A36" s="205" t="s">
        <v>4483</v>
      </c>
      <c r="B36" s="205" t="s">
        <v>4484</v>
      </c>
      <c r="C36" s="200">
        <v>45454</v>
      </c>
      <c r="D36" s="199" t="s">
        <v>152</v>
      </c>
      <c r="E36" s="206">
        <v>52204</v>
      </c>
      <c r="F36" s="206">
        <v>5220</v>
      </c>
      <c r="G36" s="206">
        <v>522</v>
      </c>
      <c r="H36" s="202">
        <f t="shared" si="0"/>
        <v>47506</v>
      </c>
      <c r="I36" s="205" t="s">
        <v>329</v>
      </c>
      <c r="J36" s="205" t="s">
        <v>29</v>
      </c>
      <c r="K36" s="201" t="s">
        <v>1028</v>
      </c>
      <c r="L36" s="205" t="s">
        <v>4485</v>
      </c>
      <c r="M36" s="201" t="s">
        <v>1030</v>
      </c>
      <c r="N36" s="205" t="s">
        <v>652</v>
      </c>
      <c r="O36" s="205" t="s">
        <v>652</v>
      </c>
      <c r="P36" s="208" t="s">
        <v>4481</v>
      </c>
      <c r="Q36" s="208" t="s">
        <v>4486</v>
      </c>
      <c r="R36" s="208" t="s">
        <v>4481</v>
      </c>
    </row>
    <row r="37" spans="1:18" s="205" customFormat="1" x14ac:dyDescent="0.2">
      <c r="A37" s="205" t="s">
        <v>4487</v>
      </c>
      <c r="B37" s="205" t="s">
        <v>4488</v>
      </c>
      <c r="C37" s="200">
        <v>45454</v>
      </c>
      <c r="D37" s="199" t="s">
        <v>152</v>
      </c>
      <c r="E37" s="206">
        <v>84856</v>
      </c>
      <c r="F37" s="206">
        <v>8486</v>
      </c>
      <c r="G37" s="206">
        <v>849</v>
      </c>
      <c r="H37" s="202">
        <f t="shared" si="0"/>
        <v>77219</v>
      </c>
      <c r="I37" s="205" t="s">
        <v>329</v>
      </c>
      <c r="J37" s="205" t="s">
        <v>29</v>
      </c>
      <c r="K37" s="201" t="s">
        <v>1028</v>
      </c>
      <c r="L37" s="205" t="s">
        <v>4489</v>
      </c>
      <c r="M37" s="201" t="s">
        <v>1030</v>
      </c>
      <c r="N37" s="205" t="s">
        <v>652</v>
      </c>
      <c r="O37" s="205" t="s">
        <v>652</v>
      </c>
      <c r="P37" s="208" t="s">
        <v>3035</v>
      </c>
      <c r="Q37" s="208" t="s">
        <v>4490</v>
      </c>
      <c r="R37" s="208" t="s">
        <v>4481</v>
      </c>
    </row>
    <row r="38" spans="1:18" s="205" customFormat="1" x14ac:dyDescent="0.2">
      <c r="A38" s="205" t="s">
        <v>4491</v>
      </c>
      <c r="B38" s="205" t="s">
        <v>241</v>
      </c>
      <c r="C38" s="200">
        <v>45454</v>
      </c>
      <c r="D38" s="199" t="s">
        <v>152</v>
      </c>
      <c r="E38" s="206">
        <v>52242</v>
      </c>
      <c r="F38" s="206">
        <v>5224</v>
      </c>
      <c r="G38" s="206">
        <v>522</v>
      </c>
      <c r="H38" s="202">
        <f t="shared" si="0"/>
        <v>47540</v>
      </c>
      <c r="I38" s="205" t="s">
        <v>242</v>
      </c>
      <c r="J38" s="205" t="s">
        <v>29</v>
      </c>
      <c r="K38" s="201" t="s">
        <v>1042</v>
      </c>
      <c r="L38" s="205" t="s">
        <v>4492</v>
      </c>
      <c r="M38" s="201" t="s">
        <v>1030</v>
      </c>
      <c r="N38" s="205" t="s">
        <v>652</v>
      </c>
      <c r="O38" s="205" t="s">
        <v>652</v>
      </c>
      <c r="P38" s="208" t="s">
        <v>653</v>
      </c>
      <c r="Q38" s="208" t="s">
        <v>654</v>
      </c>
      <c r="R38" s="208" t="s">
        <v>761</v>
      </c>
    </row>
    <row r="39" spans="1:18" s="205" customFormat="1" x14ac:dyDescent="0.2">
      <c r="A39" s="205" t="s">
        <v>42</v>
      </c>
      <c r="B39" s="205" t="s">
        <v>601</v>
      </c>
      <c r="C39" s="200">
        <v>45454</v>
      </c>
      <c r="D39" s="199" t="s">
        <v>152</v>
      </c>
      <c r="E39" s="206">
        <v>71193</v>
      </c>
      <c r="F39" s="206">
        <v>7119</v>
      </c>
      <c r="G39" s="206">
        <v>712</v>
      </c>
      <c r="H39" s="202">
        <f t="shared" si="0"/>
        <v>64786</v>
      </c>
      <c r="I39" s="205" t="s">
        <v>43</v>
      </c>
      <c r="J39" s="205" t="s">
        <v>29</v>
      </c>
      <c r="K39" s="201" t="s">
        <v>1042</v>
      </c>
      <c r="L39" s="205" t="s">
        <v>4493</v>
      </c>
      <c r="M39" s="201" t="s">
        <v>1030</v>
      </c>
      <c r="N39" s="205" t="s">
        <v>652</v>
      </c>
      <c r="O39" s="205" t="s">
        <v>652</v>
      </c>
      <c r="P39" s="208" t="s">
        <v>653</v>
      </c>
      <c r="Q39" s="208" t="s">
        <v>654</v>
      </c>
      <c r="R39" s="208" t="s">
        <v>761</v>
      </c>
    </row>
    <row r="40" spans="1:18" s="205" customFormat="1" x14ac:dyDescent="0.2">
      <c r="A40" s="205" t="s">
        <v>236</v>
      </c>
      <c r="B40" s="205" t="s">
        <v>4494</v>
      </c>
      <c r="C40" s="200">
        <v>45455</v>
      </c>
      <c r="D40" s="199" t="s">
        <v>152</v>
      </c>
      <c r="E40" s="206">
        <v>218266</v>
      </c>
      <c r="F40" s="206">
        <v>21827</v>
      </c>
      <c r="G40" s="206">
        <v>2183</v>
      </c>
      <c r="H40" s="202">
        <f t="shared" si="0"/>
        <v>198622</v>
      </c>
      <c r="I40" s="205" t="s">
        <v>41</v>
      </c>
      <c r="J40" s="205" t="s">
        <v>29</v>
      </c>
      <c r="K40" s="201" t="s">
        <v>1028</v>
      </c>
      <c r="L40" s="205" t="s">
        <v>4495</v>
      </c>
      <c r="M40" s="201" t="s">
        <v>1030</v>
      </c>
      <c r="N40" s="205" t="s">
        <v>3723</v>
      </c>
      <c r="O40" s="205" t="s">
        <v>1187</v>
      </c>
      <c r="P40" s="208" t="s">
        <v>846</v>
      </c>
      <c r="Q40" s="208" t="s">
        <v>2922</v>
      </c>
      <c r="R40" s="208" t="s">
        <v>4481</v>
      </c>
    </row>
    <row r="41" spans="1:18" s="205" customFormat="1" x14ac:dyDescent="0.2">
      <c r="A41" s="205" t="s">
        <v>452</v>
      </c>
      <c r="B41" s="205" t="s">
        <v>4496</v>
      </c>
      <c r="C41" s="200">
        <v>45455</v>
      </c>
      <c r="D41" s="199" t="s">
        <v>152</v>
      </c>
      <c r="E41" s="206">
        <v>574665</v>
      </c>
      <c r="F41" s="206">
        <v>57467</v>
      </c>
      <c r="G41" s="206">
        <v>5747</v>
      </c>
      <c r="H41" s="202">
        <f t="shared" si="0"/>
        <v>522945</v>
      </c>
      <c r="I41" s="205" t="s">
        <v>4497</v>
      </c>
      <c r="J41" s="205" t="s">
        <v>29</v>
      </c>
      <c r="K41" s="201" t="s">
        <v>1028</v>
      </c>
      <c r="L41" s="205" t="s">
        <v>4498</v>
      </c>
      <c r="M41" s="201" t="s">
        <v>1030</v>
      </c>
      <c r="N41" s="205" t="s">
        <v>652</v>
      </c>
      <c r="O41" s="205" t="s">
        <v>652</v>
      </c>
      <c r="P41" s="208" t="s">
        <v>4481</v>
      </c>
      <c r="Q41" s="208" t="s">
        <v>4486</v>
      </c>
      <c r="R41" s="208" t="s">
        <v>761</v>
      </c>
    </row>
    <row r="42" spans="1:18" s="205" customFormat="1" x14ac:dyDescent="0.2">
      <c r="A42" s="205" t="s">
        <v>4499</v>
      </c>
      <c r="B42" s="205" t="s">
        <v>4500</v>
      </c>
      <c r="C42" s="200">
        <v>45455</v>
      </c>
      <c r="D42" s="199" t="s">
        <v>152</v>
      </c>
      <c r="E42" s="206">
        <v>31943</v>
      </c>
      <c r="F42" s="206">
        <v>3194</v>
      </c>
      <c r="G42" s="206">
        <v>319</v>
      </c>
      <c r="H42" s="202">
        <f t="shared" si="0"/>
        <v>29068</v>
      </c>
      <c r="I42" s="205" t="s">
        <v>46</v>
      </c>
      <c r="J42" s="205" t="s">
        <v>29</v>
      </c>
      <c r="K42" s="201" t="s">
        <v>1058</v>
      </c>
      <c r="L42" s="205" t="s">
        <v>4501</v>
      </c>
      <c r="M42" s="201" t="s">
        <v>1030</v>
      </c>
      <c r="N42" s="205" t="s">
        <v>652</v>
      </c>
      <c r="O42" s="205" t="s">
        <v>652</v>
      </c>
      <c r="P42" s="208" t="s">
        <v>2430</v>
      </c>
      <c r="Q42" s="208" t="s">
        <v>2431</v>
      </c>
      <c r="R42" s="208" t="s">
        <v>761</v>
      </c>
    </row>
    <row r="43" spans="1:18" s="205" customFormat="1" x14ac:dyDescent="0.2">
      <c r="A43" s="205" t="s">
        <v>4502</v>
      </c>
      <c r="B43" s="205" t="s">
        <v>4503</v>
      </c>
      <c r="C43" s="200">
        <v>45455</v>
      </c>
      <c r="D43" s="199" t="s">
        <v>152</v>
      </c>
      <c r="E43" s="206">
        <v>51703</v>
      </c>
      <c r="F43" s="206">
        <v>5170</v>
      </c>
      <c r="G43" s="206">
        <v>517</v>
      </c>
      <c r="H43" s="202">
        <f t="shared" si="0"/>
        <v>47050</v>
      </c>
      <c r="I43" s="205" t="s">
        <v>279</v>
      </c>
      <c r="J43" s="205" t="s">
        <v>29</v>
      </c>
      <c r="K43" s="201" t="s">
        <v>1058</v>
      </c>
      <c r="L43" s="205" t="s">
        <v>4504</v>
      </c>
      <c r="M43" s="201" t="s">
        <v>1030</v>
      </c>
      <c r="N43" s="205" t="s">
        <v>652</v>
      </c>
      <c r="O43" s="205" t="s">
        <v>652</v>
      </c>
      <c r="P43" s="208" t="s">
        <v>861</v>
      </c>
      <c r="Q43" s="208" t="s">
        <v>4505</v>
      </c>
      <c r="R43" s="208" t="s">
        <v>761</v>
      </c>
    </row>
    <row r="44" spans="1:18" s="205" customFormat="1" x14ac:dyDescent="0.2">
      <c r="A44" s="205" t="s">
        <v>4506</v>
      </c>
      <c r="B44" s="205" t="s">
        <v>4507</v>
      </c>
      <c r="C44" s="200">
        <v>45455</v>
      </c>
      <c r="D44" s="199" t="s">
        <v>152</v>
      </c>
      <c r="E44" s="206">
        <v>51703</v>
      </c>
      <c r="F44" s="206">
        <v>5170</v>
      </c>
      <c r="G44" s="206">
        <v>517</v>
      </c>
      <c r="H44" s="202">
        <f t="shared" si="0"/>
        <v>47050</v>
      </c>
      <c r="I44" s="205" t="s">
        <v>279</v>
      </c>
      <c r="J44" s="205" t="s">
        <v>29</v>
      </c>
      <c r="K44" s="201" t="s">
        <v>1058</v>
      </c>
      <c r="L44" s="205" t="s">
        <v>4508</v>
      </c>
      <c r="M44" s="201" t="s">
        <v>1030</v>
      </c>
      <c r="N44" s="205" t="s">
        <v>652</v>
      </c>
      <c r="O44" s="205" t="s">
        <v>652</v>
      </c>
      <c r="P44" s="208" t="s">
        <v>861</v>
      </c>
      <c r="Q44" s="208" t="s">
        <v>4505</v>
      </c>
      <c r="R44" s="208" t="s">
        <v>761</v>
      </c>
    </row>
    <row r="45" spans="1:18" s="205" customFormat="1" x14ac:dyDescent="0.2">
      <c r="A45" s="205" t="s">
        <v>4509</v>
      </c>
      <c r="B45" s="205" t="s">
        <v>4510</v>
      </c>
      <c r="C45" s="200">
        <v>45455</v>
      </c>
      <c r="D45" s="199" t="s">
        <v>152</v>
      </c>
      <c r="E45" s="206">
        <v>131868</v>
      </c>
      <c r="F45" s="206">
        <v>13187</v>
      </c>
      <c r="G45" s="206">
        <v>1319</v>
      </c>
      <c r="H45" s="202">
        <f t="shared" si="0"/>
        <v>120000</v>
      </c>
      <c r="I45" s="205" t="s">
        <v>46</v>
      </c>
      <c r="J45" s="205" t="s">
        <v>29</v>
      </c>
      <c r="K45" s="201" t="s">
        <v>1058</v>
      </c>
      <c r="L45" s="205" t="s">
        <v>4511</v>
      </c>
      <c r="M45" s="201" t="s">
        <v>1030</v>
      </c>
      <c r="N45" s="205" t="s">
        <v>652</v>
      </c>
      <c r="O45" s="205" t="s">
        <v>652</v>
      </c>
      <c r="P45" s="208" t="s">
        <v>651</v>
      </c>
      <c r="Q45" s="208" t="s">
        <v>673</v>
      </c>
      <c r="R45" s="208" t="s">
        <v>761</v>
      </c>
    </row>
    <row r="46" spans="1:18" s="205" customFormat="1" x14ac:dyDescent="0.2">
      <c r="A46" s="205" t="s">
        <v>4512</v>
      </c>
      <c r="B46" s="205" t="s">
        <v>4513</v>
      </c>
      <c r="C46" s="200">
        <v>45455</v>
      </c>
      <c r="D46" s="199" t="s">
        <v>152</v>
      </c>
      <c r="E46" s="206">
        <v>57345</v>
      </c>
      <c r="F46" s="206">
        <v>5735</v>
      </c>
      <c r="G46" s="206">
        <v>574</v>
      </c>
      <c r="H46" s="202">
        <f t="shared" si="0"/>
        <v>52184</v>
      </c>
      <c r="I46" s="205" t="s">
        <v>280</v>
      </c>
      <c r="J46" s="205" t="s">
        <v>29</v>
      </c>
      <c r="K46" s="201" t="s">
        <v>1028</v>
      </c>
      <c r="L46" s="205" t="s">
        <v>4514</v>
      </c>
      <c r="M46" s="201" t="s">
        <v>652</v>
      </c>
      <c r="N46" s="205" t="s">
        <v>652</v>
      </c>
      <c r="O46" s="205" t="s">
        <v>652</v>
      </c>
      <c r="P46" s="208" t="s">
        <v>770</v>
      </c>
      <c r="Q46" s="208" t="s">
        <v>4515</v>
      </c>
      <c r="R46" s="208" t="s">
        <v>4516</v>
      </c>
    </row>
    <row r="47" spans="1:18" s="205" customFormat="1" x14ac:dyDescent="0.2">
      <c r="A47" s="205" t="s">
        <v>4517</v>
      </c>
      <c r="B47" s="205" t="s">
        <v>4518</v>
      </c>
      <c r="C47" s="200">
        <v>45455</v>
      </c>
      <c r="D47" s="199" t="s">
        <v>152</v>
      </c>
      <c r="E47" s="206">
        <v>284066</v>
      </c>
      <c r="F47" s="206">
        <v>28407</v>
      </c>
      <c r="G47" s="206">
        <v>2841</v>
      </c>
      <c r="H47" s="202">
        <f t="shared" si="0"/>
        <v>258500</v>
      </c>
      <c r="I47" s="205" t="s">
        <v>46</v>
      </c>
      <c r="J47" s="205" t="s">
        <v>29</v>
      </c>
      <c r="K47" s="201" t="s">
        <v>1058</v>
      </c>
      <c r="L47" s="205" t="s">
        <v>4519</v>
      </c>
      <c r="M47" s="201" t="s">
        <v>1030</v>
      </c>
      <c r="N47" s="205" t="s">
        <v>1060</v>
      </c>
      <c r="O47" s="205" t="s">
        <v>1061</v>
      </c>
      <c r="P47" s="208" t="s">
        <v>690</v>
      </c>
      <c r="Q47" s="208" t="s">
        <v>691</v>
      </c>
      <c r="R47" s="208" t="s">
        <v>4516</v>
      </c>
    </row>
    <row r="48" spans="1:18" s="205" customFormat="1" x14ac:dyDescent="0.2">
      <c r="A48" s="205" t="s">
        <v>4517</v>
      </c>
      <c r="B48" s="205" t="s">
        <v>4518</v>
      </c>
      <c r="C48" s="200">
        <v>45455</v>
      </c>
      <c r="D48" s="199" t="s">
        <v>152</v>
      </c>
      <c r="E48" s="206">
        <v>284066</v>
      </c>
      <c r="F48" s="206">
        <v>28407</v>
      </c>
      <c r="G48" s="206">
        <v>2841</v>
      </c>
      <c r="H48" s="202">
        <f t="shared" si="0"/>
        <v>258500</v>
      </c>
      <c r="I48" s="205" t="s">
        <v>46</v>
      </c>
      <c r="J48" s="205" t="s">
        <v>29</v>
      </c>
      <c r="K48" s="201" t="s">
        <v>1058</v>
      </c>
      <c r="L48" s="205" t="s">
        <v>4520</v>
      </c>
      <c r="M48" s="201" t="s">
        <v>1030</v>
      </c>
      <c r="N48" s="205" t="s">
        <v>1060</v>
      </c>
      <c r="O48" s="205" t="s">
        <v>1061</v>
      </c>
      <c r="P48" s="208" t="s">
        <v>690</v>
      </c>
      <c r="Q48" s="208" t="s">
        <v>691</v>
      </c>
      <c r="R48" s="208" t="s">
        <v>4516</v>
      </c>
    </row>
    <row r="49" spans="1:18" s="205" customFormat="1" x14ac:dyDescent="0.2">
      <c r="A49" s="205" t="s">
        <v>4521</v>
      </c>
      <c r="B49" s="205" t="s">
        <v>126</v>
      </c>
      <c r="C49" s="200">
        <v>45455</v>
      </c>
      <c r="D49" s="199" t="s">
        <v>152</v>
      </c>
      <c r="E49" s="206">
        <v>69853</v>
      </c>
      <c r="F49" s="206">
        <v>6985</v>
      </c>
      <c r="G49" s="206">
        <v>699</v>
      </c>
      <c r="H49" s="202">
        <f t="shared" si="0"/>
        <v>63567</v>
      </c>
      <c r="I49" s="205" t="s">
        <v>31</v>
      </c>
      <c r="J49" s="205" t="s">
        <v>29</v>
      </c>
      <c r="K49" s="201" t="s">
        <v>1028</v>
      </c>
      <c r="L49" s="205" t="s">
        <v>4522</v>
      </c>
      <c r="M49" s="201" t="s">
        <v>1030</v>
      </c>
      <c r="N49" s="205" t="s">
        <v>652</v>
      </c>
      <c r="O49" s="205" t="s">
        <v>652</v>
      </c>
      <c r="P49" s="208" t="s">
        <v>1534</v>
      </c>
      <c r="Q49" s="208" t="s">
        <v>3748</v>
      </c>
      <c r="R49" s="208" t="s">
        <v>4516</v>
      </c>
    </row>
    <row r="50" spans="1:18" s="205" customFormat="1" x14ac:dyDescent="0.2">
      <c r="A50" s="205" t="s">
        <v>4523</v>
      </c>
      <c r="B50" s="205" t="s">
        <v>126</v>
      </c>
      <c r="C50" s="200">
        <v>45455</v>
      </c>
      <c r="D50" s="199" t="s">
        <v>152</v>
      </c>
      <c r="E50" s="206">
        <v>136214</v>
      </c>
      <c r="F50" s="206">
        <v>13621</v>
      </c>
      <c r="G50" s="206">
        <v>1362</v>
      </c>
      <c r="H50" s="202">
        <f t="shared" si="0"/>
        <v>123955</v>
      </c>
      <c r="I50" s="205" t="s">
        <v>31</v>
      </c>
      <c r="J50" s="205" t="s">
        <v>29</v>
      </c>
      <c r="K50" s="201" t="s">
        <v>1028</v>
      </c>
      <c r="L50" s="205" t="s">
        <v>4524</v>
      </c>
      <c r="M50" s="201" t="s">
        <v>1030</v>
      </c>
      <c r="N50" s="205" t="s">
        <v>652</v>
      </c>
      <c r="O50" s="205" t="s">
        <v>652</v>
      </c>
      <c r="P50" s="208" t="s">
        <v>1534</v>
      </c>
      <c r="Q50" s="208" t="s">
        <v>3748</v>
      </c>
      <c r="R50" s="208" t="s">
        <v>4516</v>
      </c>
    </row>
    <row r="51" spans="1:18" s="205" customFormat="1" x14ac:dyDescent="0.2">
      <c r="A51" s="205" t="s">
        <v>4525</v>
      </c>
      <c r="B51" s="205" t="s">
        <v>126</v>
      </c>
      <c r="C51" s="200">
        <v>45455</v>
      </c>
      <c r="D51" s="199" t="s">
        <v>152</v>
      </c>
      <c r="E51" s="206">
        <v>51743</v>
      </c>
      <c r="F51" s="206">
        <v>5174</v>
      </c>
      <c r="G51" s="206">
        <v>517</v>
      </c>
      <c r="H51" s="202">
        <f t="shared" si="0"/>
        <v>47086</v>
      </c>
      <c r="I51" s="205" t="s">
        <v>31</v>
      </c>
      <c r="J51" s="205" t="s">
        <v>29</v>
      </c>
      <c r="K51" s="201" t="s">
        <v>1028</v>
      </c>
      <c r="L51" s="205" t="s">
        <v>4526</v>
      </c>
      <c r="M51" s="201" t="s">
        <v>1030</v>
      </c>
      <c r="N51" s="205" t="s">
        <v>652</v>
      </c>
      <c r="O51" s="205" t="s">
        <v>652</v>
      </c>
      <c r="P51" s="208" t="s">
        <v>1534</v>
      </c>
      <c r="Q51" s="208" t="s">
        <v>3748</v>
      </c>
      <c r="R51" s="208" t="s">
        <v>4516</v>
      </c>
    </row>
    <row r="52" spans="1:18" s="205" customFormat="1" x14ac:dyDescent="0.2">
      <c r="A52" s="205" t="s">
        <v>4527</v>
      </c>
      <c r="B52" s="205" t="s">
        <v>126</v>
      </c>
      <c r="C52" s="200">
        <v>45455</v>
      </c>
      <c r="D52" s="199" t="s">
        <v>152</v>
      </c>
      <c r="E52" s="206">
        <v>52243</v>
      </c>
      <c r="F52" s="206">
        <v>5224</v>
      </c>
      <c r="G52" s="206">
        <v>522</v>
      </c>
      <c r="H52" s="202">
        <f t="shared" si="0"/>
        <v>47541</v>
      </c>
      <c r="I52" s="205" t="s">
        <v>31</v>
      </c>
      <c r="J52" s="205" t="s">
        <v>29</v>
      </c>
      <c r="K52" s="201" t="s">
        <v>1028</v>
      </c>
      <c r="L52" s="205" t="s">
        <v>4528</v>
      </c>
      <c r="M52" s="201" t="s">
        <v>1030</v>
      </c>
      <c r="N52" s="205" t="s">
        <v>652</v>
      </c>
      <c r="O52" s="205" t="s">
        <v>652</v>
      </c>
      <c r="P52" s="208" t="s">
        <v>1534</v>
      </c>
      <c r="Q52" s="208" t="s">
        <v>3748</v>
      </c>
      <c r="R52" s="208" t="s">
        <v>4516</v>
      </c>
    </row>
    <row r="53" spans="1:18" s="205" customFormat="1" x14ac:dyDescent="0.2">
      <c r="A53" s="205" t="s">
        <v>4529</v>
      </c>
      <c r="B53" s="205" t="s">
        <v>126</v>
      </c>
      <c r="C53" s="200">
        <v>45455</v>
      </c>
      <c r="D53" s="199" t="s">
        <v>152</v>
      </c>
      <c r="E53" s="206">
        <v>57468</v>
      </c>
      <c r="F53" s="206">
        <v>5747</v>
      </c>
      <c r="G53" s="206">
        <v>575</v>
      </c>
      <c r="H53" s="202">
        <f t="shared" si="0"/>
        <v>52296</v>
      </c>
      <c r="I53" s="205" t="s">
        <v>31</v>
      </c>
      <c r="J53" s="205" t="s">
        <v>29</v>
      </c>
      <c r="K53" s="201" t="s">
        <v>1028</v>
      </c>
      <c r="L53" s="205" t="s">
        <v>4530</v>
      </c>
      <c r="M53" s="201" t="s">
        <v>1030</v>
      </c>
      <c r="N53" s="205" t="s">
        <v>652</v>
      </c>
      <c r="O53" s="205" t="s">
        <v>652</v>
      </c>
      <c r="P53" s="208" t="s">
        <v>1534</v>
      </c>
      <c r="Q53" s="208" t="s">
        <v>3748</v>
      </c>
      <c r="R53" s="208" t="s">
        <v>4516</v>
      </c>
    </row>
    <row r="54" spans="1:18" s="205" customFormat="1" x14ac:dyDescent="0.2">
      <c r="A54" s="205" t="s">
        <v>4531</v>
      </c>
      <c r="B54" s="205" t="s">
        <v>126</v>
      </c>
      <c r="C54" s="200">
        <v>45455</v>
      </c>
      <c r="D54" s="199" t="s">
        <v>152</v>
      </c>
      <c r="E54" s="206">
        <v>31983</v>
      </c>
      <c r="F54" s="206">
        <v>3198</v>
      </c>
      <c r="G54" s="206">
        <v>320</v>
      </c>
      <c r="H54" s="202">
        <f t="shared" si="0"/>
        <v>29105</v>
      </c>
      <c r="I54" s="205" t="s">
        <v>31</v>
      </c>
      <c r="J54" s="205" t="s">
        <v>29</v>
      </c>
      <c r="K54" s="201" t="s">
        <v>1028</v>
      </c>
      <c r="L54" s="205" t="s">
        <v>4532</v>
      </c>
      <c r="M54" s="201" t="s">
        <v>1030</v>
      </c>
      <c r="N54" s="205" t="s">
        <v>652</v>
      </c>
      <c r="O54" s="205" t="s">
        <v>652</v>
      </c>
      <c r="P54" s="208" t="s">
        <v>1534</v>
      </c>
      <c r="Q54" s="208" t="s">
        <v>3748</v>
      </c>
      <c r="R54" s="208" t="s">
        <v>4516</v>
      </c>
    </row>
    <row r="55" spans="1:18" s="205" customFormat="1" x14ac:dyDescent="0.2">
      <c r="A55" s="205" t="s">
        <v>4533</v>
      </c>
      <c r="B55" s="205" t="s">
        <v>126</v>
      </c>
      <c r="C55" s="200">
        <v>45455</v>
      </c>
      <c r="D55" s="199" t="s">
        <v>152</v>
      </c>
      <c r="E55" s="206">
        <v>30095</v>
      </c>
      <c r="F55" s="206">
        <v>3010</v>
      </c>
      <c r="G55" s="206">
        <v>301</v>
      </c>
      <c r="H55" s="202">
        <f t="shared" si="0"/>
        <v>27386</v>
      </c>
      <c r="I55" s="205" t="s">
        <v>31</v>
      </c>
      <c r="J55" s="205" t="s">
        <v>29</v>
      </c>
      <c r="K55" s="201" t="s">
        <v>1028</v>
      </c>
      <c r="L55" s="205" t="s">
        <v>4534</v>
      </c>
      <c r="M55" s="201" t="s">
        <v>1030</v>
      </c>
      <c r="N55" s="205" t="s">
        <v>652</v>
      </c>
      <c r="O55" s="205" t="s">
        <v>652</v>
      </c>
      <c r="P55" s="208" t="s">
        <v>1534</v>
      </c>
      <c r="Q55" s="208" t="s">
        <v>3748</v>
      </c>
      <c r="R55" s="208" t="s">
        <v>4516</v>
      </c>
    </row>
    <row r="56" spans="1:18" s="205" customFormat="1" x14ac:dyDescent="0.2">
      <c r="A56" s="205" t="s">
        <v>4535</v>
      </c>
      <c r="B56" s="205" t="s">
        <v>126</v>
      </c>
      <c r="C56" s="200">
        <v>45455</v>
      </c>
      <c r="D56" s="199" t="s">
        <v>152</v>
      </c>
      <c r="E56" s="206">
        <v>51743</v>
      </c>
      <c r="F56" s="206">
        <v>5174</v>
      </c>
      <c r="G56" s="206">
        <v>517</v>
      </c>
      <c r="H56" s="202">
        <f t="shared" si="0"/>
        <v>47086</v>
      </c>
      <c r="I56" s="205" t="s">
        <v>31</v>
      </c>
      <c r="J56" s="205" t="s">
        <v>29</v>
      </c>
      <c r="K56" s="201" t="s">
        <v>1028</v>
      </c>
      <c r="L56" s="205" t="s">
        <v>4536</v>
      </c>
      <c r="M56" s="201" t="s">
        <v>1030</v>
      </c>
      <c r="N56" s="205" t="s">
        <v>652</v>
      </c>
      <c r="O56" s="205" t="s">
        <v>652</v>
      </c>
      <c r="P56" s="208" t="s">
        <v>1534</v>
      </c>
      <c r="Q56" s="208" t="s">
        <v>3748</v>
      </c>
      <c r="R56" s="208" t="s">
        <v>4516</v>
      </c>
    </row>
    <row r="57" spans="1:18" s="205" customFormat="1" x14ac:dyDescent="0.2">
      <c r="A57" s="205" t="s">
        <v>4537</v>
      </c>
      <c r="B57" s="205" t="s">
        <v>126</v>
      </c>
      <c r="C57" s="200">
        <v>45455</v>
      </c>
      <c r="D57" s="199" t="s">
        <v>152</v>
      </c>
      <c r="E57" s="206">
        <v>75028</v>
      </c>
      <c r="F57" s="206">
        <v>7503</v>
      </c>
      <c r="G57" s="206">
        <v>750</v>
      </c>
      <c r="H57" s="202">
        <f t="shared" si="0"/>
        <v>68275</v>
      </c>
      <c r="I57" s="205" t="s">
        <v>31</v>
      </c>
      <c r="J57" s="205" t="s">
        <v>29</v>
      </c>
      <c r="K57" s="201" t="s">
        <v>1028</v>
      </c>
      <c r="L57" s="205" t="s">
        <v>4538</v>
      </c>
      <c r="M57" s="201" t="s">
        <v>1030</v>
      </c>
      <c r="N57" s="205" t="s">
        <v>652</v>
      </c>
      <c r="O57" s="205" t="s">
        <v>652</v>
      </c>
      <c r="P57" s="208" t="s">
        <v>1534</v>
      </c>
      <c r="Q57" s="208" t="s">
        <v>3748</v>
      </c>
      <c r="R57" s="208" t="s">
        <v>4516</v>
      </c>
    </row>
    <row r="58" spans="1:18" s="205" customFormat="1" x14ac:dyDescent="0.2">
      <c r="A58" s="205" t="s">
        <v>4539</v>
      </c>
      <c r="B58" s="205" t="s">
        <v>126</v>
      </c>
      <c r="C58" s="200">
        <v>45455</v>
      </c>
      <c r="D58" s="199" t="s">
        <v>152</v>
      </c>
      <c r="E58" s="206">
        <v>101875</v>
      </c>
      <c r="F58" s="206">
        <v>10188</v>
      </c>
      <c r="G58" s="206">
        <v>1019</v>
      </c>
      <c r="H58" s="202">
        <f t="shared" si="0"/>
        <v>92706</v>
      </c>
      <c r="I58" s="205" t="s">
        <v>31</v>
      </c>
      <c r="J58" s="205" t="s">
        <v>29</v>
      </c>
      <c r="K58" s="201" t="s">
        <v>1028</v>
      </c>
      <c r="L58" s="205" t="s">
        <v>4540</v>
      </c>
      <c r="M58" s="201" t="s">
        <v>1030</v>
      </c>
      <c r="N58" s="205" t="s">
        <v>652</v>
      </c>
      <c r="O58" s="205" t="s">
        <v>652</v>
      </c>
      <c r="P58" s="208" t="s">
        <v>1534</v>
      </c>
      <c r="Q58" s="208" t="s">
        <v>3748</v>
      </c>
      <c r="R58" s="208" t="s">
        <v>4516</v>
      </c>
    </row>
    <row r="59" spans="1:18" s="205" customFormat="1" x14ac:dyDescent="0.2">
      <c r="A59" s="205" t="s">
        <v>4541</v>
      </c>
      <c r="B59" s="205" t="s">
        <v>126</v>
      </c>
      <c r="C59" s="200">
        <v>45455</v>
      </c>
      <c r="D59" s="199" t="s">
        <v>152</v>
      </c>
      <c r="E59" s="206">
        <v>84896</v>
      </c>
      <c r="F59" s="206">
        <v>8490</v>
      </c>
      <c r="G59" s="206">
        <v>849</v>
      </c>
      <c r="H59" s="202">
        <f t="shared" si="0"/>
        <v>77255</v>
      </c>
      <c r="I59" s="205" t="s">
        <v>31</v>
      </c>
      <c r="J59" s="205" t="s">
        <v>29</v>
      </c>
      <c r="K59" s="201" t="s">
        <v>1028</v>
      </c>
      <c r="L59" s="205" t="s">
        <v>4542</v>
      </c>
      <c r="M59" s="201" t="s">
        <v>1030</v>
      </c>
      <c r="N59" s="205" t="s">
        <v>652</v>
      </c>
      <c r="O59" s="205" t="s">
        <v>652</v>
      </c>
      <c r="P59" s="216" t="s">
        <v>1534</v>
      </c>
      <c r="Q59" s="216" t="s">
        <v>3748</v>
      </c>
      <c r="R59" s="216" t="s">
        <v>4516</v>
      </c>
    </row>
    <row r="60" spans="1:18" s="205" customFormat="1" x14ac:dyDescent="0.2">
      <c r="A60" s="205" t="s">
        <v>4543</v>
      </c>
      <c r="B60" s="205" t="s">
        <v>126</v>
      </c>
      <c r="C60" s="200">
        <v>45455</v>
      </c>
      <c r="D60" s="199" t="s">
        <v>152</v>
      </c>
      <c r="E60" s="206">
        <v>67356</v>
      </c>
      <c r="F60" s="206">
        <v>6736</v>
      </c>
      <c r="G60" s="206">
        <v>674</v>
      </c>
      <c r="H60" s="202">
        <f t="shared" si="0"/>
        <v>61294</v>
      </c>
      <c r="I60" s="205" t="s">
        <v>31</v>
      </c>
      <c r="J60" s="205" t="s">
        <v>29</v>
      </c>
      <c r="K60" s="201" t="s">
        <v>1028</v>
      </c>
      <c r="L60" s="205" t="s">
        <v>4544</v>
      </c>
      <c r="M60" s="201" t="s">
        <v>1030</v>
      </c>
      <c r="N60" s="205" t="s">
        <v>652</v>
      </c>
      <c r="O60" s="205" t="s">
        <v>652</v>
      </c>
      <c r="P60" s="208" t="s">
        <v>908</v>
      </c>
      <c r="Q60" s="208" t="s">
        <v>909</v>
      </c>
      <c r="R60" s="208" t="s">
        <v>4516</v>
      </c>
    </row>
    <row r="61" spans="1:18" s="205" customFormat="1" x14ac:dyDescent="0.2">
      <c r="A61" s="205" t="s">
        <v>4545</v>
      </c>
      <c r="B61" s="205" t="s">
        <v>126</v>
      </c>
      <c r="C61" s="200">
        <v>45455</v>
      </c>
      <c r="D61" s="199" t="s">
        <v>152</v>
      </c>
      <c r="E61" s="206">
        <v>131045</v>
      </c>
      <c r="F61" s="206">
        <v>13105</v>
      </c>
      <c r="G61" s="206">
        <v>1310</v>
      </c>
      <c r="H61" s="202">
        <f t="shared" si="0"/>
        <v>119250</v>
      </c>
      <c r="I61" s="205" t="s">
        <v>31</v>
      </c>
      <c r="J61" s="205" t="s">
        <v>29</v>
      </c>
      <c r="K61" s="201" t="s">
        <v>1028</v>
      </c>
      <c r="L61" s="205" t="s">
        <v>4546</v>
      </c>
      <c r="M61" s="201" t="s">
        <v>1030</v>
      </c>
      <c r="N61" s="205" t="s">
        <v>652</v>
      </c>
      <c r="O61" s="205" t="s">
        <v>652</v>
      </c>
      <c r="P61" s="216" t="s">
        <v>4547</v>
      </c>
      <c r="Q61" s="216" t="s">
        <v>4548</v>
      </c>
      <c r="R61" s="208" t="s">
        <v>4516</v>
      </c>
    </row>
    <row r="62" spans="1:18" s="205" customFormat="1" x14ac:dyDescent="0.2">
      <c r="A62" s="205" t="s">
        <v>45</v>
      </c>
      <c r="B62" s="205" t="s">
        <v>527</v>
      </c>
      <c r="C62" s="200">
        <v>45455</v>
      </c>
      <c r="D62" s="199" t="s">
        <v>152</v>
      </c>
      <c r="E62" s="206">
        <v>30250</v>
      </c>
      <c r="F62" s="206">
        <v>3025</v>
      </c>
      <c r="G62" s="206">
        <v>303</v>
      </c>
      <c r="H62" s="202">
        <f t="shared" si="0"/>
        <v>27528</v>
      </c>
      <c r="I62" s="205" t="s">
        <v>28</v>
      </c>
      <c r="J62" s="205" t="s">
        <v>29</v>
      </c>
      <c r="K62" s="201" t="s">
        <v>1042</v>
      </c>
      <c r="L62" s="205" t="s">
        <v>4549</v>
      </c>
      <c r="M62" s="201" t="s">
        <v>1030</v>
      </c>
      <c r="N62" s="205" t="s">
        <v>652</v>
      </c>
      <c r="O62" s="205" t="s">
        <v>652</v>
      </c>
      <c r="P62" s="208" t="s">
        <v>718</v>
      </c>
      <c r="Q62" s="208" t="s">
        <v>719</v>
      </c>
      <c r="R62" s="208" t="s">
        <v>4516</v>
      </c>
    </row>
    <row r="63" spans="1:18" s="205" customFormat="1" x14ac:dyDescent="0.2">
      <c r="A63" s="205" t="s">
        <v>192</v>
      </c>
      <c r="B63" s="205" t="s">
        <v>617</v>
      </c>
      <c r="C63" s="200">
        <v>45455</v>
      </c>
      <c r="D63" s="199" t="s">
        <v>152</v>
      </c>
      <c r="E63" s="206">
        <v>13908</v>
      </c>
      <c r="F63" s="206">
        <v>1391</v>
      </c>
      <c r="G63" s="206">
        <v>139</v>
      </c>
      <c r="H63" s="202">
        <f t="shared" si="0"/>
        <v>12656</v>
      </c>
      <c r="I63" s="205" t="s">
        <v>32</v>
      </c>
      <c r="J63" s="205" t="s">
        <v>29</v>
      </c>
      <c r="K63" s="201" t="s">
        <v>1042</v>
      </c>
      <c r="L63" s="205" t="s">
        <v>4550</v>
      </c>
      <c r="M63" s="201" t="s">
        <v>1030</v>
      </c>
      <c r="N63" s="205" t="s">
        <v>652</v>
      </c>
      <c r="O63" s="205" t="s">
        <v>652</v>
      </c>
      <c r="P63" s="208" t="s">
        <v>653</v>
      </c>
      <c r="Q63" s="208" t="s">
        <v>654</v>
      </c>
      <c r="R63" s="208" t="s">
        <v>4516</v>
      </c>
    </row>
    <row r="64" spans="1:18" s="205" customFormat="1" x14ac:dyDescent="0.2">
      <c r="A64" s="205" t="s">
        <v>382</v>
      </c>
      <c r="B64" s="205" t="s">
        <v>381</v>
      </c>
      <c r="C64" s="200">
        <v>45455</v>
      </c>
      <c r="D64" s="199" t="s">
        <v>152</v>
      </c>
      <c r="E64" s="206">
        <v>7449</v>
      </c>
      <c r="F64" s="206">
        <v>745</v>
      </c>
      <c r="G64" s="206">
        <v>74</v>
      </c>
      <c r="H64" s="202">
        <f t="shared" si="0"/>
        <v>6778</v>
      </c>
      <c r="I64" s="205" t="s">
        <v>28</v>
      </c>
      <c r="J64" s="205" t="s">
        <v>29</v>
      </c>
      <c r="K64" s="201" t="s">
        <v>1042</v>
      </c>
      <c r="L64" s="205" t="s">
        <v>4551</v>
      </c>
      <c r="M64" s="201" t="s">
        <v>1030</v>
      </c>
      <c r="N64" s="205" t="s">
        <v>652</v>
      </c>
      <c r="O64" s="205" t="s">
        <v>652</v>
      </c>
      <c r="P64" s="208" t="s">
        <v>497</v>
      </c>
      <c r="Q64" s="208" t="s">
        <v>773</v>
      </c>
      <c r="R64" s="208" t="s">
        <v>4516</v>
      </c>
    </row>
    <row r="65" spans="1:18" s="205" customFormat="1" x14ac:dyDescent="0.2">
      <c r="A65" s="205" t="s">
        <v>64</v>
      </c>
      <c r="B65" s="205" t="s">
        <v>514</v>
      </c>
      <c r="C65" s="200">
        <v>45455</v>
      </c>
      <c r="D65" s="199" t="s">
        <v>152</v>
      </c>
      <c r="E65" s="206">
        <v>488884</v>
      </c>
      <c r="F65" s="206">
        <v>48888</v>
      </c>
      <c r="G65" s="206">
        <v>4889</v>
      </c>
      <c r="H65" s="202">
        <f t="shared" si="0"/>
        <v>444885</v>
      </c>
      <c r="I65" s="205" t="s">
        <v>31</v>
      </c>
      <c r="J65" s="205" t="s">
        <v>29</v>
      </c>
      <c r="K65" s="201" t="s">
        <v>1042</v>
      </c>
      <c r="L65" s="205" t="s">
        <v>4552</v>
      </c>
      <c r="M65" s="201" t="s">
        <v>1030</v>
      </c>
      <c r="N65" s="205" t="s">
        <v>652</v>
      </c>
      <c r="O65" s="205" t="s">
        <v>652</v>
      </c>
      <c r="P65" s="208" t="s">
        <v>653</v>
      </c>
      <c r="Q65" s="208" t="s">
        <v>654</v>
      </c>
      <c r="R65" s="208" t="s">
        <v>4516</v>
      </c>
    </row>
    <row r="66" spans="1:18" s="205" customFormat="1" x14ac:dyDescent="0.2">
      <c r="A66" s="205" t="s">
        <v>75</v>
      </c>
      <c r="B66" s="205" t="s">
        <v>589</v>
      </c>
      <c r="C66" s="200">
        <v>45455</v>
      </c>
      <c r="D66" s="199" t="s">
        <v>152</v>
      </c>
      <c r="E66" s="206">
        <v>58802</v>
      </c>
      <c r="F66" s="206">
        <v>0</v>
      </c>
      <c r="G66" s="206">
        <v>0</v>
      </c>
      <c r="H66" s="202">
        <f t="shared" ref="H66:H129" si="1">E66+G66-F66</f>
        <v>58802</v>
      </c>
      <c r="I66" s="205" t="s">
        <v>76</v>
      </c>
      <c r="J66" s="205" t="s">
        <v>29</v>
      </c>
      <c r="K66" s="201" t="s">
        <v>1042</v>
      </c>
      <c r="L66" s="205" t="s">
        <v>4553</v>
      </c>
      <c r="M66" s="201" t="s">
        <v>1030</v>
      </c>
      <c r="N66" s="205" t="s">
        <v>652</v>
      </c>
      <c r="O66" s="205" t="s">
        <v>652</v>
      </c>
      <c r="P66" s="208" t="s">
        <v>653</v>
      </c>
      <c r="Q66" s="208" t="s">
        <v>654</v>
      </c>
      <c r="R66" s="216" t="s">
        <v>4516</v>
      </c>
    </row>
    <row r="67" spans="1:18" s="205" customFormat="1" x14ac:dyDescent="0.2">
      <c r="A67" s="205" t="s">
        <v>4554</v>
      </c>
      <c r="B67" s="205" t="s">
        <v>120</v>
      </c>
      <c r="C67" s="200">
        <v>45455</v>
      </c>
      <c r="D67" s="199" t="s">
        <v>152</v>
      </c>
      <c r="E67" s="206">
        <v>67916</v>
      </c>
      <c r="F67" s="206">
        <v>6792</v>
      </c>
      <c r="G67" s="206">
        <v>679</v>
      </c>
      <c r="H67" s="202">
        <f t="shared" si="1"/>
        <v>61803</v>
      </c>
      <c r="I67" s="205" t="s">
        <v>31</v>
      </c>
      <c r="J67" s="205" t="s">
        <v>29</v>
      </c>
      <c r="K67" s="201" t="s">
        <v>1028</v>
      </c>
      <c r="L67" s="205" t="s">
        <v>4555</v>
      </c>
      <c r="M67" s="201" t="s">
        <v>1030</v>
      </c>
      <c r="N67" s="205" t="s">
        <v>652</v>
      </c>
      <c r="O67" s="205" t="s">
        <v>652</v>
      </c>
      <c r="P67" s="208" t="s">
        <v>1534</v>
      </c>
      <c r="Q67" s="208" t="s">
        <v>3748</v>
      </c>
      <c r="R67" s="208" t="s">
        <v>4516</v>
      </c>
    </row>
    <row r="68" spans="1:18" s="205" customFormat="1" x14ac:dyDescent="0.2">
      <c r="A68" s="205" t="s">
        <v>4556</v>
      </c>
      <c r="B68" s="205" t="s">
        <v>120</v>
      </c>
      <c r="C68" s="200">
        <v>45455</v>
      </c>
      <c r="D68" s="199" t="s">
        <v>152</v>
      </c>
      <c r="E68" s="206">
        <v>92541</v>
      </c>
      <c r="F68" s="206">
        <v>9254</v>
      </c>
      <c r="G68" s="206">
        <v>925</v>
      </c>
      <c r="H68" s="202">
        <f t="shared" si="1"/>
        <v>84212</v>
      </c>
      <c r="I68" s="205" t="s">
        <v>31</v>
      </c>
      <c r="J68" s="205" t="s">
        <v>29</v>
      </c>
      <c r="K68" s="201" t="s">
        <v>1028</v>
      </c>
      <c r="L68" s="205" t="s">
        <v>4557</v>
      </c>
      <c r="M68" s="201" t="s">
        <v>1030</v>
      </c>
      <c r="N68" s="205" t="s">
        <v>652</v>
      </c>
      <c r="O68" s="205" t="s">
        <v>652</v>
      </c>
      <c r="P68" s="208" t="s">
        <v>1534</v>
      </c>
      <c r="Q68" s="208" t="s">
        <v>3748</v>
      </c>
      <c r="R68" s="208" t="s">
        <v>4516</v>
      </c>
    </row>
    <row r="69" spans="1:18" s="205" customFormat="1" x14ac:dyDescent="0.2">
      <c r="A69" s="205" t="s">
        <v>4558</v>
      </c>
      <c r="B69" s="205" t="s">
        <v>120</v>
      </c>
      <c r="C69" s="200">
        <v>45455</v>
      </c>
      <c r="D69" s="199" t="s">
        <v>152</v>
      </c>
      <c r="E69" s="206">
        <v>125411</v>
      </c>
      <c r="F69" s="206">
        <v>12541</v>
      </c>
      <c r="G69" s="206">
        <v>1254</v>
      </c>
      <c r="H69" s="202">
        <f t="shared" si="1"/>
        <v>114124</v>
      </c>
      <c r="I69" s="205" t="s">
        <v>31</v>
      </c>
      <c r="J69" s="205" t="s">
        <v>29</v>
      </c>
      <c r="K69" s="201" t="s">
        <v>1028</v>
      </c>
      <c r="L69" s="205" t="s">
        <v>4559</v>
      </c>
      <c r="M69" s="201" t="s">
        <v>1030</v>
      </c>
      <c r="N69" s="205" t="s">
        <v>652</v>
      </c>
      <c r="O69" s="205" t="s">
        <v>652</v>
      </c>
      <c r="P69" s="208" t="s">
        <v>1534</v>
      </c>
      <c r="Q69" s="208" t="s">
        <v>3748</v>
      </c>
      <c r="R69" s="216" t="s">
        <v>4516</v>
      </c>
    </row>
    <row r="70" spans="1:18" s="205" customFormat="1" x14ac:dyDescent="0.2">
      <c r="A70" s="205" t="s">
        <v>4560</v>
      </c>
      <c r="B70" s="205" t="s">
        <v>120</v>
      </c>
      <c r="C70" s="200">
        <v>45455</v>
      </c>
      <c r="D70" s="199" t="s">
        <v>152</v>
      </c>
      <c r="E70" s="206">
        <v>30095</v>
      </c>
      <c r="F70" s="206">
        <v>3010</v>
      </c>
      <c r="G70" s="206">
        <v>301</v>
      </c>
      <c r="H70" s="202">
        <f t="shared" si="1"/>
        <v>27386</v>
      </c>
      <c r="I70" s="205" t="s">
        <v>31</v>
      </c>
      <c r="J70" s="205" t="s">
        <v>29</v>
      </c>
      <c r="K70" s="201" t="s">
        <v>1028</v>
      </c>
      <c r="L70" s="205" t="s">
        <v>4561</v>
      </c>
      <c r="M70" s="201" t="s">
        <v>1030</v>
      </c>
      <c r="N70" s="205" t="s">
        <v>652</v>
      </c>
      <c r="O70" s="205" t="s">
        <v>652</v>
      </c>
      <c r="P70" s="208" t="s">
        <v>1534</v>
      </c>
      <c r="Q70" s="208" t="s">
        <v>3748</v>
      </c>
      <c r="R70" s="208" t="s">
        <v>4516</v>
      </c>
    </row>
    <row r="71" spans="1:18" s="205" customFormat="1" x14ac:dyDescent="0.2">
      <c r="A71" s="205" t="s">
        <v>4562</v>
      </c>
      <c r="B71" s="205" t="s">
        <v>120</v>
      </c>
      <c r="C71" s="200">
        <v>45455</v>
      </c>
      <c r="D71" s="199" t="s">
        <v>152</v>
      </c>
      <c r="E71" s="206">
        <v>149404</v>
      </c>
      <c r="F71" s="206">
        <v>14940</v>
      </c>
      <c r="G71" s="206">
        <v>1494</v>
      </c>
      <c r="H71" s="202">
        <f t="shared" si="1"/>
        <v>135958</v>
      </c>
      <c r="I71" s="205" t="s">
        <v>31</v>
      </c>
      <c r="J71" s="205" t="s">
        <v>29</v>
      </c>
      <c r="K71" s="201" t="s">
        <v>1028</v>
      </c>
      <c r="L71" s="205" t="s">
        <v>4563</v>
      </c>
      <c r="M71" s="201" t="s">
        <v>1030</v>
      </c>
      <c r="N71" s="205" t="s">
        <v>652</v>
      </c>
      <c r="O71" s="205" t="s">
        <v>652</v>
      </c>
      <c r="P71" s="208" t="s">
        <v>1534</v>
      </c>
      <c r="Q71" s="208" t="s">
        <v>3748</v>
      </c>
      <c r="R71" s="208" t="s">
        <v>4516</v>
      </c>
    </row>
    <row r="72" spans="1:18" s="205" customFormat="1" x14ac:dyDescent="0.2">
      <c r="A72" s="205" t="s">
        <v>4564</v>
      </c>
      <c r="B72" s="205" t="s">
        <v>120</v>
      </c>
      <c r="C72" s="200">
        <v>45455</v>
      </c>
      <c r="D72" s="199" t="s">
        <v>152</v>
      </c>
      <c r="E72" s="206">
        <v>52243</v>
      </c>
      <c r="F72" s="206">
        <v>5224</v>
      </c>
      <c r="G72" s="206">
        <v>522</v>
      </c>
      <c r="H72" s="202">
        <f t="shared" si="1"/>
        <v>47541</v>
      </c>
      <c r="I72" s="205" t="s">
        <v>31</v>
      </c>
      <c r="J72" s="205" t="s">
        <v>29</v>
      </c>
      <c r="K72" s="201" t="s">
        <v>1028</v>
      </c>
      <c r="L72" s="205" t="s">
        <v>4565</v>
      </c>
      <c r="M72" s="201" t="s">
        <v>1030</v>
      </c>
      <c r="N72" s="205" t="s">
        <v>652</v>
      </c>
      <c r="O72" s="205" t="s">
        <v>652</v>
      </c>
      <c r="P72" s="208" t="s">
        <v>1534</v>
      </c>
      <c r="Q72" s="208" t="s">
        <v>3748</v>
      </c>
      <c r="R72" s="208" t="s">
        <v>4516</v>
      </c>
    </row>
    <row r="73" spans="1:18" s="205" customFormat="1" x14ac:dyDescent="0.2">
      <c r="A73" s="205" t="s">
        <v>4566</v>
      </c>
      <c r="B73" s="205" t="s">
        <v>120</v>
      </c>
      <c r="C73" s="200">
        <v>45455</v>
      </c>
      <c r="D73" s="199" t="s">
        <v>152</v>
      </c>
      <c r="E73" s="206">
        <v>20482</v>
      </c>
      <c r="F73" s="206">
        <v>2048</v>
      </c>
      <c r="G73" s="206">
        <v>205</v>
      </c>
      <c r="H73" s="202">
        <f t="shared" si="1"/>
        <v>18639</v>
      </c>
      <c r="I73" s="205" t="s">
        <v>31</v>
      </c>
      <c r="J73" s="205" t="s">
        <v>29</v>
      </c>
      <c r="K73" s="201" t="s">
        <v>1028</v>
      </c>
      <c r="L73" s="205" t="s">
        <v>4567</v>
      </c>
      <c r="M73" s="201" t="s">
        <v>1030</v>
      </c>
      <c r="N73" s="205" t="s">
        <v>652</v>
      </c>
      <c r="O73" s="205" t="s">
        <v>652</v>
      </c>
      <c r="P73" s="208" t="s">
        <v>1534</v>
      </c>
      <c r="Q73" s="208" t="s">
        <v>3748</v>
      </c>
      <c r="R73" s="208" t="s">
        <v>4516</v>
      </c>
    </row>
    <row r="74" spans="1:18" s="205" customFormat="1" x14ac:dyDescent="0.2">
      <c r="A74" s="205" t="s">
        <v>4568</v>
      </c>
      <c r="B74" s="205" t="s">
        <v>120</v>
      </c>
      <c r="C74" s="200">
        <v>45455</v>
      </c>
      <c r="D74" s="199" t="s">
        <v>152</v>
      </c>
      <c r="E74" s="206">
        <v>43177</v>
      </c>
      <c r="F74" s="206">
        <v>4318</v>
      </c>
      <c r="G74" s="206">
        <v>432</v>
      </c>
      <c r="H74" s="202">
        <f t="shared" si="1"/>
        <v>39291</v>
      </c>
      <c r="I74" s="205" t="s">
        <v>31</v>
      </c>
      <c r="J74" s="205" t="s">
        <v>29</v>
      </c>
      <c r="K74" s="201" t="s">
        <v>1028</v>
      </c>
      <c r="L74" s="205" t="s">
        <v>4569</v>
      </c>
      <c r="M74" s="201" t="s">
        <v>1030</v>
      </c>
      <c r="N74" s="205" t="s">
        <v>652</v>
      </c>
      <c r="O74" s="205" t="s">
        <v>652</v>
      </c>
      <c r="P74" s="208" t="s">
        <v>1534</v>
      </c>
      <c r="Q74" s="208" t="s">
        <v>3748</v>
      </c>
      <c r="R74" s="208" t="s">
        <v>4516</v>
      </c>
    </row>
    <row r="75" spans="1:18" s="205" customFormat="1" x14ac:dyDescent="0.2">
      <c r="A75" s="205" t="s">
        <v>4570</v>
      </c>
      <c r="B75" s="205" t="s">
        <v>120</v>
      </c>
      <c r="C75" s="200">
        <v>45455</v>
      </c>
      <c r="D75" s="199" t="s">
        <v>152</v>
      </c>
      <c r="E75" s="206">
        <v>90809</v>
      </c>
      <c r="F75" s="206">
        <v>9081</v>
      </c>
      <c r="G75" s="206">
        <v>908</v>
      </c>
      <c r="H75" s="202">
        <f t="shared" si="1"/>
        <v>82636</v>
      </c>
      <c r="I75" s="205" t="s">
        <v>31</v>
      </c>
      <c r="J75" s="205" t="s">
        <v>29</v>
      </c>
      <c r="K75" s="201" t="s">
        <v>1058</v>
      </c>
      <c r="L75" s="205" t="s">
        <v>4571</v>
      </c>
      <c r="M75" s="201" t="s">
        <v>1030</v>
      </c>
      <c r="N75" s="205" t="s">
        <v>652</v>
      </c>
      <c r="O75" s="205" t="s">
        <v>652</v>
      </c>
      <c r="P75" s="216" t="s">
        <v>1534</v>
      </c>
      <c r="Q75" s="216" t="s">
        <v>3748</v>
      </c>
      <c r="R75" s="216" t="s">
        <v>4516</v>
      </c>
    </row>
    <row r="76" spans="1:18" s="205" customFormat="1" x14ac:dyDescent="0.2">
      <c r="A76" s="205" t="s">
        <v>4572</v>
      </c>
      <c r="B76" s="205" t="s">
        <v>120</v>
      </c>
      <c r="C76" s="200">
        <v>45455</v>
      </c>
      <c r="D76" s="199" t="s">
        <v>152</v>
      </c>
      <c r="E76" s="206">
        <v>30095</v>
      </c>
      <c r="F76" s="206">
        <v>3010</v>
      </c>
      <c r="G76" s="206">
        <v>301</v>
      </c>
      <c r="H76" s="202">
        <f t="shared" si="1"/>
        <v>27386</v>
      </c>
      <c r="I76" s="205" t="s">
        <v>31</v>
      </c>
      <c r="J76" s="205" t="s">
        <v>29</v>
      </c>
      <c r="K76" s="201" t="s">
        <v>1058</v>
      </c>
      <c r="L76" s="205" t="s">
        <v>4573</v>
      </c>
      <c r="M76" s="201" t="s">
        <v>1030</v>
      </c>
      <c r="N76" s="205" t="s">
        <v>652</v>
      </c>
      <c r="O76" s="205" t="s">
        <v>652</v>
      </c>
      <c r="P76" s="216" t="s">
        <v>1534</v>
      </c>
      <c r="Q76" s="216" t="s">
        <v>3748</v>
      </c>
      <c r="R76" s="216" t="s">
        <v>4516</v>
      </c>
    </row>
    <row r="77" spans="1:18" s="205" customFormat="1" x14ac:dyDescent="0.2">
      <c r="A77" s="205" t="s">
        <v>4574</v>
      </c>
      <c r="B77" s="205" t="s">
        <v>120</v>
      </c>
      <c r="C77" s="200">
        <v>45455</v>
      </c>
      <c r="D77" s="199" t="s">
        <v>152</v>
      </c>
      <c r="E77" s="206">
        <v>52243</v>
      </c>
      <c r="F77" s="206">
        <v>5224</v>
      </c>
      <c r="G77" s="206">
        <v>522</v>
      </c>
      <c r="H77" s="202">
        <f t="shared" si="1"/>
        <v>47541</v>
      </c>
      <c r="I77" s="205" t="s">
        <v>31</v>
      </c>
      <c r="J77" s="205" t="s">
        <v>29</v>
      </c>
      <c r="K77" s="201" t="s">
        <v>1058</v>
      </c>
      <c r="L77" s="205" t="s">
        <v>4575</v>
      </c>
      <c r="M77" s="201" t="s">
        <v>1030</v>
      </c>
      <c r="N77" s="205" t="s">
        <v>652</v>
      </c>
      <c r="O77" s="205" t="s">
        <v>652</v>
      </c>
      <c r="P77" s="208" t="s">
        <v>1534</v>
      </c>
      <c r="Q77" s="208" t="s">
        <v>3748</v>
      </c>
      <c r="R77" s="208" t="s">
        <v>4516</v>
      </c>
    </row>
    <row r="78" spans="1:18" s="205" customFormat="1" x14ac:dyDescent="0.2">
      <c r="A78" s="205" t="s">
        <v>4576</v>
      </c>
      <c r="B78" s="205" t="s">
        <v>120</v>
      </c>
      <c r="C78" s="200">
        <v>45455</v>
      </c>
      <c r="D78" s="199" t="s">
        <v>152</v>
      </c>
      <c r="E78" s="206">
        <v>40628</v>
      </c>
      <c r="F78" s="206">
        <v>4063</v>
      </c>
      <c r="G78" s="206">
        <v>406</v>
      </c>
      <c r="H78" s="202">
        <f t="shared" si="1"/>
        <v>36971</v>
      </c>
      <c r="I78" s="205" t="s">
        <v>31</v>
      </c>
      <c r="J78" s="205" t="s">
        <v>29</v>
      </c>
      <c r="K78" s="201" t="s">
        <v>1058</v>
      </c>
      <c r="L78" s="205" t="s">
        <v>4577</v>
      </c>
      <c r="M78" s="201" t="s">
        <v>1030</v>
      </c>
      <c r="N78" s="205" t="s">
        <v>652</v>
      </c>
      <c r="O78" s="205" t="s">
        <v>652</v>
      </c>
      <c r="P78" s="208" t="s">
        <v>1534</v>
      </c>
      <c r="Q78" s="208" t="s">
        <v>3748</v>
      </c>
      <c r="R78" s="208" t="s">
        <v>4516</v>
      </c>
    </row>
    <row r="79" spans="1:18" s="205" customFormat="1" x14ac:dyDescent="0.2">
      <c r="A79" s="205" t="s">
        <v>4578</v>
      </c>
      <c r="B79" s="205" t="s">
        <v>120</v>
      </c>
      <c r="C79" s="200">
        <v>45455</v>
      </c>
      <c r="D79" s="199" t="s">
        <v>152</v>
      </c>
      <c r="E79" s="206">
        <v>43177</v>
      </c>
      <c r="F79" s="206">
        <v>4318</v>
      </c>
      <c r="G79" s="206">
        <v>432</v>
      </c>
      <c r="H79" s="202">
        <f t="shared" si="1"/>
        <v>39291</v>
      </c>
      <c r="I79" s="205" t="s">
        <v>31</v>
      </c>
      <c r="J79" s="205" t="s">
        <v>29</v>
      </c>
      <c r="K79" s="199" t="s">
        <v>1058</v>
      </c>
      <c r="L79" s="205" t="s">
        <v>4579</v>
      </c>
      <c r="M79" s="201" t="s">
        <v>1030</v>
      </c>
      <c r="N79" s="205" t="s">
        <v>652</v>
      </c>
      <c r="O79" s="205" t="s">
        <v>652</v>
      </c>
      <c r="P79" s="208" t="s">
        <v>1534</v>
      </c>
      <c r="Q79" s="208" t="s">
        <v>3748</v>
      </c>
      <c r="R79" s="208" t="s">
        <v>4516</v>
      </c>
    </row>
    <row r="80" spans="1:18" s="205" customFormat="1" x14ac:dyDescent="0.2">
      <c r="A80" s="205" t="s">
        <v>4580</v>
      </c>
      <c r="B80" s="205" t="s">
        <v>120</v>
      </c>
      <c r="C80" s="200">
        <v>45455</v>
      </c>
      <c r="D80" s="199" t="s">
        <v>152</v>
      </c>
      <c r="E80" s="206">
        <v>69853</v>
      </c>
      <c r="F80" s="206">
        <v>6985</v>
      </c>
      <c r="G80" s="206">
        <v>699</v>
      </c>
      <c r="H80" s="202">
        <f t="shared" si="1"/>
        <v>63567</v>
      </c>
      <c r="I80" s="205" t="s">
        <v>31</v>
      </c>
      <c r="J80" s="205" t="s">
        <v>29</v>
      </c>
      <c r="K80" s="199" t="s">
        <v>1058</v>
      </c>
      <c r="L80" s="205" t="s">
        <v>4581</v>
      </c>
      <c r="M80" s="201" t="s">
        <v>1030</v>
      </c>
      <c r="N80" s="205" t="s">
        <v>652</v>
      </c>
      <c r="O80" s="205" t="s">
        <v>652</v>
      </c>
      <c r="P80" s="214" t="s">
        <v>1534</v>
      </c>
      <c r="Q80" s="214" t="s">
        <v>3748</v>
      </c>
      <c r="R80" s="214" t="s">
        <v>4516</v>
      </c>
    </row>
    <row r="81" spans="1:18" s="205" customFormat="1" x14ac:dyDescent="0.2">
      <c r="A81" s="205" t="s">
        <v>4582</v>
      </c>
      <c r="B81" s="205" t="s">
        <v>126</v>
      </c>
      <c r="C81" s="200">
        <v>45455</v>
      </c>
      <c r="D81" s="199" t="s">
        <v>152</v>
      </c>
      <c r="E81" s="206">
        <v>83824</v>
      </c>
      <c r="F81" s="206">
        <v>8382</v>
      </c>
      <c r="G81" s="206">
        <v>838</v>
      </c>
      <c r="H81" s="202">
        <f t="shared" si="1"/>
        <v>76280</v>
      </c>
      <c r="I81" s="205" t="s">
        <v>31</v>
      </c>
      <c r="J81" s="205" t="s">
        <v>29</v>
      </c>
      <c r="K81" s="199" t="s">
        <v>1028</v>
      </c>
      <c r="L81" s="205" t="s">
        <v>4583</v>
      </c>
      <c r="M81" s="201" t="s">
        <v>1030</v>
      </c>
      <c r="N81" s="205" t="s">
        <v>652</v>
      </c>
      <c r="O81" s="205" t="s">
        <v>652</v>
      </c>
      <c r="P81" s="214" t="s">
        <v>1534</v>
      </c>
      <c r="Q81" s="214" t="s">
        <v>3748</v>
      </c>
      <c r="R81" s="214" t="s">
        <v>4516</v>
      </c>
    </row>
    <row r="82" spans="1:18" s="205" customFormat="1" x14ac:dyDescent="0.2">
      <c r="A82" s="209" t="s">
        <v>2293</v>
      </c>
      <c r="B82" s="209" t="s">
        <v>4584</v>
      </c>
      <c r="C82" s="210">
        <v>45455</v>
      </c>
      <c r="D82" s="199" t="s">
        <v>152</v>
      </c>
      <c r="E82" s="211">
        <v>350970</v>
      </c>
      <c r="F82" s="211">
        <v>35097</v>
      </c>
      <c r="G82" s="211">
        <v>3510</v>
      </c>
      <c r="H82" s="202">
        <f t="shared" si="1"/>
        <v>319383</v>
      </c>
      <c r="I82" s="209" t="s">
        <v>31</v>
      </c>
      <c r="J82" s="209" t="s">
        <v>29</v>
      </c>
      <c r="K82" s="201" t="s">
        <v>1028</v>
      </c>
      <c r="L82" s="209" t="s">
        <v>4585</v>
      </c>
      <c r="M82" s="201" t="s">
        <v>1030</v>
      </c>
      <c r="N82" s="209" t="s">
        <v>652</v>
      </c>
      <c r="O82" s="209" t="s">
        <v>652</v>
      </c>
      <c r="P82" s="213" t="s">
        <v>1534</v>
      </c>
      <c r="Q82" s="213" t="s">
        <v>3748</v>
      </c>
      <c r="R82" s="213" t="s">
        <v>4516</v>
      </c>
    </row>
    <row r="83" spans="1:18" s="205" customFormat="1" x14ac:dyDescent="0.2">
      <c r="A83" s="205" t="s">
        <v>4517</v>
      </c>
      <c r="B83" s="205" t="s">
        <v>4586</v>
      </c>
      <c r="C83" s="200">
        <v>45455</v>
      </c>
      <c r="D83" s="199" t="s">
        <v>152</v>
      </c>
      <c r="E83" s="206">
        <v>206337</v>
      </c>
      <c r="F83" s="206">
        <v>20634</v>
      </c>
      <c r="G83" s="206">
        <v>2063</v>
      </c>
      <c r="H83" s="202">
        <f t="shared" si="1"/>
        <v>187766</v>
      </c>
      <c r="I83" s="205" t="s">
        <v>46</v>
      </c>
      <c r="J83" s="205" t="s">
        <v>29</v>
      </c>
      <c r="K83" s="201" t="s">
        <v>1028</v>
      </c>
      <c r="L83" s="205" t="s">
        <v>4587</v>
      </c>
      <c r="M83" s="201" t="s">
        <v>1030</v>
      </c>
      <c r="N83" s="205" t="s">
        <v>1060</v>
      </c>
      <c r="O83" s="205" t="s">
        <v>1061</v>
      </c>
      <c r="P83" s="208" t="s">
        <v>786</v>
      </c>
      <c r="Q83" s="208" t="s">
        <v>962</v>
      </c>
      <c r="R83" s="208" t="s">
        <v>4516</v>
      </c>
    </row>
    <row r="84" spans="1:18" s="205" customFormat="1" x14ac:dyDescent="0.2">
      <c r="A84" s="205" t="s">
        <v>178</v>
      </c>
      <c r="B84" s="205" t="s">
        <v>526</v>
      </c>
      <c r="C84" s="200">
        <v>45455</v>
      </c>
      <c r="D84" s="199" t="s">
        <v>152</v>
      </c>
      <c r="E84" s="206">
        <v>102311</v>
      </c>
      <c r="F84" s="206">
        <v>10231</v>
      </c>
      <c r="G84" s="206">
        <v>1023</v>
      </c>
      <c r="H84" s="202">
        <f t="shared" si="1"/>
        <v>93103</v>
      </c>
      <c r="I84" s="205" t="s">
        <v>179</v>
      </c>
      <c r="J84" s="205" t="s">
        <v>29</v>
      </c>
      <c r="K84" s="201" t="s">
        <v>1042</v>
      </c>
      <c r="L84" s="205" t="s">
        <v>4588</v>
      </c>
      <c r="M84" s="201" t="s">
        <v>1030</v>
      </c>
      <c r="N84" s="205" t="s">
        <v>652</v>
      </c>
      <c r="O84" s="205" t="s">
        <v>652</v>
      </c>
      <c r="P84" s="216" t="s">
        <v>718</v>
      </c>
      <c r="Q84" s="216" t="s">
        <v>719</v>
      </c>
      <c r="R84" s="216" t="s">
        <v>4516</v>
      </c>
    </row>
    <row r="85" spans="1:18" s="205" customFormat="1" x14ac:dyDescent="0.2">
      <c r="A85" s="205" t="s">
        <v>429</v>
      </c>
      <c r="B85" s="205" t="s">
        <v>577</v>
      </c>
      <c r="C85" s="200">
        <v>45455</v>
      </c>
      <c r="D85" s="199" t="s">
        <v>152</v>
      </c>
      <c r="E85" s="206">
        <v>12484</v>
      </c>
      <c r="F85" s="206">
        <v>1248</v>
      </c>
      <c r="G85" s="206">
        <v>125</v>
      </c>
      <c r="H85" s="202">
        <f t="shared" si="1"/>
        <v>11361</v>
      </c>
      <c r="I85" s="205" t="s">
        <v>31</v>
      </c>
      <c r="J85" s="205" t="s">
        <v>29</v>
      </c>
      <c r="K85" s="201" t="s">
        <v>1042</v>
      </c>
      <c r="L85" s="205" t="s">
        <v>4589</v>
      </c>
      <c r="M85" s="201" t="s">
        <v>1030</v>
      </c>
      <c r="N85" s="205" t="s">
        <v>652</v>
      </c>
      <c r="O85" s="205" t="s">
        <v>652</v>
      </c>
      <c r="P85" s="208" t="s">
        <v>653</v>
      </c>
      <c r="Q85" s="208" t="s">
        <v>654</v>
      </c>
      <c r="R85" s="208" t="s">
        <v>4516</v>
      </c>
    </row>
    <row r="86" spans="1:18" s="205" customFormat="1" x14ac:dyDescent="0.2">
      <c r="A86" s="205" t="s">
        <v>4590</v>
      </c>
      <c r="B86" s="205" t="s">
        <v>4591</v>
      </c>
      <c r="C86" s="200">
        <v>45455</v>
      </c>
      <c r="D86" s="199" t="s">
        <v>152</v>
      </c>
      <c r="E86" s="206">
        <v>788458</v>
      </c>
      <c r="F86" s="206">
        <v>78846</v>
      </c>
      <c r="G86" s="206">
        <v>7885</v>
      </c>
      <c r="H86" s="202">
        <f t="shared" si="1"/>
        <v>717497</v>
      </c>
      <c r="I86" s="205" t="s">
        <v>46</v>
      </c>
      <c r="J86" s="205" t="s">
        <v>29</v>
      </c>
      <c r="K86" s="201" t="s">
        <v>1028</v>
      </c>
      <c r="L86" s="205" t="s">
        <v>4592</v>
      </c>
      <c r="M86" s="201" t="s">
        <v>1030</v>
      </c>
      <c r="N86" s="205" t="s">
        <v>652</v>
      </c>
      <c r="O86" s="205" t="s">
        <v>652</v>
      </c>
      <c r="P86" s="208" t="s">
        <v>843</v>
      </c>
      <c r="Q86" s="208" t="s">
        <v>4593</v>
      </c>
      <c r="R86" s="208" t="s">
        <v>4516</v>
      </c>
    </row>
    <row r="87" spans="1:18" s="205" customFormat="1" x14ac:dyDescent="0.2">
      <c r="A87" s="205" t="s">
        <v>167</v>
      </c>
      <c r="B87" s="205" t="s">
        <v>918</v>
      </c>
      <c r="C87" s="200">
        <v>45455</v>
      </c>
      <c r="D87" s="199" t="s">
        <v>152</v>
      </c>
      <c r="E87" s="206">
        <v>14293</v>
      </c>
      <c r="F87" s="206">
        <v>1429</v>
      </c>
      <c r="G87" s="206">
        <v>143</v>
      </c>
      <c r="H87" s="202">
        <f t="shared" si="1"/>
        <v>13007</v>
      </c>
      <c r="I87" s="205" t="s">
        <v>168</v>
      </c>
      <c r="J87" s="205" t="s">
        <v>29</v>
      </c>
      <c r="K87" s="199" t="s">
        <v>1042</v>
      </c>
      <c r="L87" s="205" t="s">
        <v>4594</v>
      </c>
      <c r="M87" s="201" t="s">
        <v>1030</v>
      </c>
      <c r="N87" s="205" t="s">
        <v>652</v>
      </c>
      <c r="O87" s="205" t="s">
        <v>652</v>
      </c>
      <c r="P87" s="208" t="s">
        <v>663</v>
      </c>
      <c r="Q87" s="208" t="s">
        <v>723</v>
      </c>
      <c r="R87" s="208" t="s">
        <v>4516</v>
      </c>
    </row>
    <row r="88" spans="1:18" s="205" customFormat="1" x14ac:dyDescent="0.2">
      <c r="A88" s="209" t="s">
        <v>27</v>
      </c>
      <c r="B88" s="209" t="s">
        <v>531</v>
      </c>
      <c r="C88" s="210">
        <v>45455</v>
      </c>
      <c r="D88" s="199" t="s">
        <v>152</v>
      </c>
      <c r="E88" s="211">
        <v>6743</v>
      </c>
      <c r="F88" s="206">
        <v>674</v>
      </c>
      <c r="G88" s="206">
        <v>67</v>
      </c>
      <c r="H88" s="202">
        <f t="shared" si="1"/>
        <v>6136</v>
      </c>
      <c r="I88" s="209" t="s">
        <v>28</v>
      </c>
      <c r="J88" s="209" t="s">
        <v>29</v>
      </c>
      <c r="K88" s="201" t="s">
        <v>1042</v>
      </c>
      <c r="L88" s="209" t="s">
        <v>4595</v>
      </c>
      <c r="M88" s="201" t="s">
        <v>1030</v>
      </c>
      <c r="N88" s="209" t="s">
        <v>652</v>
      </c>
      <c r="O88" s="209" t="s">
        <v>652</v>
      </c>
      <c r="P88" s="213" t="s">
        <v>764</v>
      </c>
      <c r="Q88" s="213" t="s">
        <v>765</v>
      </c>
      <c r="R88" s="213" t="s">
        <v>4516</v>
      </c>
    </row>
    <row r="89" spans="1:18" s="205" customFormat="1" x14ac:dyDescent="0.2">
      <c r="A89" s="205" t="s">
        <v>4596</v>
      </c>
      <c r="B89" s="205" t="s">
        <v>4597</v>
      </c>
      <c r="C89" s="200">
        <v>45455</v>
      </c>
      <c r="D89" s="199" t="s">
        <v>152</v>
      </c>
      <c r="E89" s="206">
        <v>14635</v>
      </c>
      <c r="F89" s="206">
        <v>1464</v>
      </c>
      <c r="G89" s="206">
        <v>146</v>
      </c>
      <c r="H89" s="202">
        <f t="shared" si="1"/>
        <v>13317</v>
      </c>
      <c r="I89" s="205" t="s">
        <v>41</v>
      </c>
      <c r="J89" s="205" t="s">
        <v>29</v>
      </c>
      <c r="K89" s="201" t="s">
        <v>1042</v>
      </c>
      <c r="L89" s="205" t="s">
        <v>4598</v>
      </c>
      <c r="M89" s="201" t="s">
        <v>1030</v>
      </c>
      <c r="N89" s="205" t="s">
        <v>652</v>
      </c>
      <c r="O89" s="205" t="s">
        <v>652</v>
      </c>
      <c r="P89" s="208" t="s">
        <v>900</v>
      </c>
      <c r="Q89" s="208" t="s">
        <v>901</v>
      </c>
      <c r="R89" s="208" t="s">
        <v>4516</v>
      </c>
    </row>
    <row r="90" spans="1:18" s="205" customFormat="1" x14ac:dyDescent="0.2">
      <c r="A90" s="205" t="s">
        <v>446</v>
      </c>
      <c r="B90" s="205" t="s">
        <v>746</v>
      </c>
      <c r="C90" s="200">
        <v>45455</v>
      </c>
      <c r="D90" s="199" t="s">
        <v>152</v>
      </c>
      <c r="E90" s="206">
        <v>187984</v>
      </c>
      <c r="F90" s="206">
        <v>18798</v>
      </c>
      <c r="G90" s="206">
        <v>1880</v>
      </c>
      <c r="H90" s="202">
        <f t="shared" si="1"/>
        <v>171066</v>
      </c>
      <c r="I90" s="205" t="s">
        <v>31</v>
      </c>
      <c r="J90" s="205" t="s">
        <v>29</v>
      </c>
      <c r="K90" s="201" t="s">
        <v>1042</v>
      </c>
      <c r="L90" s="205" t="s">
        <v>4599</v>
      </c>
      <c r="M90" s="201" t="s">
        <v>1030</v>
      </c>
      <c r="N90" s="205" t="s">
        <v>652</v>
      </c>
      <c r="O90" s="205" t="s">
        <v>652</v>
      </c>
      <c r="P90" s="208" t="s">
        <v>747</v>
      </c>
      <c r="Q90" s="208" t="s">
        <v>748</v>
      </c>
      <c r="R90" s="208" t="s">
        <v>4516</v>
      </c>
    </row>
    <row r="91" spans="1:18" s="205" customFormat="1" x14ac:dyDescent="0.2">
      <c r="A91" s="205" t="s">
        <v>482</v>
      </c>
      <c r="B91" s="205" t="s">
        <v>897</v>
      </c>
      <c r="C91" s="200">
        <v>45455</v>
      </c>
      <c r="D91" s="199" t="s">
        <v>152</v>
      </c>
      <c r="E91" s="206">
        <v>40432</v>
      </c>
      <c r="F91" s="206">
        <v>4043</v>
      </c>
      <c r="G91" s="206">
        <v>404</v>
      </c>
      <c r="H91" s="202">
        <f t="shared" si="1"/>
        <v>36793</v>
      </c>
      <c r="I91" s="205" t="s">
        <v>114</v>
      </c>
      <c r="J91" s="205" t="s">
        <v>29</v>
      </c>
      <c r="K91" s="201" t="s">
        <v>1042</v>
      </c>
      <c r="L91" s="205" t="s">
        <v>4600</v>
      </c>
      <c r="M91" s="201" t="s">
        <v>1030</v>
      </c>
      <c r="N91" s="205" t="s">
        <v>652</v>
      </c>
      <c r="O91" s="205" t="s">
        <v>652</v>
      </c>
      <c r="P91" s="208" t="s">
        <v>898</v>
      </c>
      <c r="Q91" s="208" t="s">
        <v>899</v>
      </c>
      <c r="R91" s="208" t="s">
        <v>4516</v>
      </c>
    </row>
    <row r="92" spans="1:18" s="205" customFormat="1" x14ac:dyDescent="0.2">
      <c r="A92" s="205" t="s">
        <v>110</v>
      </c>
      <c r="B92" s="205" t="s">
        <v>616</v>
      </c>
      <c r="C92" s="200">
        <v>45455</v>
      </c>
      <c r="D92" s="199" t="s">
        <v>152</v>
      </c>
      <c r="E92" s="206">
        <v>78459</v>
      </c>
      <c r="F92" s="206">
        <v>7846</v>
      </c>
      <c r="G92" s="206">
        <v>785</v>
      </c>
      <c r="H92" s="202">
        <f t="shared" si="1"/>
        <v>71398</v>
      </c>
      <c r="I92" s="205" t="s">
        <v>32</v>
      </c>
      <c r="J92" s="205" t="s">
        <v>29</v>
      </c>
      <c r="K92" s="201" t="s">
        <v>1042</v>
      </c>
      <c r="L92" s="205" t="s">
        <v>4601</v>
      </c>
      <c r="M92" s="201" t="s">
        <v>1030</v>
      </c>
      <c r="N92" s="205" t="s">
        <v>652</v>
      </c>
      <c r="O92" s="205" t="s">
        <v>652</v>
      </c>
      <c r="P92" s="208" t="s">
        <v>653</v>
      </c>
      <c r="Q92" s="208" t="s">
        <v>654</v>
      </c>
      <c r="R92" s="208" t="s">
        <v>4516</v>
      </c>
    </row>
    <row r="93" spans="1:18" s="205" customFormat="1" x14ac:dyDescent="0.2">
      <c r="A93" s="205" t="s">
        <v>558</v>
      </c>
      <c r="B93" s="205" t="s">
        <v>559</v>
      </c>
      <c r="C93" s="200">
        <v>45455</v>
      </c>
      <c r="D93" s="199" t="s">
        <v>152</v>
      </c>
      <c r="E93" s="206">
        <v>85235</v>
      </c>
      <c r="F93" s="206">
        <v>8524</v>
      </c>
      <c r="G93" s="206">
        <v>852</v>
      </c>
      <c r="H93" s="202">
        <f t="shared" si="1"/>
        <v>77563</v>
      </c>
      <c r="I93" s="205" t="s">
        <v>31</v>
      </c>
      <c r="J93" s="205" t="s">
        <v>29</v>
      </c>
      <c r="K93" s="201" t="s">
        <v>1042</v>
      </c>
      <c r="L93" s="205" t="s">
        <v>4602</v>
      </c>
      <c r="M93" s="201" t="s">
        <v>1030</v>
      </c>
      <c r="N93" s="205" t="s">
        <v>1046</v>
      </c>
      <c r="O93" s="205" t="s">
        <v>1047</v>
      </c>
      <c r="P93" s="208" t="s">
        <v>653</v>
      </c>
      <c r="Q93" s="208" t="s">
        <v>654</v>
      </c>
      <c r="R93" s="208" t="s">
        <v>4516</v>
      </c>
    </row>
    <row r="94" spans="1:18" s="205" customFormat="1" x14ac:dyDescent="0.2">
      <c r="A94" s="205" t="s">
        <v>4603</v>
      </c>
      <c r="B94" s="205" t="s">
        <v>4604</v>
      </c>
      <c r="C94" s="200">
        <v>45456</v>
      </c>
      <c r="D94" s="199" t="s">
        <v>152</v>
      </c>
      <c r="E94" s="206">
        <v>90769</v>
      </c>
      <c r="F94" s="206">
        <v>9077</v>
      </c>
      <c r="G94" s="206">
        <v>908</v>
      </c>
      <c r="H94" s="202">
        <f t="shared" si="1"/>
        <v>82600</v>
      </c>
      <c r="I94" s="205" t="s">
        <v>95</v>
      </c>
      <c r="J94" s="205" t="s">
        <v>29</v>
      </c>
      <c r="K94" s="201" t="s">
        <v>1028</v>
      </c>
      <c r="L94" s="205" t="s">
        <v>4605</v>
      </c>
      <c r="M94" s="201" t="s">
        <v>1030</v>
      </c>
      <c r="N94" s="205" t="s">
        <v>652</v>
      </c>
      <c r="O94" s="205" t="s">
        <v>652</v>
      </c>
      <c r="P94" s="208" t="s">
        <v>1534</v>
      </c>
      <c r="Q94" s="208" t="s">
        <v>3748</v>
      </c>
      <c r="R94" s="208" t="s">
        <v>761</v>
      </c>
    </row>
    <row r="95" spans="1:18" s="205" customFormat="1" x14ac:dyDescent="0.2">
      <c r="A95" s="205" t="s">
        <v>4606</v>
      </c>
      <c r="B95" s="205" t="s">
        <v>4607</v>
      </c>
      <c r="C95" s="200">
        <v>45456</v>
      </c>
      <c r="D95" s="199" t="s">
        <v>152</v>
      </c>
      <c r="E95" s="206">
        <v>51703</v>
      </c>
      <c r="F95" s="206">
        <v>5170</v>
      </c>
      <c r="G95" s="206">
        <v>517</v>
      </c>
      <c r="H95" s="202">
        <f t="shared" si="1"/>
        <v>47050</v>
      </c>
      <c r="I95" s="205" t="s">
        <v>95</v>
      </c>
      <c r="J95" s="205" t="s">
        <v>29</v>
      </c>
      <c r="K95" s="199" t="s">
        <v>1058</v>
      </c>
      <c r="L95" s="205" t="s">
        <v>4608</v>
      </c>
      <c r="M95" s="201" t="s">
        <v>1030</v>
      </c>
      <c r="N95" s="205" t="s">
        <v>652</v>
      </c>
      <c r="O95" s="205" t="s">
        <v>652</v>
      </c>
      <c r="P95" s="208" t="s">
        <v>1534</v>
      </c>
      <c r="Q95" s="208" t="s">
        <v>3748</v>
      </c>
      <c r="R95" s="208" t="s">
        <v>761</v>
      </c>
    </row>
    <row r="96" spans="1:18" s="205" customFormat="1" x14ac:dyDescent="0.2">
      <c r="A96" s="205" t="s">
        <v>4609</v>
      </c>
      <c r="B96" s="205" t="s">
        <v>4610</v>
      </c>
      <c r="C96" s="200">
        <v>45456</v>
      </c>
      <c r="D96" s="199" t="s">
        <v>152</v>
      </c>
      <c r="E96" s="206">
        <v>47456</v>
      </c>
      <c r="F96" s="206">
        <v>4746</v>
      </c>
      <c r="G96" s="206">
        <v>475</v>
      </c>
      <c r="H96" s="202">
        <f t="shared" si="1"/>
        <v>43185</v>
      </c>
      <c r="I96" s="205" t="s">
        <v>279</v>
      </c>
      <c r="J96" s="205" t="s">
        <v>29</v>
      </c>
      <c r="K96" s="199" t="s">
        <v>1028</v>
      </c>
      <c r="L96" s="205" t="s">
        <v>4611</v>
      </c>
      <c r="M96" s="201" t="s">
        <v>1030</v>
      </c>
      <c r="N96" s="205" t="s">
        <v>652</v>
      </c>
      <c r="O96" s="205" t="s">
        <v>652</v>
      </c>
      <c r="P96" s="208" t="s">
        <v>4516</v>
      </c>
      <c r="Q96" s="208" t="s">
        <v>4612</v>
      </c>
      <c r="R96" s="208" t="s">
        <v>4516</v>
      </c>
    </row>
    <row r="97" spans="1:18" s="205" customFormat="1" x14ac:dyDescent="0.2">
      <c r="A97" s="205" t="s">
        <v>4613</v>
      </c>
      <c r="B97" s="205" t="s">
        <v>4614</v>
      </c>
      <c r="C97" s="200">
        <v>45456</v>
      </c>
      <c r="D97" s="199" t="s">
        <v>152</v>
      </c>
      <c r="E97" s="206">
        <v>30055</v>
      </c>
      <c r="F97" s="206">
        <v>3006</v>
      </c>
      <c r="G97" s="206">
        <v>301</v>
      </c>
      <c r="H97" s="202">
        <f t="shared" si="1"/>
        <v>27350</v>
      </c>
      <c r="I97" s="205" t="s">
        <v>279</v>
      </c>
      <c r="J97" s="205" t="s">
        <v>29</v>
      </c>
      <c r="K97" s="199" t="s">
        <v>1028</v>
      </c>
      <c r="L97" s="205" t="s">
        <v>4615</v>
      </c>
      <c r="M97" s="201" t="s">
        <v>1030</v>
      </c>
      <c r="N97" s="205" t="s">
        <v>652</v>
      </c>
      <c r="O97" s="205" t="s">
        <v>652</v>
      </c>
      <c r="P97" s="208" t="s">
        <v>4516</v>
      </c>
      <c r="Q97" s="208" t="s">
        <v>4612</v>
      </c>
      <c r="R97" s="208" t="s">
        <v>4516</v>
      </c>
    </row>
    <row r="98" spans="1:18" s="205" customFormat="1" x14ac:dyDescent="0.2">
      <c r="A98" s="205" t="s">
        <v>4616</v>
      </c>
      <c r="B98" s="205" t="s">
        <v>4617</v>
      </c>
      <c r="C98" s="200">
        <v>45456</v>
      </c>
      <c r="D98" s="199" t="s">
        <v>152</v>
      </c>
      <c r="E98" s="206">
        <v>48882</v>
      </c>
      <c r="F98" s="206">
        <v>4888</v>
      </c>
      <c r="G98" s="206">
        <v>489</v>
      </c>
      <c r="H98" s="202">
        <f t="shared" si="1"/>
        <v>44483</v>
      </c>
      <c r="I98" s="205" t="s">
        <v>49</v>
      </c>
      <c r="J98" s="205" t="s">
        <v>29</v>
      </c>
      <c r="K98" s="199" t="s">
        <v>1028</v>
      </c>
      <c r="L98" s="205" t="s">
        <v>4618</v>
      </c>
      <c r="M98" s="201" t="s">
        <v>1030</v>
      </c>
      <c r="N98" s="205" t="s">
        <v>652</v>
      </c>
      <c r="O98" s="205" t="s">
        <v>652</v>
      </c>
      <c r="P98" s="208" t="s">
        <v>987</v>
      </c>
      <c r="Q98" s="208" t="s">
        <v>988</v>
      </c>
      <c r="R98" s="208" t="s">
        <v>4516</v>
      </c>
    </row>
    <row r="99" spans="1:18" s="205" customFormat="1" x14ac:dyDescent="0.2">
      <c r="A99" s="205" t="s">
        <v>4619</v>
      </c>
      <c r="B99" s="205" t="s">
        <v>4620</v>
      </c>
      <c r="C99" s="200">
        <v>45456</v>
      </c>
      <c r="D99" s="199" t="s">
        <v>152</v>
      </c>
      <c r="E99" s="206">
        <v>30055</v>
      </c>
      <c r="F99" s="206">
        <v>3006</v>
      </c>
      <c r="G99" s="206">
        <v>301</v>
      </c>
      <c r="H99" s="202">
        <f t="shared" si="1"/>
        <v>27350</v>
      </c>
      <c r="I99" s="205" t="s">
        <v>279</v>
      </c>
      <c r="J99" s="205" t="s">
        <v>29</v>
      </c>
      <c r="K99" s="199" t="s">
        <v>1028</v>
      </c>
      <c r="L99" s="205" t="s">
        <v>4621</v>
      </c>
      <c r="M99" s="201" t="s">
        <v>1030</v>
      </c>
      <c r="N99" s="205" t="s">
        <v>652</v>
      </c>
      <c r="O99" s="205" t="s">
        <v>652</v>
      </c>
      <c r="P99" s="208" t="s">
        <v>4516</v>
      </c>
      <c r="Q99" s="208" t="s">
        <v>4612</v>
      </c>
      <c r="R99" s="208" t="s">
        <v>4516</v>
      </c>
    </row>
    <row r="100" spans="1:18" s="205" customFormat="1" x14ac:dyDescent="0.2">
      <c r="A100" s="205" t="s">
        <v>278</v>
      </c>
      <c r="B100" s="205" t="s">
        <v>4622</v>
      </c>
      <c r="C100" s="200">
        <v>45456</v>
      </c>
      <c r="D100" s="199" t="s">
        <v>152</v>
      </c>
      <c r="E100" s="206">
        <v>1607654</v>
      </c>
      <c r="F100" s="206">
        <v>160766</v>
      </c>
      <c r="G100" s="206">
        <v>16077</v>
      </c>
      <c r="H100" s="202">
        <f t="shared" si="1"/>
        <v>1462965</v>
      </c>
      <c r="I100" s="205" t="s">
        <v>109</v>
      </c>
      <c r="J100" s="205" t="s">
        <v>29</v>
      </c>
      <c r="K100" s="199" t="s">
        <v>1028</v>
      </c>
      <c r="L100" s="205" t="s">
        <v>4623</v>
      </c>
      <c r="M100" s="201" t="s">
        <v>1030</v>
      </c>
      <c r="N100" s="205" t="s">
        <v>1190</v>
      </c>
      <c r="O100" s="205" t="s">
        <v>1191</v>
      </c>
      <c r="P100" s="214" t="s">
        <v>4516</v>
      </c>
      <c r="Q100" s="214" t="s">
        <v>4612</v>
      </c>
      <c r="R100" s="214" t="s">
        <v>4516</v>
      </c>
    </row>
    <row r="101" spans="1:18" s="205" customFormat="1" x14ac:dyDescent="0.2">
      <c r="A101" s="205" t="s">
        <v>4624</v>
      </c>
      <c r="B101" s="205" t="s">
        <v>4625</v>
      </c>
      <c r="C101" s="200">
        <v>45456</v>
      </c>
      <c r="D101" s="199" t="s">
        <v>152</v>
      </c>
      <c r="E101" s="206">
        <v>38332</v>
      </c>
      <c r="F101" s="206">
        <v>3833</v>
      </c>
      <c r="G101" s="206">
        <v>383</v>
      </c>
      <c r="H101" s="202">
        <f t="shared" si="1"/>
        <v>34882</v>
      </c>
      <c r="I101" s="205" t="s">
        <v>186</v>
      </c>
      <c r="J101" s="205" t="s">
        <v>29</v>
      </c>
      <c r="K101" s="199" t="s">
        <v>1028</v>
      </c>
      <c r="L101" s="205" t="s">
        <v>4626</v>
      </c>
      <c r="M101" s="201" t="s">
        <v>1030</v>
      </c>
      <c r="N101" s="205" t="s">
        <v>652</v>
      </c>
      <c r="O101" s="205" t="s">
        <v>652</v>
      </c>
      <c r="P101" s="214" t="s">
        <v>877</v>
      </c>
      <c r="Q101" s="214" t="s">
        <v>957</v>
      </c>
      <c r="R101" s="214" t="s">
        <v>4516</v>
      </c>
    </row>
    <row r="102" spans="1:18" s="205" customFormat="1" x14ac:dyDescent="0.2">
      <c r="A102" s="209" t="s">
        <v>4627</v>
      </c>
      <c r="B102" s="209" t="s">
        <v>4628</v>
      </c>
      <c r="C102" s="210">
        <v>45456</v>
      </c>
      <c r="D102" s="199" t="s">
        <v>152</v>
      </c>
      <c r="E102" s="211">
        <v>101827</v>
      </c>
      <c r="F102" s="211">
        <v>10183</v>
      </c>
      <c r="G102" s="211">
        <v>1018</v>
      </c>
      <c r="H102" s="202">
        <f t="shared" si="1"/>
        <v>92662</v>
      </c>
      <c r="I102" s="209" t="s">
        <v>186</v>
      </c>
      <c r="J102" s="209" t="s">
        <v>29</v>
      </c>
      <c r="K102" s="201" t="s">
        <v>1028</v>
      </c>
      <c r="L102" s="209" t="s">
        <v>4629</v>
      </c>
      <c r="M102" s="201" t="s">
        <v>1030</v>
      </c>
      <c r="N102" s="209" t="s">
        <v>652</v>
      </c>
      <c r="O102" s="209" t="s">
        <v>652</v>
      </c>
      <c r="P102" s="213" t="s">
        <v>685</v>
      </c>
      <c r="Q102" s="213" t="s">
        <v>1615</v>
      </c>
      <c r="R102" s="213" t="s">
        <v>4516</v>
      </c>
    </row>
    <row r="103" spans="1:18" s="205" customFormat="1" x14ac:dyDescent="0.2">
      <c r="A103" s="205" t="s">
        <v>4630</v>
      </c>
      <c r="B103" s="205" t="s">
        <v>4631</v>
      </c>
      <c r="C103" s="200">
        <v>45456</v>
      </c>
      <c r="D103" s="199" t="s">
        <v>152</v>
      </c>
      <c r="E103" s="206">
        <v>52204</v>
      </c>
      <c r="F103" s="206">
        <v>5220</v>
      </c>
      <c r="G103" s="206">
        <v>522</v>
      </c>
      <c r="H103" s="202">
        <f t="shared" si="1"/>
        <v>47506</v>
      </c>
      <c r="I103" s="205" t="s">
        <v>186</v>
      </c>
      <c r="J103" s="205" t="s">
        <v>29</v>
      </c>
      <c r="K103" s="201" t="s">
        <v>1028</v>
      </c>
      <c r="L103" s="205" t="s">
        <v>4632</v>
      </c>
      <c r="M103" s="201" t="s">
        <v>1030</v>
      </c>
      <c r="N103" s="205" t="s">
        <v>652</v>
      </c>
      <c r="O103" s="205" t="s">
        <v>652</v>
      </c>
      <c r="P103" s="208" t="s">
        <v>713</v>
      </c>
      <c r="Q103" s="208" t="s">
        <v>834</v>
      </c>
      <c r="R103" s="208" t="s">
        <v>4516</v>
      </c>
    </row>
    <row r="104" spans="1:18" s="205" customFormat="1" x14ac:dyDescent="0.2">
      <c r="A104" s="205" t="s">
        <v>4633</v>
      </c>
      <c r="B104" s="205" t="s">
        <v>126</v>
      </c>
      <c r="C104" s="200">
        <v>45456</v>
      </c>
      <c r="D104" s="199" t="s">
        <v>152</v>
      </c>
      <c r="E104" s="206">
        <v>30095</v>
      </c>
      <c r="F104" s="206">
        <v>3010</v>
      </c>
      <c r="G104" s="206">
        <v>301</v>
      </c>
      <c r="H104" s="202">
        <f t="shared" si="1"/>
        <v>27386</v>
      </c>
      <c r="I104" s="205" t="s">
        <v>31</v>
      </c>
      <c r="J104" s="205" t="s">
        <v>29</v>
      </c>
      <c r="K104" s="201" t="s">
        <v>1042</v>
      </c>
      <c r="L104" s="205" t="s">
        <v>4634</v>
      </c>
      <c r="M104" s="201" t="s">
        <v>1030</v>
      </c>
      <c r="N104" s="205" t="s">
        <v>652</v>
      </c>
      <c r="O104" s="205" t="s">
        <v>652</v>
      </c>
      <c r="P104" s="208" t="s">
        <v>664</v>
      </c>
      <c r="Q104" s="208" t="s">
        <v>665</v>
      </c>
      <c r="R104" s="208" t="s">
        <v>4635</v>
      </c>
    </row>
    <row r="105" spans="1:18" s="205" customFormat="1" x14ac:dyDescent="0.2">
      <c r="A105" s="205" t="s">
        <v>358</v>
      </c>
      <c r="B105" s="205" t="s">
        <v>536</v>
      </c>
      <c r="C105" s="200">
        <v>45456</v>
      </c>
      <c r="D105" s="199" t="s">
        <v>152</v>
      </c>
      <c r="E105" s="206">
        <v>15463</v>
      </c>
      <c r="F105" s="206">
        <v>1546</v>
      </c>
      <c r="G105" s="206">
        <v>155</v>
      </c>
      <c r="H105" s="202">
        <f t="shared" si="1"/>
        <v>14072</v>
      </c>
      <c r="I105" s="205" t="s">
        <v>359</v>
      </c>
      <c r="J105" s="205" t="s">
        <v>29</v>
      </c>
      <c r="K105" s="201" t="s">
        <v>1042</v>
      </c>
      <c r="L105" s="205" t="s">
        <v>4636</v>
      </c>
      <c r="M105" s="201" t="s">
        <v>1030</v>
      </c>
      <c r="N105" s="205" t="s">
        <v>652</v>
      </c>
      <c r="O105" s="205" t="s">
        <v>652</v>
      </c>
      <c r="P105" s="208" t="s">
        <v>895</v>
      </c>
      <c r="Q105" s="208" t="s">
        <v>896</v>
      </c>
      <c r="R105" s="208" t="s">
        <v>4635</v>
      </c>
    </row>
    <row r="106" spans="1:18" s="205" customFormat="1" x14ac:dyDescent="0.2">
      <c r="A106" s="205" t="s">
        <v>442</v>
      </c>
      <c r="B106" s="205" t="s">
        <v>905</v>
      </c>
      <c r="C106" s="200">
        <v>45456</v>
      </c>
      <c r="D106" s="199" t="s">
        <v>152</v>
      </c>
      <c r="E106" s="206">
        <v>12427</v>
      </c>
      <c r="F106" s="206">
        <v>1243</v>
      </c>
      <c r="G106" s="206">
        <v>124</v>
      </c>
      <c r="H106" s="202">
        <f t="shared" si="1"/>
        <v>11308</v>
      </c>
      <c r="I106" s="205" t="s">
        <v>649</v>
      </c>
      <c r="J106" s="205" t="s">
        <v>29</v>
      </c>
      <c r="K106" s="201" t="s">
        <v>1042</v>
      </c>
      <c r="L106" s="205" t="s">
        <v>4637</v>
      </c>
      <c r="M106" s="201" t="s">
        <v>1072</v>
      </c>
      <c r="N106" s="205" t="s">
        <v>2050</v>
      </c>
      <c r="O106" s="205" t="s">
        <v>1115</v>
      </c>
      <c r="P106" s="208" t="s">
        <v>720</v>
      </c>
      <c r="Q106" s="208" t="s">
        <v>721</v>
      </c>
      <c r="R106" s="208" t="s">
        <v>4635</v>
      </c>
    </row>
    <row r="107" spans="1:18" s="205" customFormat="1" x14ac:dyDescent="0.2">
      <c r="A107" s="205" t="s">
        <v>4638</v>
      </c>
      <c r="B107" s="205" t="s">
        <v>4639</v>
      </c>
      <c r="C107" s="200">
        <v>45457</v>
      </c>
      <c r="D107" s="199" t="s">
        <v>152</v>
      </c>
      <c r="E107" s="206">
        <v>90769</v>
      </c>
      <c r="F107" s="206">
        <v>9077</v>
      </c>
      <c r="G107" s="206">
        <v>908</v>
      </c>
      <c r="H107" s="202">
        <f t="shared" si="1"/>
        <v>82600</v>
      </c>
      <c r="I107" s="205" t="s">
        <v>82</v>
      </c>
      <c r="J107" s="205" t="s">
        <v>29</v>
      </c>
      <c r="K107" s="201" t="s">
        <v>1028</v>
      </c>
      <c r="L107" s="205" t="s">
        <v>4640</v>
      </c>
      <c r="M107" s="201" t="s">
        <v>1030</v>
      </c>
      <c r="N107" s="205" t="s">
        <v>652</v>
      </c>
      <c r="O107" s="205" t="s">
        <v>652</v>
      </c>
      <c r="P107" s="208" t="s">
        <v>867</v>
      </c>
      <c r="Q107" s="208" t="s">
        <v>910</v>
      </c>
      <c r="R107" s="208" t="s">
        <v>861</v>
      </c>
    </row>
    <row r="108" spans="1:18" s="205" customFormat="1" x14ac:dyDescent="0.2">
      <c r="A108" s="205" t="s">
        <v>4641</v>
      </c>
      <c r="B108" s="205" t="s">
        <v>4642</v>
      </c>
      <c r="C108" s="200">
        <v>45457</v>
      </c>
      <c r="D108" s="199" t="s">
        <v>152</v>
      </c>
      <c r="E108" s="206">
        <v>52204</v>
      </c>
      <c r="F108" s="206">
        <v>5220</v>
      </c>
      <c r="G108" s="206">
        <v>522</v>
      </c>
      <c r="H108" s="202">
        <f t="shared" si="1"/>
        <v>47506</v>
      </c>
      <c r="I108" s="205" t="s">
        <v>41</v>
      </c>
      <c r="J108" s="205" t="s">
        <v>29</v>
      </c>
      <c r="K108" s="201" t="s">
        <v>1028</v>
      </c>
      <c r="L108" s="205" t="s">
        <v>4643</v>
      </c>
      <c r="M108" s="201" t="s">
        <v>1030</v>
      </c>
      <c r="N108" s="205" t="s">
        <v>652</v>
      </c>
      <c r="O108" s="205" t="s">
        <v>652</v>
      </c>
      <c r="P108" s="208" t="s">
        <v>844</v>
      </c>
      <c r="Q108" s="208" t="s">
        <v>4644</v>
      </c>
      <c r="R108" s="208" t="s">
        <v>861</v>
      </c>
    </row>
    <row r="109" spans="1:18" s="205" customFormat="1" x14ac:dyDescent="0.2">
      <c r="A109" s="205" t="s">
        <v>314</v>
      </c>
      <c r="B109" s="205" t="s">
        <v>4645</v>
      </c>
      <c r="C109" s="200">
        <v>45457</v>
      </c>
      <c r="D109" s="199" t="s">
        <v>152</v>
      </c>
      <c r="E109" s="206">
        <v>3694331</v>
      </c>
      <c r="F109" s="206">
        <v>369433</v>
      </c>
      <c r="G109" s="206">
        <v>36943</v>
      </c>
      <c r="H109" s="202">
        <f t="shared" si="1"/>
        <v>3361841</v>
      </c>
      <c r="I109" s="205" t="s">
        <v>4646</v>
      </c>
      <c r="J109" s="205" t="s">
        <v>29</v>
      </c>
      <c r="K109" s="201" t="s">
        <v>1028</v>
      </c>
      <c r="L109" s="205" t="s">
        <v>4647</v>
      </c>
      <c r="M109" s="201" t="s">
        <v>1030</v>
      </c>
      <c r="N109" s="205" t="s">
        <v>1278</v>
      </c>
      <c r="O109" s="205" t="s">
        <v>1187</v>
      </c>
      <c r="P109" s="208" t="s">
        <v>861</v>
      </c>
      <c r="Q109" s="208" t="s">
        <v>4505</v>
      </c>
      <c r="R109" s="208" t="s">
        <v>861</v>
      </c>
    </row>
    <row r="110" spans="1:18" s="205" customFormat="1" x14ac:dyDescent="0.2">
      <c r="A110" s="205" t="s">
        <v>563</v>
      </c>
      <c r="B110" s="205" t="s">
        <v>564</v>
      </c>
      <c r="C110" s="200">
        <v>45457</v>
      </c>
      <c r="D110" s="199" t="s">
        <v>152</v>
      </c>
      <c r="E110" s="206">
        <v>98276</v>
      </c>
      <c r="F110" s="206">
        <v>9828</v>
      </c>
      <c r="G110" s="206">
        <v>983</v>
      </c>
      <c r="H110" s="202">
        <f t="shared" si="1"/>
        <v>89431</v>
      </c>
      <c r="I110" s="205" t="s">
        <v>565</v>
      </c>
      <c r="J110" s="205" t="s">
        <v>29</v>
      </c>
      <c r="K110" s="201" t="s">
        <v>1042</v>
      </c>
      <c r="L110" s="205" t="s">
        <v>4648</v>
      </c>
      <c r="M110" s="201" t="s">
        <v>1030</v>
      </c>
      <c r="N110" s="205" t="s">
        <v>1190</v>
      </c>
      <c r="O110" s="205" t="s">
        <v>1191</v>
      </c>
      <c r="P110" s="208" t="s">
        <v>653</v>
      </c>
      <c r="Q110" s="208" t="s">
        <v>654</v>
      </c>
      <c r="R110" s="208" t="s">
        <v>861</v>
      </c>
    </row>
    <row r="111" spans="1:18" s="205" customFormat="1" x14ac:dyDescent="0.2">
      <c r="A111" s="205" t="s">
        <v>4649</v>
      </c>
      <c r="B111" s="205" t="s">
        <v>4650</v>
      </c>
      <c r="C111" s="200">
        <v>45459</v>
      </c>
      <c r="D111" s="199" t="s">
        <v>152</v>
      </c>
      <c r="E111" s="206">
        <v>58647</v>
      </c>
      <c r="F111" s="206">
        <v>5865</v>
      </c>
      <c r="G111" s="206">
        <v>587</v>
      </c>
      <c r="H111" s="202">
        <f t="shared" si="1"/>
        <v>53369</v>
      </c>
      <c r="I111" s="205" t="s">
        <v>361</v>
      </c>
      <c r="J111" s="205" t="s">
        <v>29</v>
      </c>
      <c r="K111" s="201" t="s">
        <v>1028</v>
      </c>
      <c r="L111" s="205" t="s">
        <v>4651</v>
      </c>
      <c r="M111" s="201" t="s">
        <v>1030</v>
      </c>
      <c r="N111" s="205" t="s">
        <v>652</v>
      </c>
      <c r="O111" s="205" t="s">
        <v>652</v>
      </c>
      <c r="P111" s="208" t="s">
        <v>4652</v>
      </c>
      <c r="Q111" s="208" t="s">
        <v>4653</v>
      </c>
      <c r="R111" s="208" t="s">
        <v>4635</v>
      </c>
    </row>
    <row r="112" spans="1:18" s="205" customFormat="1" x14ac:dyDescent="0.2">
      <c r="A112" s="205" t="s">
        <v>4654</v>
      </c>
      <c r="B112" s="205" t="s">
        <v>4655</v>
      </c>
      <c r="C112" s="200">
        <v>45459</v>
      </c>
      <c r="D112" s="199" t="s">
        <v>152</v>
      </c>
      <c r="E112" s="206">
        <v>62974</v>
      </c>
      <c r="F112" s="206">
        <v>6297</v>
      </c>
      <c r="G112" s="206">
        <v>630</v>
      </c>
      <c r="H112" s="202">
        <f t="shared" si="1"/>
        <v>57307</v>
      </c>
      <c r="I112" s="205" t="s">
        <v>361</v>
      </c>
      <c r="J112" s="205" t="s">
        <v>29</v>
      </c>
      <c r="K112" s="201" t="s">
        <v>1028</v>
      </c>
      <c r="L112" s="205" t="s">
        <v>4656</v>
      </c>
      <c r="M112" s="201" t="s">
        <v>1030</v>
      </c>
      <c r="N112" s="205" t="s">
        <v>652</v>
      </c>
      <c r="O112" s="205" t="s">
        <v>652</v>
      </c>
      <c r="P112" s="208" t="s">
        <v>4652</v>
      </c>
      <c r="Q112" s="208" t="s">
        <v>4653</v>
      </c>
      <c r="R112" s="208" t="s">
        <v>4635</v>
      </c>
    </row>
    <row r="113" spans="1:18" s="205" customFormat="1" x14ac:dyDescent="0.2">
      <c r="A113" s="205" t="s">
        <v>4657</v>
      </c>
      <c r="B113" s="205" t="s">
        <v>4658</v>
      </c>
      <c r="C113" s="200">
        <v>45461</v>
      </c>
      <c r="D113" s="199" t="s">
        <v>152</v>
      </c>
      <c r="E113" s="206">
        <v>68814</v>
      </c>
      <c r="F113" s="206">
        <v>6881</v>
      </c>
      <c r="G113" s="206">
        <v>688</v>
      </c>
      <c r="H113" s="202">
        <f t="shared" si="1"/>
        <v>62621</v>
      </c>
      <c r="I113" s="205" t="s">
        <v>2642</v>
      </c>
      <c r="J113" s="205" t="s">
        <v>29</v>
      </c>
      <c r="K113" s="201" t="s">
        <v>1058</v>
      </c>
      <c r="L113" s="205" t="s">
        <v>4659</v>
      </c>
      <c r="M113" s="201" t="s">
        <v>1072</v>
      </c>
      <c r="N113" s="205" t="s">
        <v>652</v>
      </c>
      <c r="O113" s="205" t="s">
        <v>652</v>
      </c>
      <c r="P113" s="208" t="s">
        <v>4438</v>
      </c>
      <c r="Q113" s="208" t="s">
        <v>4660</v>
      </c>
      <c r="R113" s="208" t="s">
        <v>4635</v>
      </c>
    </row>
    <row r="114" spans="1:18" s="205" customFormat="1" x14ac:dyDescent="0.2">
      <c r="A114" s="205" t="s">
        <v>333</v>
      </c>
      <c r="B114" s="205" t="s">
        <v>989</v>
      </c>
      <c r="C114" s="200">
        <v>45461</v>
      </c>
      <c r="D114" s="199" t="s">
        <v>152</v>
      </c>
      <c r="E114" s="206">
        <v>33450</v>
      </c>
      <c r="F114" s="206">
        <v>3345</v>
      </c>
      <c r="G114" s="206">
        <v>335</v>
      </c>
      <c r="H114" s="202">
        <f t="shared" si="1"/>
        <v>30440</v>
      </c>
      <c r="I114" s="205" t="s">
        <v>334</v>
      </c>
      <c r="J114" s="205" t="s">
        <v>29</v>
      </c>
      <c r="K114" s="201" t="s">
        <v>1042</v>
      </c>
      <c r="L114" s="205" t="s">
        <v>4661</v>
      </c>
      <c r="M114" s="201" t="s">
        <v>1030</v>
      </c>
      <c r="N114" s="205" t="s">
        <v>652</v>
      </c>
      <c r="O114" s="205" t="s">
        <v>652</v>
      </c>
      <c r="P114" s="208" t="s">
        <v>987</v>
      </c>
      <c r="Q114" s="208" t="s">
        <v>988</v>
      </c>
      <c r="R114" s="208" t="s">
        <v>4662</v>
      </c>
    </row>
    <row r="115" spans="1:18" s="205" customFormat="1" x14ac:dyDescent="0.2">
      <c r="A115" s="205" t="s">
        <v>384</v>
      </c>
      <c r="B115" s="205" t="s">
        <v>383</v>
      </c>
      <c r="C115" s="200">
        <v>45461</v>
      </c>
      <c r="D115" s="199" t="s">
        <v>152</v>
      </c>
      <c r="E115" s="206">
        <v>20686</v>
      </c>
      <c r="F115" s="206">
        <v>2069</v>
      </c>
      <c r="G115" s="206">
        <v>207</v>
      </c>
      <c r="H115" s="202">
        <f t="shared" si="1"/>
        <v>18824</v>
      </c>
      <c r="I115" s="205" t="s">
        <v>32</v>
      </c>
      <c r="J115" s="205" t="s">
        <v>29</v>
      </c>
      <c r="K115" s="201" t="s">
        <v>1042</v>
      </c>
      <c r="L115" s="205" t="s">
        <v>4663</v>
      </c>
      <c r="M115" s="201" t="s">
        <v>1030</v>
      </c>
      <c r="N115" s="205" t="s">
        <v>2104</v>
      </c>
      <c r="O115" s="205" t="s">
        <v>1115</v>
      </c>
      <c r="P115" s="208" t="s">
        <v>889</v>
      </c>
      <c r="Q115" s="208" t="s">
        <v>890</v>
      </c>
      <c r="R115" s="208" t="s">
        <v>4662</v>
      </c>
    </row>
    <row r="116" spans="1:18" s="205" customFormat="1" x14ac:dyDescent="0.2">
      <c r="A116" s="205" t="s">
        <v>64</v>
      </c>
      <c r="B116" s="205" t="s">
        <v>514</v>
      </c>
      <c r="C116" s="200">
        <v>45461</v>
      </c>
      <c r="D116" s="199" t="s">
        <v>152</v>
      </c>
      <c r="E116" s="206">
        <v>251860</v>
      </c>
      <c r="F116" s="206">
        <v>25186</v>
      </c>
      <c r="G116" s="206">
        <v>2519</v>
      </c>
      <c r="H116" s="202">
        <f t="shared" si="1"/>
        <v>229193</v>
      </c>
      <c r="I116" s="205" t="s">
        <v>31</v>
      </c>
      <c r="J116" s="205" t="s">
        <v>29</v>
      </c>
      <c r="K116" s="201" t="s">
        <v>1042</v>
      </c>
      <c r="L116" s="205" t="s">
        <v>4664</v>
      </c>
      <c r="M116" s="201" t="s">
        <v>1030</v>
      </c>
      <c r="N116" s="205" t="s">
        <v>652</v>
      </c>
      <c r="O116" s="205" t="s">
        <v>652</v>
      </c>
      <c r="P116" s="208" t="s">
        <v>653</v>
      </c>
      <c r="Q116" s="208" t="s">
        <v>654</v>
      </c>
      <c r="R116" s="208" t="s">
        <v>4662</v>
      </c>
    </row>
    <row r="117" spans="1:18" s="205" customFormat="1" x14ac:dyDescent="0.2">
      <c r="A117" s="205" t="s">
        <v>940</v>
      </c>
      <c r="B117" s="205" t="s">
        <v>941</v>
      </c>
      <c r="C117" s="200">
        <v>45461</v>
      </c>
      <c r="D117" s="199" t="s">
        <v>152</v>
      </c>
      <c r="E117" s="206">
        <v>22766</v>
      </c>
      <c r="F117" s="206">
        <v>2277</v>
      </c>
      <c r="G117" s="206">
        <v>228</v>
      </c>
      <c r="H117" s="202">
        <f t="shared" si="1"/>
        <v>20717</v>
      </c>
      <c r="I117" s="205" t="s">
        <v>28</v>
      </c>
      <c r="J117" s="205" t="s">
        <v>29</v>
      </c>
      <c r="K117" s="201" t="s">
        <v>1042</v>
      </c>
      <c r="L117" s="205" t="s">
        <v>4665</v>
      </c>
      <c r="M117" s="201" t="s">
        <v>1030</v>
      </c>
      <c r="N117" s="205" t="s">
        <v>1190</v>
      </c>
      <c r="O117" s="205" t="s">
        <v>1191</v>
      </c>
      <c r="P117" s="208" t="s">
        <v>872</v>
      </c>
      <c r="Q117" s="208" t="s">
        <v>942</v>
      </c>
      <c r="R117" s="208" t="s">
        <v>4662</v>
      </c>
    </row>
    <row r="118" spans="1:18" s="205" customFormat="1" x14ac:dyDescent="0.2">
      <c r="A118" s="205" t="s">
        <v>404</v>
      </c>
      <c r="B118" s="205" t="s">
        <v>902</v>
      </c>
      <c r="C118" s="200">
        <v>45461</v>
      </c>
      <c r="D118" s="199" t="s">
        <v>152</v>
      </c>
      <c r="E118" s="206">
        <v>32486</v>
      </c>
      <c r="F118" s="206">
        <v>3249</v>
      </c>
      <c r="G118" s="206">
        <v>325</v>
      </c>
      <c r="H118" s="202">
        <f t="shared" si="1"/>
        <v>29562</v>
      </c>
      <c r="I118" s="205" t="s">
        <v>28</v>
      </c>
      <c r="J118" s="205" t="s">
        <v>29</v>
      </c>
      <c r="K118" s="201" t="s">
        <v>1042</v>
      </c>
      <c r="L118" s="205" t="s">
        <v>4666</v>
      </c>
      <c r="M118" s="201" t="s">
        <v>1030</v>
      </c>
      <c r="N118" s="205" t="s">
        <v>652</v>
      </c>
      <c r="O118" s="205" t="s">
        <v>652</v>
      </c>
      <c r="P118" s="208" t="s">
        <v>903</v>
      </c>
      <c r="Q118" s="208" t="s">
        <v>904</v>
      </c>
      <c r="R118" s="208" t="s">
        <v>4662</v>
      </c>
    </row>
    <row r="119" spans="1:18" s="205" customFormat="1" x14ac:dyDescent="0.2">
      <c r="A119" s="205" t="s">
        <v>332</v>
      </c>
      <c r="B119" s="205" t="s">
        <v>645</v>
      </c>
      <c r="C119" s="200">
        <v>45461</v>
      </c>
      <c r="D119" s="199" t="s">
        <v>152</v>
      </c>
      <c r="E119" s="206">
        <v>137475</v>
      </c>
      <c r="F119" s="206">
        <v>13748</v>
      </c>
      <c r="G119" s="206">
        <v>1375</v>
      </c>
      <c r="H119" s="202">
        <f t="shared" si="1"/>
        <v>125102</v>
      </c>
      <c r="I119" s="205" t="s">
        <v>109</v>
      </c>
      <c r="J119" s="205" t="s">
        <v>29</v>
      </c>
      <c r="K119" s="199" t="s">
        <v>1042</v>
      </c>
      <c r="L119" s="205" t="s">
        <v>4667</v>
      </c>
      <c r="M119" s="201" t="s">
        <v>1030</v>
      </c>
      <c r="N119" s="205" t="s">
        <v>652</v>
      </c>
      <c r="O119" s="205" t="s">
        <v>652</v>
      </c>
      <c r="P119" s="208" t="s">
        <v>808</v>
      </c>
      <c r="Q119" s="208" t="s">
        <v>809</v>
      </c>
      <c r="R119" s="208" t="s">
        <v>4662</v>
      </c>
    </row>
    <row r="120" spans="1:18" s="205" customFormat="1" x14ac:dyDescent="0.2">
      <c r="A120" s="205" t="s">
        <v>45</v>
      </c>
      <c r="B120" s="205" t="s">
        <v>527</v>
      </c>
      <c r="C120" s="200">
        <v>45461</v>
      </c>
      <c r="D120" s="199" t="s">
        <v>152</v>
      </c>
      <c r="E120" s="206">
        <v>100426</v>
      </c>
      <c r="F120" s="206">
        <v>10043</v>
      </c>
      <c r="G120" s="206">
        <v>1004</v>
      </c>
      <c r="H120" s="202">
        <f t="shared" si="1"/>
        <v>91387</v>
      </c>
      <c r="I120" s="205" t="s">
        <v>28</v>
      </c>
      <c r="J120" s="205" t="s">
        <v>29</v>
      </c>
      <c r="K120" s="199" t="s">
        <v>1042</v>
      </c>
      <c r="L120" s="205" t="s">
        <v>4668</v>
      </c>
      <c r="M120" s="201" t="s">
        <v>1030</v>
      </c>
      <c r="N120" s="205" t="s">
        <v>652</v>
      </c>
      <c r="O120" s="205" t="s">
        <v>652</v>
      </c>
      <c r="P120" s="208" t="s">
        <v>718</v>
      </c>
      <c r="Q120" s="208" t="s">
        <v>719</v>
      </c>
      <c r="R120" s="208" t="s">
        <v>4662</v>
      </c>
    </row>
    <row r="121" spans="1:18" s="205" customFormat="1" x14ac:dyDescent="0.2">
      <c r="A121" s="205" t="s">
        <v>312</v>
      </c>
      <c r="B121" s="205" t="s">
        <v>557</v>
      </c>
      <c r="C121" s="200">
        <v>45461</v>
      </c>
      <c r="D121" s="199" t="s">
        <v>152</v>
      </c>
      <c r="E121" s="206">
        <v>44464</v>
      </c>
      <c r="F121" s="206">
        <v>4446</v>
      </c>
      <c r="G121" s="206">
        <v>445</v>
      </c>
      <c r="H121" s="202">
        <f t="shared" si="1"/>
        <v>40463</v>
      </c>
      <c r="I121" s="205" t="s">
        <v>98</v>
      </c>
      <c r="J121" s="205" t="s">
        <v>29</v>
      </c>
      <c r="K121" s="199" t="s">
        <v>1042</v>
      </c>
      <c r="L121" s="205" t="s">
        <v>4669</v>
      </c>
      <c r="M121" s="201" t="s">
        <v>1030</v>
      </c>
      <c r="N121" s="205" t="s">
        <v>1190</v>
      </c>
      <c r="O121" s="205" t="s">
        <v>1191</v>
      </c>
      <c r="P121" s="208" t="s">
        <v>653</v>
      </c>
      <c r="Q121" s="208" t="s">
        <v>654</v>
      </c>
      <c r="R121" s="208" t="s">
        <v>4662</v>
      </c>
    </row>
    <row r="122" spans="1:18" s="205" customFormat="1" x14ac:dyDescent="0.2">
      <c r="A122" s="205" t="s">
        <v>4670</v>
      </c>
      <c r="B122" s="205" t="s">
        <v>4671</v>
      </c>
      <c r="C122" s="200">
        <v>45462</v>
      </c>
      <c r="D122" s="199" t="s">
        <v>152</v>
      </c>
      <c r="E122" s="206">
        <v>9783374</v>
      </c>
      <c r="F122" s="206">
        <v>978338</v>
      </c>
      <c r="G122" s="206">
        <v>97834</v>
      </c>
      <c r="H122" s="202">
        <f t="shared" si="1"/>
        <v>8902870</v>
      </c>
      <c r="I122" s="205" t="s">
        <v>137</v>
      </c>
      <c r="J122" s="205" t="s">
        <v>29</v>
      </c>
      <c r="K122" s="199" t="s">
        <v>1058</v>
      </c>
      <c r="L122" s="205" t="s">
        <v>4672</v>
      </c>
      <c r="M122" s="201" t="s">
        <v>1030</v>
      </c>
      <c r="N122" s="205" t="s">
        <v>3723</v>
      </c>
      <c r="O122" s="205" t="s">
        <v>1187</v>
      </c>
      <c r="P122" s="208" t="s">
        <v>3226</v>
      </c>
      <c r="Q122" s="208" t="s">
        <v>3375</v>
      </c>
      <c r="R122" s="208" t="s">
        <v>4662</v>
      </c>
    </row>
    <row r="123" spans="1:18" s="205" customFormat="1" x14ac:dyDescent="0.2">
      <c r="A123" s="205" t="s">
        <v>4673</v>
      </c>
      <c r="B123" s="205" t="s">
        <v>4674</v>
      </c>
      <c r="C123" s="200">
        <v>45463</v>
      </c>
      <c r="D123" s="199" t="s">
        <v>152</v>
      </c>
      <c r="E123" s="206">
        <v>51703</v>
      </c>
      <c r="F123" s="206">
        <v>5170</v>
      </c>
      <c r="G123" s="206">
        <v>517</v>
      </c>
      <c r="H123" s="202">
        <f t="shared" si="1"/>
        <v>47050</v>
      </c>
      <c r="I123" s="205" t="s">
        <v>49</v>
      </c>
      <c r="J123" s="205" t="s">
        <v>29</v>
      </c>
      <c r="K123" s="199" t="s">
        <v>1028</v>
      </c>
      <c r="L123" s="205" t="s">
        <v>4675</v>
      </c>
      <c r="M123" s="201" t="s">
        <v>1030</v>
      </c>
      <c r="N123" s="205" t="s">
        <v>652</v>
      </c>
      <c r="O123" s="205" t="s">
        <v>652</v>
      </c>
      <c r="P123" s="214" t="s">
        <v>1534</v>
      </c>
      <c r="Q123" s="214" t="s">
        <v>3748</v>
      </c>
      <c r="R123" s="214" t="s">
        <v>4662</v>
      </c>
    </row>
    <row r="124" spans="1:18" s="205" customFormat="1" x14ac:dyDescent="0.2">
      <c r="A124" s="205" t="s">
        <v>4676</v>
      </c>
      <c r="B124" s="205" t="s">
        <v>4677</v>
      </c>
      <c r="C124" s="200">
        <v>45463</v>
      </c>
      <c r="D124" s="199" t="s">
        <v>152</v>
      </c>
      <c r="E124" s="206">
        <v>136166</v>
      </c>
      <c r="F124" s="206">
        <v>13617</v>
      </c>
      <c r="G124" s="206">
        <v>1362</v>
      </c>
      <c r="H124" s="202">
        <f t="shared" si="1"/>
        <v>123911</v>
      </c>
      <c r="I124" s="205" t="s">
        <v>217</v>
      </c>
      <c r="J124" s="205" t="s">
        <v>29</v>
      </c>
      <c r="K124" s="199" t="s">
        <v>1058</v>
      </c>
      <c r="L124" s="205" t="s">
        <v>4678</v>
      </c>
      <c r="M124" s="201" t="s">
        <v>1030</v>
      </c>
      <c r="N124" s="205" t="s">
        <v>652</v>
      </c>
      <c r="O124" s="205" t="s">
        <v>652</v>
      </c>
      <c r="P124" s="214" t="s">
        <v>4516</v>
      </c>
      <c r="Q124" s="214" t="s">
        <v>4612</v>
      </c>
      <c r="R124" s="214" t="s">
        <v>4662</v>
      </c>
    </row>
    <row r="125" spans="1:18" s="205" customFormat="1" x14ac:dyDescent="0.2">
      <c r="A125" s="209" t="s">
        <v>4679</v>
      </c>
      <c r="B125" s="209" t="s">
        <v>4680</v>
      </c>
      <c r="C125" s="210">
        <v>45463</v>
      </c>
      <c r="D125" s="199" t="s">
        <v>152</v>
      </c>
      <c r="E125" s="211">
        <v>33041</v>
      </c>
      <c r="F125" s="211">
        <v>3304</v>
      </c>
      <c r="G125" s="211">
        <v>330</v>
      </c>
      <c r="H125" s="202">
        <f t="shared" si="1"/>
        <v>30067</v>
      </c>
      <c r="I125" s="209" t="s">
        <v>4681</v>
      </c>
      <c r="J125" s="209" t="s">
        <v>29</v>
      </c>
      <c r="K125" s="201" t="s">
        <v>1058</v>
      </c>
      <c r="L125" s="209" t="s">
        <v>4682</v>
      </c>
      <c r="M125" s="201" t="s">
        <v>1072</v>
      </c>
      <c r="N125" s="209" t="s">
        <v>652</v>
      </c>
      <c r="O125" s="209" t="s">
        <v>652</v>
      </c>
      <c r="P125" s="213" t="s">
        <v>4635</v>
      </c>
      <c r="Q125" s="213" t="s">
        <v>4683</v>
      </c>
      <c r="R125" s="213" t="s">
        <v>4662</v>
      </c>
    </row>
    <row r="126" spans="1:18" s="205" customFormat="1" x14ac:dyDescent="0.2">
      <c r="A126" s="209" t="s">
        <v>172</v>
      </c>
      <c r="B126" s="209" t="s">
        <v>4684</v>
      </c>
      <c r="C126" s="210">
        <v>45463</v>
      </c>
      <c r="D126" s="199" t="s">
        <v>152</v>
      </c>
      <c r="E126" s="211">
        <v>1557078</v>
      </c>
      <c r="F126" s="211">
        <v>155708</v>
      </c>
      <c r="G126" s="211">
        <v>15571</v>
      </c>
      <c r="H126" s="202">
        <f t="shared" si="1"/>
        <v>1416941</v>
      </c>
      <c r="I126" s="209" t="s">
        <v>4685</v>
      </c>
      <c r="J126" s="209" t="s">
        <v>29</v>
      </c>
      <c r="K126" s="201" t="s">
        <v>1028</v>
      </c>
      <c r="L126" s="209" t="s">
        <v>4686</v>
      </c>
      <c r="M126" s="201" t="s">
        <v>1030</v>
      </c>
      <c r="N126" s="209" t="s">
        <v>652</v>
      </c>
      <c r="O126" s="209" t="s">
        <v>652</v>
      </c>
      <c r="P126" s="213" t="s">
        <v>1534</v>
      </c>
      <c r="Q126" s="213" t="s">
        <v>3748</v>
      </c>
      <c r="R126" s="213" t="s">
        <v>4662</v>
      </c>
    </row>
    <row r="127" spans="1:18" s="205" customFormat="1" x14ac:dyDescent="0.2">
      <c r="A127" s="209" t="s">
        <v>4687</v>
      </c>
      <c r="B127" s="209" t="s">
        <v>4688</v>
      </c>
      <c r="C127" s="210">
        <v>45463</v>
      </c>
      <c r="D127" s="199" t="s">
        <v>152</v>
      </c>
      <c r="E127" s="211">
        <v>52204</v>
      </c>
      <c r="F127" s="211">
        <v>5220</v>
      </c>
      <c r="G127" s="211">
        <v>522</v>
      </c>
      <c r="H127" s="202">
        <f t="shared" si="1"/>
        <v>47506</v>
      </c>
      <c r="I127" s="209" t="s">
        <v>46</v>
      </c>
      <c r="J127" s="209" t="s">
        <v>29</v>
      </c>
      <c r="K127" s="201" t="s">
        <v>1058</v>
      </c>
      <c r="L127" s="209" t="s">
        <v>4689</v>
      </c>
      <c r="M127" s="201" t="s">
        <v>1030</v>
      </c>
      <c r="N127" s="209" t="s">
        <v>652</v>
      </c>
      <c r="O127" s="209" t="s">
        <v>652</v>
      </c>
      <c r="P127" s="213" t="s">
        <v>2747</v>
      </c>
      <c r="Q127" s="213" t="s">
        <v>3881</v>
      </c>
      <c r="R127" s="213" t="s">
        <v>884</v>
      </c>
    </row>
    <row r="128" spans="1:18" s="205" customFormat="1" x14ac:dyDescent="0.2">
      <c r="A128" s="209" t="s">
        <v>429</v>
      </c>
      <c r="B128" s="209" t="s">
        <v>577</v>
      </c>
      <c r="C128" s="210">
        <v>45463</v>
      </c>
      <c r="D128" s="199" t="s">
        <v>152</v>
      </c>
      <c r="E128" s="211">
        <v>75496</v>
      </c>
      <c r="F128" s="211">
        <v>7550</v>
      </c>
      <c r="G128" s="211">
        <v>755</v>
      </c>
      <c r="H128" s="202">
        <f t="shared" si="1"/>
        <v>68701</v>
      </c>
      <c r="I128" s="209" t="s">
        <v>31</v>
      </c>
      <c r="J128" s="209" t="s">
        <v>29</v>
      </c>
      <c r="K128" s="201" t="s">
        <v>1042</v>
      </c>
      <c r="L128" s="209" t="s">
        <v>4690</v>
      </c>
      <c r="M128" s="201" t="s">
        <v>1030</v>
      </c>
      <c r="N128" s="209" t="s">
        <v>652</v>
      </c>
      <c r="O128" s="209" t="s">
        <v>652</v>
      </c>
      <c r="P128" s="213" t="s">
        <v>653</v>
      </c>
      <c r="Q128" s="213" t="s">
        <v>654</v>
      </c>
      <c r="R128" s="213" t="s">
        <v>4691</v>
      </c>
    </row>
    <row r="129" spans="1:18" s="205" customFormat="1" x14ac:dyDescent="0.2">
      <c r="A129" s="209" t="s">
        <v>4692</v>
      </c>
      <c r="B129" s="209" t="s">
        <v>4693</v>
      </c>
      <c r="C129" s="210">
        <v>45463</v>
      </c>
      <c r="D129" s="199" t="s">
        <v>152</v>
      </c>
      <c r="E129" s="211">
        <v>74670</v>
      </c>
      <c r="F129" s="211">
        <v>7467</v>
      </c>
      <c r="G129" s="211">
        <v>747</v>
      </c>
      <c r="H129" s="202">
        <f t="shared" si="1"/>
        <v>67950</v>
      </c>
      <c r="I129" s="209" t="s">
        <v>95</v>
      </c>
      <c r="J129" s="209" t="s">
        <v>29</v>
      </c>
      <c r="K129" s="201" t="s">
        <v>1028</v>
      </c>
      <c r="L129" s="209" t="s">
        <v>4694</v>
      </c>
      <c r="M129" s="201" t="s">
        <v>1030</v>
      </c>
      <c r="N129" s="209" t="s">
        <v>652</v>
      </c>
      <c r="O129" s="209" t="s">
        <v>652</v>
      </c>
      <c r="P129" s="213" t="s">
        <v>3738</v>
      </c>
      <c r="Q129" s="213" t="s">
        <v>4695</v>
      </c>
      <c r="R129" s="213" t="s">
        <v>4691</v>
      </c>
    </row>
    <row r="130" spans="1:18" s="205" customFormat="1" x14ac:dyDescent="0.2">
      <c r="A130" s="209" t="s">
        <v>358</v>
      </c>
      <c r="B130" s="209" t="s">
        <v>536</v>
      </c>
      <c r="C130" s="210">
        <v>45463</v>
      </c>
      <c r="D130" s="199" t="s">
        <v>152</v>
      </c>
      <c r="E130" s="211">
        <v>32222</v>
      </c>
      <c r="F130" s="211">
        <v>3222</v>
      </c>
      <c r="G130" s="211">
        <v>322</v>
      </c>
      <c r="H130" s="202">
        <f t="shared" ref="H130:H193" si="2">E130+G130-F130</f>
        <v>29322</v>
      </c>
      <c r="I130" s="209" t="s">
        <v>359</v>
      </c>
      <c r="J130" s="209" t="s">
        <v>29</v>
      </c>
      <c r="K130" s="201" t="s">
        <v>1042</v>
      </c>
      <c r="L130" s="209" t="s">
        <v>4696</v>
      </c>
      <c r="M130" s="201" t="s">
        <v>1030</v>
      </c>
      <c r="N130" s="209" t="s">
        <v>652</v>
      </c>
      <c r="O130" s="209" t="s">
        <v>652</v>
      </c>
      <c r="P130" s="213" t="s">
        <v>895</v>
      </c>
      <c r="Q130" s="213" t="s">
        <v>896</v>
      </c>
      <c r="R130" s="213" t="s">
        <v>4691</v>
      </c>
    </row>
    <row r="131" spans="1:18" s="205" customFormat="1" x14ac:dyDescent="0.2">
      <c r="A131" s="205" t="s">
        <v>558</v>
      </c>
      <c r="B131" s="205" t="s">
        <v>559</v>
      </c>
      <c r="C131" s="200">
        <v>45463</v>
      </c>
      <c r="D131" s="199" t="s">
        <v>152</v>
      </c>
      <c r="E131" s="206">
        <v>193779</v>
      </c>
      <c r="F131" s="206">
        <v>19378</v>
      </c>
      <c r="G131" s="206">
        <v>1938</v>
      </c>
      <c r="H131" s="202">
        <f t="shared" si="2"/>
        <v>176339</v>
      </c>
      <c r="I131" s="205" t="s">
        <v>31</v>
      </c>
      <c r="J131" s="205" t="s">
        <v>29</v>
      </c>
      <c r="K131" s="201" t="s">
        <v>1042</v>
      </c>
      <c r="L131" s="205" t="s">
        <v>4697</v>
      </c>
      <c r="M131" s="201" t="s">
        <v>1030</v>
      </c>
      <c r="N131" s="205" t="s">
        <v>1046</v>
      </c>
      <c r="O131" s="205" t="s">
        <v>1047</v>
      </c>
      <c r="P131" s="208" t="s">
        <v>653</v>
      </c>
      <c r="Q131" s="208" t="s">
        <v>654</v>
      </c>
      <c r="R131" s="208" t="s">
        <v>4691</v>
      </c>
    </row>
    <row r="132" spans="1:18" s="205" customFormat="1" x14ac:dyDescent="0.2">
      <c r="A132" s="205" t="s">
        <v>919</v>
      </c>
      <c r="B132" s="205" t="s">
        <v>920</v>
      </c>
      <c r="C132" s="200">
        <v>45463</v>
      </c>
      <c r="D132" s="199" t="s">
        <v>152</v>
      </c>
      <c r="E132" s="206">
        <v>17531</v>
      </c>
      <c r="F132" s="206">
        <v>1753</v>
      </c>
      <c r="G132" s="206">
        <v>175</v>
      </c>
      <c r="H132" s="202">
        <f t="shared" si="2"/>
        <v>15953</v>
      </c>
      <c r="I132" s="205" t="s">
        <v>31</v>
      </c>
      <c r="J132" s="205" t="s">
        <v>29</v>
      </c>
      <c r="K132" s="201" t="s">
        <v>1042</v>
      </c>
      <c r="L132" s="205" t="s">
        <v>4698</v>
      </c>
      <c r="M132" s="201" t="s">
        <v>1030</v>
      </c>
      <c r="N132" s="205" t="s">
        <v>652</v>
      </c>
      <c r="O132" s="205" t="s">
        <v>652</v>
      </c>
      <c r="P132" s="216" t="s">
        <v>663</v>
      </c>
      <c r="Q132" s="216" t="s">
        <v>745</v>
      </c>
      <c r="R132" s="216" t="s">
        <v>4691</v>
      </c>
    </row>
    <row r="133" spans="1:18" s="205" customFormat="1" x14ac:dyDescent="0.2">
      <c r="A133" s="205" t="s">
        <v>641</v>
      </c>
      <c r="B133" s="205" t="s">
        <v>642</v>
      </c>
      <c r="C133" s="200">
        <v>45463</v>
      </c>
      <c r="D133" s="199" t="s">
        <v>152</v>
      </c>
      <c r="E133" s="206">
        <v>9935</v>
      </c>
      <c r="F133" s="206">
        <v>994</v>
      </c>
      <c r="G133" s="206">
        <v>99</v>
      </c>
      <c r="H133" s="202">
        <f t="shared" si="2"/>
        <v>9040</v>
      </c>
      <c r="I133" s="205" t="s">
        <v>114</v>
      </c>
      <c r="J133" s="205" t="s">
        <v>29</v>
      </c>
      <c r="K133" s="199" t="s">
        <v>1042</v>
      </c>
      <c r="L133" s="205" t="s">
        <v>4699</v>
      </c>
      <c r="M133" s="201" t="s">
        <v>1030</v>
      </c>
      <c r="N133" s="205" t="s">
        <v>652</v>
      </c>
      <c r="O133" s="205" t="s">
        <v>652</v>
      </c>
      <c r="P133" s="208" t="s">
        <v>681</v>
      </c>
      <c r="Q133" s="208" t="s">
        <v>682</v>
      </c>
      <c r="R133" s="208" t="s">
        <v>4691</v>
      </c>
    </row>
    <row r="134" spans="1:18" s="205" customFormat="1" x14ac:dyDescent="0.2">
      <c r="A134" s="205" t="s">
        <v>72</v>
      </c>
      <c r="B134" s="205" t="s">
        <v>1104</v>
      </c>
      <c r="C134" s="200">
        <v>45463</v>
      </c>
      <c r="D134" s="199" t="s">
        <v>152</v>
      </c>
      <c r="E134" s="206">
        <v>43684</v>
      </c>
      <c r="F134" s="206">
        <v>4368</v>
      </c>
      <c r="G134" s="206">
        <v>437</v>
      </c>
      <c r="H134" s="202">
        <f t="shared" si="2"/>
        <v>39753</v>
      </c>
      <c r="I134" s="205" t="s">
        <v>73</v>
      </c>
      <c r="J134" s="205" t="s">
        <v>29</v>
      </c>
      <c r="K134" s="199" t="s">
        <v>1141</v>
      </c>
      <c r="L134" s="205" t="s">
        <v>4700</v>
      </c>
      <c r="M134" s="201" t="s">
        <v>1030</v>
      </c>
      <c r="N134" s="205" t="s">
        <v>652</v>
      </c>
      <c r="O134" s="205" t="s">
        <v>652</v>
      </c>
      <c r="P134" s="208" t="s">
        <v>1106</v>
      </c>
      <c r="Q134" s="208" t="s">
        <v>1107</v>
      </c>
      <c r="R134" s="208" t="s">
        <v>4691</v>
      </c>
    </row>
    <row r="135" spans="1:18" s="205" customFormat="1" x14ac:dyDescent="0.2">
      <c r="A135" s="205" t="s">
        <v>461</v>
      </c>
      <c r="B135" s="205" t="s">
        <v>4701</v>
      </c>
      <c r="C135" s="200">
        <v>45463</v>
      </c>
      <c r="D135" s="199" t="s">
        <v>152</v>
      </c>
      <c r="E135" s="206">
        <v>312086</v>
      </c>
      <c r="F135" s="206">
        <v>31209</v>
      </c>
      <c r="G135" s="206">
        <v>3121</v>
      </c>
      <c r="H135" s="202">
        <f t="shared" si="2"/>
        <v>283998</v>
      </c>
      <c r="I135" s="205" t="s">
        <v>82</v>
      </c>
      <c r="J135" s="205" t="s">
        <v>29</v>
      </c>
      <c r="K135" s="199" t="s">
        <v>1028</v>
      </c>
      <c r="L135" s="205" t="s">
        <v>4702</v>
      </c>
      <c r="M135" s="201" t="s">
        <v>1030</v>
      </c>
      <c r="N135" s="205" t="s">
        <v>1065</v>
      </c>
      <c r="O135" s="205" t="s">
        <v>1066</v>
      </c>
      <c r="P135" s="208" t="s">
        <v>846</v>
      </c>
      <c r="Q135" s="208" t="s">
        <v>2922</v>
      </c>
      <c r="R135" s="208" t="s">
        <v>884</v>
      </c>
    </row>
    <row r="136" spans="1:18" s="205" customFormat="1" x14ac:dyDescent="0.2">
      <c r="A136" s="205" t="s">
        <v>4703</v>
      </c>
      <c r="B136" s="205" t="s">
        <v>4704</v>
      </c>
      <c r="C136" s="200">
        <v>45464</v>
      </c>
      <c r="D136" s="199" t="s">
        <v>152</v>
      </c>
      <c r="E136" s="206">
        <v>38660</v>
      </c>
      <c r="F136" s="206">
        <v>3866</v>
      </c>
      <c r="G136" s="206">
        <v>387</v>
      </c>
      <c r="H136" s="202">
        <f t="shared" si="2"/>
        <v>35181</v>
      </c>
      <c r="I136" s="205" t="s">
        <v>49</v>
      </c>
      <c r="J136" s="205" t="s">
        <v>29</v>
      </c>
      <c r="K136" s="199" t="s">
        <v>1028</v>
      </c>
      <c r="L136" s="205" t="s">
        <v>4705</v>
      </c>
      <c r="M136" s="201" t="s">
        <v>1030</v>
      </c>
      <c r="N136" s="205" t="s">
        <v>652</v>
      </c>
      <c r="O136" s="205" t="s">
        <v>652</v>
      </c>
      <c r="P136" s="208" t="s">
        <v>1534</v>
      </c>
      <c r="Q136" s="208" t="s">
        <v>3748</v>
      </c>
      <c r="R136" s="208" t="s">
        <v>4691</v>
      </c>
    </row>
    <row r="137" spans="1:18" s="205" customFormat="1" x14ac:dyDescent="0.2">
      <c r="A137" s="209" t="s">
        <v>4706</v>
      </c>
      <c r="B137" s="209" t="s">
        <v>4707</v>
      </c>
      <c r="C137" s="210">
        <v>45464</v>
      </c>
      <c r="D137" s="199" t="s">
        <v>152</v>
      </c>
      <c r="E137" s="211">
        <v>38660</v>
      </c>
      <c r="F137" s="206">
        <v>3866</v>
      </c>
      <c r="G137" s="206">
        <v>387</v>
      </c>
      <c r="H137" s="202">
        <f t="shared" si="2"/>
        <v>35181</v>
      </c>
      <c r="I137" s="209" t="s">
        <v>49</v>
      </c>
      <c r="J137" s="209" t="s">
        <v>29</v>
      </c>
      <c r="K137" s="201" t="s">
        <v>1028</v>
      </c>
      <c r="L137" s="209" t="s">
        <v>4708</v>
      </c>
      <c r="M137" s="201" t="s">
        <v>1030</v>
      </c>
      <c r="N137" s="209" t="s">
        <v>652</v>
      </c>
      <c r="O137" s="209" t="s">
        <v>652</v>
      </c>
      <c r="P137" s="213" t="s">
        <v>1534</v>
      </c>
      <c r="Q137" s="213" t="s">
        <v>3748</v>
      </c>
      <c r="R137" s="213" t="s">
        <v>4691</v>
      </c>
    </row>
    <row r="138" spans="1:18" s="205" customFormat="1" x14ac:dyDescent="0.2">
      <c r="A138" s="205" t="s">
        <v>4709</v>
      </c>
      <c r="B138" s="205" t="s">
        <v>4710</v>
      </c>
      <c r="C138" s="200">
        <v>45464</v>
      </c>
      <c r="D138" s="199" t="s">
        <v>152</v>
      </c>
      <c r="E138" s="206">
        <v>51703</v>
      </c>
      <c r="F138" s="206">
        <v>5170</v>
      </c>
      <c r="G138" s="206">
        <v>517</v>
      </c>
      <c r="H138" s="202">
        <f t="shared" si="2"/>
        <v>47050</v>
      </c>
      <c r="I138" s="205" t="s">
        <v>49</v>
      </c>
      <c r="J138" s="205" t="s">
        <v>29</v>
      </c>
      <c r="K138" s="201" t="s">
        <v>1028</v>
      </c>
      <c r="L138" s="205" t="s">
        <v>4711</v>
      </c>
      <c r="M138" s="201" t="s">
        <v>1030</v>
      </c>
      <c r="N138" s="205" t="s">
        <v>652</v>
      </c>
      <c r="O138" s="205" t="s">
        <v>652</v>
      </c>
      <c r="P138" s="208" t="s">
        <v>1534</v>
      </c>
      <c r="Q138" s="208" t="s">
        <v>3748</v>
      </c>
      <c r="R138" s="208" t="s">
        <v>4691</v>
      </c>
    </row>
    <row r="139" spans="1:18" s="205" customFormat="1" x14ac:dyDescent="0.2">
      <c r="A139" s="205" t="s">
        <v>4712</v>
      </c>
      <c r="B139" s="205" t="s">
        <v>4713</v>
      </c>
      <c r="C139" s="200">
        <v>45464</v>
      </c>
      <c r="D139" s="199" t="s">
        <v>152</v>
      </c>
      <c r="E139" s="206">
        <v>47527</v>
      </c>
      <c r="F139" s="206">
        <v>4753</v>
      </c>
      <c r="G139" s="206">
        <v>475</v>
      </c>
      <c r="H139" s="202">
        <f t="shared" si="2"/>
        <v>43249</v>
      </c>
      <c r="I139" s="205" t="s">
        <v>4714</v>
      </c>
      <c r="J139" s="205" t="s">
        <v>29</v>
      </c>
      <c r="K139" s="201" t="s">
        <v>1028</v>
      </c>
      <c r="L139" s="205" t="s">
        <v>4715</v>
      </c>
      <c r="M139" s="201" t="s">
        <v>1030</v>
      </c>
      <c r="N139" s="205" t="s">
        <v>652</v>
      </c>
      <c r="O139" s="205" t="s">
        <v>652</v>
      </c>
      <c r="P139" s="208" t="s">
        <v>3738</v>
      </c>
      <c r="Q139" s="208" t="s">
        <v>4695</v>
      </c>
      <c r="R139" s="208" t="s">
        <v>4716</v>
      </c>
    </row>
    <row r="140" spans="1:18" s="205" customFormat="1" x14ac:dyDescent="0.2">
      <c r="A140" s="205" t="s">
        <v>358</v>
      </c>
      <c r="B140" s="205" t="s">
        <v>536</v>
      </c>
      <c r="C140" s="200">
        <v>45464</v>
      </c>
      <c r="D140" s="199" t="s">
        <v>152</v>
      </c>
      <c r="E140" s="206">
        <v>49148</v>
      </c>
      <c r="F140" s="206">
        <v>4915</v>
      </c>
      <c r="G140" s="206">
        <v>491</v>
      </c>
      <c r="H140" s="202">
        <f t="shared" si="2"/>
        <v>44724</v>
      </c>
      <c r="I140" s="205" t="s">
        <v>359</v>
      </c>
      <c r="J140" s="205" t="s">
        <v>29</v>
      </c>
      <c r="K140" s="201" t="s">
        <v>1042</v>
      </c>
      <c r="L140" s="205" t="s">
        <v>4717</v>
      </c>
      <c r="M140" s="201" t="s">
        <v>1030</v>
      </c>
      <c r="N140" s="205" t="s">
        <v>652</v>
      </c>
      <c r="O140" s="205" t="s">
        <v>652</v>
      </c>
      <c r="P140" s="208" t="s">
        <v>895</v>
      </c>
      <c r="Q140" s="208" t="s">
        <v>896</v>
      </c>
      <c r="R140" s="208" t="s">
        <v>4716</v>
      </c>
    </row>
    <row r="141" spans="1:18" s="205" customFormat="1" x14ac:dyDescent="0.2">
      <c r="A141" s="205" t="s">
        <v>558</v>
      </c>
      <c r="B141" s="205" t="s">
        <v>559</v>
      </c>
      <c r="C141" s="200">
        <v>45464</v>
      </c>
      <c r="D141" s="199" t="s">
        <v>152</v>
      </c>
      <c r="E141" s="206">
        <v>60380</v>
      </c>
      <c r="F141" s="206">
        <v>6038</v>
      </c>
      <c r="G141" s="206">
        <v>604</v>
      </c>
      <c r="H141" s="202">
        <f t="shared" si="2"/>
        <v>54946</v>
      </c>
      <c r="I141" s="205" t="s">
        <v>31</v>
      </c>
      <c r="J141" s="205" t="s">
        <v>29</v>
      </c>
      <c r="K141" s="201" t="s">
        <v>1042</v>
      </c>
      <c r="L141" s="205" t="s">
        <v>4718</v>
      </c>
      <c r="M141" s="201" t="s">
        <v>1030</v>
      </c>
      <c r="N141" s="205" t="s">
        <v>1046</v>
      </c>
      <c r="O141" s="205" t="s">
        <v>1047</v>
      </c>
      <c r="P141" s="208" t="s">
        <v>653</v>
      </c>
      <c r="Q141" s="208" t="s">
        <v>654</v>
      </c>
      <c r="R141" s="208" t="s">
        <v>4716</v>
      </c>
    </row>
    <row r="142" spans="1:18" s="205" customFormat="1" x14ac:dyDescent="0.2">
      <c r="A142" s="205" t="s">
        <v>4719</v>
      </c>
      <c r="B142" s="205" t="s">
        <v>4720</v>
      </c>
      <c r="C142" s="200">
        <v>45464</v>
      </c>
      <c r="D142" s="199" t="s">
        <v>152</v>
      </c>
      <c r="E142" s="206">
        <v>59418</v>
      </c>
      <c r="F142" s="206">
        <v>5942</v>
      </c>
      <c r="G142" s="206">
        <v>594</v>
      </c>
      <c r="H142" s="202">
        <f t="shared" si="2"/>
        <v>54070</v>
      </c>
      <c r="I142" s="205" t="s">
        <v>4714</v>
      </c>
      <c r="J142" s="205" t="s">
        <v>29</v>
      </c>
      <c r="K142" s="201" t="s">
        <v>1028</v>
      </c>
      <c r="L142" s="205" t="s">
        <v>4721</v>
      </c>
      <c r="M142" s="201" t="s">
        <v>1030</v>
      </c>
      <c r="N142" s="205" t="s">
        <v>652</v>
      </c>
      <c r="O142" s="205" t="s">
        <v>652</v>
      </c>
      <c r="P142" s="208" t="s">
        <v>3738</v>
      </c>
      <c r="Q142" s="208" t="s">
        <v>4695</v>
      </c>
      <c r="R142" s="208" t="s">
        <v>4716</v>
      </c>
    </row>
    <row r="143" spans="1:18" s="205" customFormat="1" x14ac:dyDescent="0.2">
      <c r="A143" s="205" t="s">
        <v>4722</v>
      </c>
      <c r="B143" s="205" t="s">
        <v>4723</v>
      </c>
      <c r="C143" s="200">
        <v>45464</v>
      </c>
      <c r="D143" s="199" t="s">
        <v>152</v>
      </c>
      <c r="E143" s="206">
        <v>35200</v>
      </c>
      <c r="F143" s="206">
        <v>3520</v>
      </c>
      <c r="G143" s="206">
        <v>352</v>
      </c>
      <c r="H143" s="202">
        <f t="shared" si="2"/>
        <v>32032</v>
      </c>
      <c r="I143" s="205" t="s">
        <v>4714</v>
      </c>
      <c r="J143" s="205" t="s">
        <v>29</v>
      </c>
      <c r="K143" s="201" t="s">
        <v>1028</v>
      </c>
      <c r="L143" s="205" t="s">
        <v>4724</v>
      </c>
      <c r="M143" s="201" t="s">
        <v>1030</v>
      </c>
      <c r="N143" s="205" t="s">
        <v>652</v>
      </c>
      <c r="O143" s="205" t="s">
        <v>652</v>
      </c>
      <c r="P143" s="208" t="s">
        <v>3738</v>
      </c>
      <c r="Q143" s="208" t="s">
        <v>4695</v>
      </c>
      <c r="R143" s="208" t="s">
        <v>4716</v>
      </c>
    </row>
    <row r="144" spans="1:18" s="205" customFormat="1" x14ac:dyDescent="0.2">
      <c r="A144" s="205" t="s">
        <v>558</v>
      </c>
      <c r="B144" s="205" t="s">
        <v>559</v>
      </c>
      <c r="C144" s="200">
        <v>45464</v>
      </c>
      <c r="D144" s="199" t="s">
        <v>152</v>
      </c>
      <c r="E144" s="206">
        <v>22124</v>
      </c>
      <c r="F144" s="206">
        <v>2212</v>
      </c>
      <c r="G144" s="206">
        <v>221</v>
      </c>
      <c r="H144" s="202">
        <f t="shared" si="2"/>
        <v>20133</v>
      </c>
      <c r="I144" s="205" t="s">
        <v>31</v>
      </c>
      <c r="J144" s="205" t="s">
        <v>29</v>
      </c>
      <c r="K144" s="201" t="s">
        <v>1042</v>
      </c>
      <c r="L144" s="205" t="s">
        <v>4725</v>
      </c>
      <c r="M144" s="201" t="s">
        <v>1030</v>
      </c>
      <c r="N144" s="205" t="s">
        <v>1046</v>
      </c>
      <c r="O144" s="205" t="s">
        <v>1047</v>
      </c>
      <c r="P144" s="208" t="s">
        <v>653</v>
      </c>
      <c r="Q144" s="208" t="s">
        <v>654</v>
      </c>
      <c r="R144" s="208" t="s">
        <v>4716</v>
      </c>
    </row>
    <row r="145" spans="1:18" s="205" customFormat="1" x14ac:dyDescent="0.2">
      <c r="A145" s="205" t="s">
        <v>382</v>
      </c>
      <c r="B145" s="205" t="s">
        <v>381</v>
      </c>
      <c r="C145" s="200">
        <v>45464</v>
      </c>
      <c r="D145" s="199" t="s">
        <v>152</v>
      </c>
      <c r="E145" s="206">
        <v>49619</v>
      </c>
      <c r="F145" s="206">
        <v>4962</v>
      </c>
      <c r="G145" s="206">
        <v>496</v>
      </c>
      <c r="H145" s="202">
        <f t="shared" si="2"/>
        <v>45153</v>
      </c>
      <c r="I145" s="205" t="s">
        <v>28</v>
      </c>
      <c r="J145" s="205" t="s">
        <v>29</v>
      </c>
      <c r="K145" s="201" t="s">
        <v>1042</v>
      </c>
      <c r="L145" s="205" t="s">
        <v>4726</v>
      </c>
      <c r="M145" s="201" t="s">
        <v>1030</v>
      </c>
      <c r="N145" s="205" t="s">
        <v>652</v>
      </c>
      <c r="O145" s="205" t="s">
        <v>652</v>
      </c>
      <c r="P145" s="208" t="s">
        <v>497</v>
      </c>
      <c r="Q145" s="208" t="s">
        <v>773</v>
      </c>
      <c r="R145" s="208" t="s">
        <v>4716</v>
      </c>
    </row>
    <row r="146" spans="1:18" s="205" customFormat="1" x14ac:dyDescent="0.2">
      <c r="A146" s="205" t="s">
        <v>129</v>
      </c>
      <c r="B146" s="205" t="s">
        <v>375</v>
      </c>
      <c r="C146" s="200">
        <v>45464</v>
      </c>
      <c r="D146" s="199" t="s">
        <v>152</v>
      </c>
      <c r="E146" s="206">
        <v>8470</v>
      </c>
      <c r="F146" s="206">
        <v>847</v>
      </c>
      <c r="G146" s="206">
        <v>85</v>
      </c>
      <c r="H146" s="202">
        <f t="shared" si="2"/>
        <v>7708</v>
      </c>
      <c r="I146" s="205" t="s">
        <v>58</v>
      </c>
      <c r="J146" s="205" t="s">
        <v>29</v>
      </c>
      <c r="K146" s="201" t="s">
        <v>1042</v>
      </c>
      <c r="L146" s="205" t="s">
        <v>4727</v>
      </c>
      <c r="M146" s="201" t="s">
        <v>1030</v>
      </c>
      <c r="N146" s="205" t="s">
        <v>652</v>
      </c>
      <c r="O146" s="205" t="s">
        <v>652</v>
      </c>
      <c r="P146" s="208" t="s">
        <v>718</v>
      </c>
      <c r="Q146" s="208" t="s">
        <v>719</v>
      </c>
      <c r="R146" s="208" t="s">
        <v>4716</v>
      </c>
    </row>
    <row r="147" spans="1:18" s="205" customFormat="1" x14ac:dyDescent="0.2">
      <c r="A147" s="205" t="s">
        <v>64</v>
      </c>
      <c r="B147" s="205" t="s">
        <v>514</v>
      </c>
      <c r="C147" s="200">
        <v>45464</v>
      </c>
      <c r="D147" s="199" t="s">
        <v>152</v>
      </c>
      <c r="E147" s="206">
        <v>294415</v>
      </c>
      <c r="F147" s="206">
        <v>29442</v>
      </c>
      <c r="G147" s="206">
        <v>2944</v>
      </c>
      <c r="H147" s="202">
        <f t="shared" si="2"/>
        <v>267917</v>
      </c>
      <c r="I147" s="205" t="s">
        <v>31</v>
      </c>
      <c r="J147" s="205" t="s">
        <v>29</v>
      </c>
      <c r="K147" s="201" t="s">
        <v>1042</v>
      </c>
      <c r="L147" s="205" t="s">
        <v>4728</v>
      </c>
      <c r="M147" s="201" t="s">
        <v>1030</v>
      </c>
      <c r="N147" s="205" t="s">
        <v>652</v>
      </c>
      <c r="O147" s="205" t="s">
        <v>652</v>
      </c>
      <c r="P147" s="208" t="s">
        <v>653</v>
      </c>
      <c r="Q147" s="208" t="s">
        <v>654</v>
      </c>
      <c r="R147" s="208" t="s">
        <v>4716</v>
      </c>
    </row>
    <row r="148" spans="1:18" s="205" customFormat="1" x14ac:dyDescent="0.2">
      <c r="A148" s="205" t="s">
        <v>1038</v>
      </c>
      <c r="B148" s="205" t="s">
        <v>1039</v>
      </c>
      <c r="C148" s="200">
        <v>45465</v>
      </c>
      <c r="D148" s="199" t="s">
        <v>152</v>
      </c>
      <c r="E148" s="206">
        <v>38719</v>
      </c>
      <c r="F148" s="206">
        <v>3872</v>
      </c>
      <c r="G148" s="206">
        <v>387</v>
      </c>
      <c r="H148" s="202">
        <f t="shared" si="2"/>
        <v>35234</v>
      </c>
      <c r="I148" s="205" t="s">
        <v>1040</v>
      </c>
      <c r="J148" s="205" t="s">
        <v>29</v>
      </c>
      <c r="K148" s="201" t="s">
        <v>1042</v>
      </c>
      <c r="L148" s="205" t="s">
        <v>4729</v>
      </c>
      <c r="M148" s="201" t="s">
        <v>1030</v>
      </c>
      <c r="N148" s="205" t="s">
        <v>652</v>
      </c>
      <c r="O148" s="205" t="s">
        <v>652</v>
      </c>
      <c r="P148" s="208" t="s">
        <v>987</v>
      </c>
      <c r="Q148" s="208" t="s">
        <v>988</v>
      </c>
      <c r="R148" s="208" t="s">
        <v>845</v>
      </c>
    </row>
    <row r="149" spans="1:18" s="205" customFormat="1" x14ac:dyDescent="0.2">
      <c r="A149" s="205" t="s">
        <v>331</v>
      </c>
      <c r="B149" s="205" t="s">
        <v>576</v>
      </c>
      <c r="C149" s="200">
        <v>45465</v>
      </c>
      <c r="D149" s="199" t="s">
        <v>152</v>
      </c>
      <c r="E149" s="206">
        <v>16231</v>
      </c>
      <c r="F149" s="206">
        <v>1623</v>
      </c>
      <c r="G149" s="206">
        <v>162</v>
      </c>
      <c r="H149" s="202">
        <f t="shared" si="2"/>
        <v>14770</v>
      </c>
      <c r="I149" s="205" t="s">
        <v>31</v>
      </c>
      <c r="J149" s="205" t="s">
        <v>29</v>
      </c>
      <c r="K149" s="201" t="s">
        <v>1042</v>
      </c>
      <c r="L149" s="205" t="s">
        <v>4730</v>
      </c>
      <c r="M149" s="201" t="s">
        <v>1030</v>
      </c>
      <c r="N149" s="205" t="s">
        <v>652</v>
      </c>
      <c r="O149" s="205" t="s">
        <v>652</v>
      </c>
      <c r="P149" s="208" t="s">
        <v>653</v>
      </c>
      <c r="Q149" s="208" t="s">
        <v>654</v>
      </c>
      <c r="R149" s="208" t="s">
        <v>845</v>
      </c>
    </row>
    <row r="150" spans="1:18" s="205" customFormat="1" x14ac:dyDescent="0.2">
      <c r="A150" s="205" t="s">
        <v>110</v>
      </c>
      <c r="B150" s="205" t="s">
        <v>616</v>
      </c>
      <c r="C150" s="200">
        <v>45465</v>
      </c>
      <c r="D150" s="199" t="s">
        <v>152</v>
      </c>
      <c r="E150" s="206">
        <v>57256</v>
      </c>
      <c r="F150" s="206">
        <v>5726</v>
      </c>
      <c r="G150" s="206">
        <v>573</v>
      </c>
      <c r="H150" s="202">
        <f t="shared" si="2"/>
        <v>52103</v>
      </c>
      <c r="I150" s="205" t="s">
        <v>32</v>
      </c>
      <c r="J150" s="205" t="s">
        <v>29</v>
      </c>
      <c r="K150" s="201" t="s">
        <v>1042</v>
      </c>
      <c r="L150" s="205" t="s">
        <v>4731</v>
      </c>
      <c r="M150" s="201" t="s">
        <v>1030</v>
      </c>
      <c r="N150" s="205" t="s">
        <v>652</v>
      </c>
      <c r="O150" s="205" t="s">
        <v>652</v>
      </c>
      <c r="P150" s="208" t="s">
        <v>653</v>
      </c>
      <c r="Q150" s="208" t="s">
        <v>654</v>
      </c>
      <c r="R150" s="208" t="s">
        <v>845</v>
      </c>
    </row>
    <row r="151" spans="1:18" s="205" customFormat="1" x14ac:dyDescent="0.2">
      <c r="A151" s="205" t="s">
        <v>170</v>
      </c>
      <c r="B151" s="205" t="s">
        <v>632</v>
      </c>
      <c r="C151" s="200">
        <v>45465</v>
      </c>
      <c r="D151" s="199" t="s">
        <v>152</v>
      </c>
      <c r="E151" s="206">
        <v>13992</v>
      </c>
      <c r="F151" s="206">
        <v>1399</v>
      </c>
      <c r="G151" s="206">
        <v>140</v>
      </c>
      <c r="H151" s="202">
        <f t="shared" si="2"/>
        <v>12733</v>
      </c>
      <c r="I151" s="205" t="s">
        <v>171</v>
      </c>
      <c r="J151" s="205" t="s">
        <v>29</v>
      </c>
      <c r="K151" s="201" t="s">
        <v>1042</v>
      </c>
      <c r="L151" s="205" t="s">
        <v>4732</v>
      </c>
      <c r="M151" s="201" t="s">
        <v>1030</v>
      </c>
      <c r="N151" s="205" t="s">
        <v>652</v>
      </c>
      <c r="O151" s="205" t="s">
        <v>652</v>
      </c>
      <c r="P151" s="208" t="s">
        <v>657</v>
      </c>
      <c r="Q151" s="208" t="s">
        <v>658</v>
      </c>
      <c r="R151" s="208" t="s">
        <v>845</v>
      </c>
    </row>
    <row r="152" spans="1:18" s="205" customFormat="1" x14ac:dyDescent="0.2">
      <c r="A152" s="205" t="s">
        <v>277</v>
      </c>
      <c r="B152" s="205" t="s">
        <v>4733</v>
      </c>
      <c r="C152" s="200">
        <v>45467</v>
      </c>
      <c r="D152" s="199" t="s">
        <v>152</v>
      </c>
      <c r="E152" s="206">
        <v>6595784</v>
      </c>
      <c r="F152" s="206">
        <v>659578</v>
      </c>
      <c r="G152" s="206">
        <v>65958</v>
      </c>
      <c r="H152" s="202">
        <f t="shared" si="2"/>
        <v>6002164</v>
      </c>
      <c r="I152" s="205" t="s">
        <v>31</v>
      </c>
      <c r="J152" s="205" t="s">
        <v>29</v>
      </c>
      <c r="K152" s="201" t="s">
        <v>1028</v>
      </c>
      <c r="L152" s="205" t="s">
        <v>4734</v>
      </c>
      <c r="M152" s="201" t="s">
        <v>652</v>
      </c>
      <c r="N152" s="205" t="s">
        <v>3336</v>
      </c>
      <c r="O152" s="205" t="s">
        <v>1061</v>
      </c>
      <c r="P152" s="208" t="s">
        <v>1534</v>
      </c>
      <c r="Q152" s="208" t="s">
        <v>3748</v>
      </c>
      <c r="R152" s="208" t="s">
        <v>886</v>
      </c>
    </row>
    <row r="153" spans="1:18" s="205" customFormat="1" x14ac:dyDescent="0.2">
      <c r="A153" s="205" t="s">
        <v>4735</v>
      </c>
      <c r="B153" s="205" t="s">
        <v>4736</v>
      </c>
      <c r="C153" s="200">
        <v>45467</v>
      </c>
      <c r="D153" s="199" t="s">
        <v>152</v>
      </c>
      <c r="E153" s="206">
        <v>38660</v>
      </c>
      <c r="F153" s="206">
        <v>3866</v>
      </c>
      <c r="G153" s="206">
        <v>387</v>
      </c>
      <c r="H153" s="202">
        <f t="shared" si="2"/>
        <v>35181</v>
      </c>
      <c r="I153" s="205" t="s">
        <v>107</v>
      </c>
      <c r="J153" s="205" t="s">
        <v>29</v>
      </c>
      <c r="K153" s="199" t="s">
        <v>1058</v>
      </c>
      <c r="L153" s="205" t="s">
        <v>4737</v>
      </c>
      <c r="M153" s="201" t="s">
        <v>1072</v>
      </c>
      <c r="N153" s="205" t="s">
        <v>652</v>
      </c>
      <c r="O153" s="205" t="s">
        <v>652</v>
      </c>
      <c r="P153" s="208" t="s">
        <v>3035</v>
      </c>
      <c r="Q153" s="208" t="s">
        <v>4490</v>
      </c>
      <c r="R153" s="208" t="s">
        <v>886</v>
      </c>
    </row>
    <row r="154" spans="1:18" s="205" customFormat="1" x14ac:dyDescent="0.2">
      <c r="A154" s="205" t="s">
        <v>4735</v>
      </c>
      <c r="B154" s="205" t="s">
        <v>4738</v>
      </c>
      <c r="C154" s="200">
        <v>45467</v>
      </c>
      <c r="D154" s="199" t="s">
        <v>152</v>
      </c>
      <c r="E154" s="206">
        <v>4938</v>
      </c>
      <c r="F154" s="206">
        <v>494</v>
      </c>
      <c r="G154" s="206">
        <v>49</v>
      </c>
      <c r="H154" s="202">
        <f t="shared" si="2"/>
        <v>4493</v>
      </c>
      <c r="I154" s="205" t="s">
        <v>107</v>
      </c>
      <c r="J154" s="205" t="s">
        <v>29</v>
      </c>
      <c r="K154" s="199" t="s">
        <v>1058</v>
      </c>
      <c r="L154" s="205" t="s">
        <v>4739</v>
      </c>
      <c r="M154" s="201" t="s">
        <v>1072</v>
      </c>
      <c r="N154" s="205" t="s">
        <v>652</v>
      </c>
      <c r="O154" s="205" t="s">
        <v>652</v>
      </c>
      <c r="P154" s="208" t="s">
        <v>3035</v>
      </c>
      <c r="Q154" s="208" t="s">
        <v>4490</v>
      </c>
      <c r="R154" s="208" t="s">
        <v>886</v>
      </c>
    </row>
    <row r="155" spans="1:18" s="205" customFormat="1" x14ac:dyDescent="0.2">
      <c r="A155" s="205" t="s">
        <v>4740</v>
      </c>
      <c r="B155" s="205" t="s">
        <v>4741</v>
      </c>
      <c r="C155" s="200">
        <v>45467</v>
      </c>
      <c r="D155" s="199" t="s">
        <v>152</v>
      </c>
      <c r="E155" s="206">
        <v>40588</v>
      </c>
      <c r="F155" s="206">
        <v>4059</v>
      </c>
      <c r="G155" s="206">
        <v>406</v>
      </c>
      <c r="H155" s="202">
        <f t="shared" si="2"/>
        <v>36935</v>
      </c>
      <c r="I155" s="205" t="s">
        <v>107</v>
      </c>
      <c r="J155" s="205" t="s">
        <v>29</v>
      </c>
      <c r="K155" s="199" t="s">
        <v>1058</v>
      </c>
      <c r="L155" s="205" t="s">
        <v>4742</v>
      </c>
      <c r="M155" s="201" t="s">
        <v>1072</v>
      </c>
      <c r="N155" s="205" t="s">
        <v>652</v>
      </c>
      <c r="O155" s="205" t="s">
        <v>652</v>
      </c>
      <c r="P155" s="208" t="s">
        <v>845</v>
      </c>
      <c r="Q155" s="208" t="s">
        <v>4743</v>
      </c>
      <c r="R155" s="208" t="s">
        <v>886</v>
      </c>
    </row>
    <row r="156" spans="1:18" s="205" customFormat="1" x14ac:dyDescent="0.2">
      <c r="A156" s="205" t="s">
        <v>4744</v>
      </c>
      <c r="B156" s="205" t="s">
        <v>4745</v>
      </c>
      <c r="C156" s="200">
        <v>45467</v>
      </c>
      <c r="D156" s="199" t="s">
        <v>152</v>
      </c>
      <c r="E156" s="206">
        <v>67877</v>
      </c>
      <c r="F156" s="206">
        <v>6788</v>
      </c>
      <c r="G156" s="206">
        <v>679</v>
      </c>
      <c r="H156" s="202">
        <f t="shared" si="2"/>
        <v>61768</v>
      </c>
      <c r="I156" s="205" t="s">
        <v>82</v>
      </c>
      <c r="J156" s="205" t="s">
        <v>29</v>
      </c>
      <c r="K156" s="199" t="s">
        <v>1028</v>
      </c>
      <c r="L156" s="205" t="s">
        <v>4746</v>
      </c>
      <c r="M156" s="201" t="s">
        <v>1030</v>
      </c>
      <c r="N156" s="205" t="s">
        <v>652</v>
      </c>
      <c r="O156" s="205" t="s">
        <v>652</v>
      </c>
      <c r="P156" s="208" t="s">
        <v>872</v>
      </c>
      <c r="Q156" s="208" t="s">
        <v>942</v>
      </c>
      <c r="R156" s="208" t="s">
        <v>886</v>
      </c>
    </row>
    <row r="157" spans="1:18" s="205" customFormat="1" x14ac:dyDescent="0.2">
      <c r="A157" s="205" t="s">
        <v>515</v>
      </c>
      <c r="B157" s="205" t="s">
        <v>4747</v>
      </c>
      <c r="C157" s="200">
        <v>45467</v>
      </c>
      <c r="D157" s="199" t="s">
        <v>152</v>
      </c>
      <c r="E157" s="206">
        <v>40588</v>
      </c>
      <c r="F157" s="206">
        <v>4059</v>
      </c>
      <c r="G157" s="206">
        <v>406</v>
      </c>
      <c r="H157" s="202">
        <f t="shared" si="2"/>
        <v>36935</v>
      </c>
      <c r="I157" s="205" t="s">
        <v>217</v>
      </c>
      <c r="J157" s="205" t="s">
        <v>29</v>
      </c>
      <c r="K157" s="199" t="s">
        <v>1028</v>
      </c>
      <c r="L157" s="205" t="s">
        <v>4748</v>
      </c>
      <c r="M157" s="201" t="s">
        <v>1030</v>
      </c>
      <c r="N157" s="205" t="s">
        <v>652</v>
      </c>
      <c r="O157" s="205" t="s">
        <v>652</v>
      </c>
      <c r="P157" s="208" t="s">
        <v>739</v>
      </c>
      <c r="Q157" s="208" t="s">
        <v>807</v>
      </c>
      <c r="R157" s="208" t="s">
        <v>886</v>
      </c>
    </row>
    <row r="158" spans="1:18" s="205" customFormat="1" x14ac:dyDescent="0.2">
      <c r="A158" s="205" t="s">
        <v>64</v>
      </c>
      <c r="B158" s="205" t="s">
        <v>514</v>
      </c>
      <c r="C158" s="200">
        <v>45467</v>
      </c>
      <c r="D158" s="199" t="s">
        <v>152</v>
      </c>
      <c r="E158" s="206">
        <v>510138</v>
      </c>
      <c r="F158" s="206">
        <v>51014</v>
      </c>
      <c r="G158" s="206">
        <v>5101</v>
      </c>
      <c r="H158" s="202">
        <f t="shared" si="2"/>
        <v>464225</v>
      </c>
      <c r="I158" s="205" t="s">
        <v>31</v>
      </c>
      <c r="J158" s="205" t="s">
        <v>29</v>
      </c>
      <c r="K158" s="199" t="s">
        <v>1042</v>
      </c>
      <c r="L158" s="205" t="s">
        <v>4749</v>
      </c>
      <c r="M158" s="201" t="s">
        <v>1030</v>
      </c>
      <c r="N158" s="205" t="s">
        <v>652</v>
      </c>
      <c r="O158" s="205" t="s">
        <v>652</v>
      </c>
      <c r="P158" s="208" t="s">
        <v>653</v>
      </c>
      <c r="Q158" s="208" t="s">
        <v>654</v>
      </c>
      <c r="R158" s="208" t="s">
        <v>886</v>
      </c>
    </row>
    <row r="159" spans="1:18" s="205" customFormat="1" x14ac:dyDescent="0.2">
      <c r="A159" s="209" t="s">
        <v>27</v>
      </c>
      <c r="B159" s="209" t="s">
        <v>531</v>
      </c>
      <c r="C159" s="210">
        <v>45467</v>
      </c>
      <c r="D159" s="199" t="s">
        <v>152</v>
      </c>
      <c r="E159" s="211">
        <v>6177</v>
      </c>
      <c r="F159" s="211">
        <v>618</v>
      </c>
      <c r="G159" s="211">
        <v>62</v>
      </c>
      <c r="H159" s="202">
        <f t="shared" si="2"/>
        <v>5621</v>
      </c>
      <c r="I159" s="209" t="s">
        <v>28</v>
      </c>
      <c r="J159" s="209" t="s">
        <v>29</v>
      </c>
      <c r="K159" s="201" t="s">
        <v>1042</v>
      </c>
      <c r="L159" s="209" t="s">
        <v>4750</v>
      </c>
      <c r="M159" s="201" t="s">
        <v>1030</v>
      </c>
      <c r="N159" s="209" t="s">
        <v>652</v>
      </c>
      <c r="O159" s="209" t="s">
        <v>652</v>
      </c>
      <c r="P159" s="213" t="s">
        <v>764</v>
      </c>
      <c r="Q159" s="213" t="s">
        <v>765</v>
      </c>
      <c r="R159" s="213" t="s">
        <v>886</v>
      </c>
    </row>
    <row r="160" spans="1:18" s="205" customFormat="1" x14ac:dyDescent="0.2">
      <c r="A160" s="209" t="s">
        <v>4751</v>
      </c>
      <c r="B160" s="209" t="s">
        <v>120</v>
      </c>
      <c r="C160" s="210">
        <v>45467</v>
      </c>
      <c r="D160" s="199" t="s">
        <v>152</v>
      </c>
      <c r="E160" s="211">
        <v>69853</v>
      </c>
      <c r="F160" s="211">
        <v>6985</v>
      </c>
      <c r="G160" s="211">
        <v>699</v>
      </c>
      <c r="H160" s="202">
        <f t="shared" si="2"/>
        <v>63567</v>
      </c>
      <c r="I160" s="209" t="s">
        <v>31</v>
      </c>
      <c r="J160" s="209" t="s">
        <v>29</v>
      </c>
      <c r="K160" s="201" t="s">
        <v>1028</v>
      </c>
      <c r="L160" s="209" t="s">
        <v>4752</v>
      </c>
      <c r="M160" s="201" t="s">
        <v>1030</v>
      </c>
      <c r="N160" s="209" t="s">
        <v>652</v>
      </c>
      <c r="O160" s="209" t="s">
        <v>652</v>
      </c>
      <c r="P160" s="213" t="s">
        <v>653</v>
      </c>
      <c r="Q160" s="213" t="s">
        <v>654</v>
      </c>
      <c r="R160" s="213" t="s">
        <v>886</v>
      </c>
    </row>
    <row r="161" spans="1:18" s="205" customFormat="1" x14ac:dyDescent="0.2">
      <c r="A161" s="205" t="s">
        <v>4753</v>
      </c>
      <c r="B161" s="205" t="s">
        <v>120</v>
      </c>
      <c r="C161" s="200">
        <v>45467</v>
      </c>
      <c r="D161" s="199" t="s">
        <v>152</v>
      </c>
      <c r="E161" s="206">
        <v>40628</v>
      </c>
      <c r="F161" s="206">
        <v>4063</v>
      </c>
      <c r="G161" s="206">
        <v>406</v>
      </c>
      <c r="H161" s="202">
        <f t="shared" si="2"/>
        <v>36971</v>
      </c>
      <c r="I161" s="205" t="s">
        <v>31</v>
      </c>
      <c r="J161" s="205" t="s">
        <v>29</v>
      </c>
      <c r="K161" s="201" t="s">
        <v>1028</v>
      </c>
      <c r="L161" s="205" t="s">
        <v>4754</v>
      </c>
      <c r="M161" s="201" t="s">
        <v>1030</v>
      </c>
      <c r="N161" s="205" t="s">
        <v>652</v>
      </c>
      <c r="O161" s="205" t="s">
        <v>652</v>
      </c>
      <c r="P161" s="214" t="s">
        <v>663</v>
      </c>
      <c r="Q161" s="214" t="s">
        <v>723</v>
      </c>
      <c r="R161" s="214" t="s">
        <v>886</v>
      </c>
    </row>
    <row r="162" spans="1:18" s="205" customFormat="1" x14ac:dyDescent="0.2">
      <c r="A162" s="205" t="s">
        <v>4755</v>
      </c>
      <c r="B162" s="205" t="s">
        <v>120</v>
      </c>
      <c r="C162" s="200">
        <v>45467</v>
      </c>
      <c r="D162" s="199" t="s">
        <v>152</v>
      </c>
      <c r="E162" s="206">
        <v>38699</v>
      </c>
      <c r="F162" s="206">
        <v>3870</v>
      </c>
      <c r="G162" s="206">
        <v>387</v>
      </c>
      <c r="H162" s="202">
        <f t="shared" si="2"/>
        <v>35216</v>
      </c>
      <c r="I162" s="205" t="s">
        <v>31</v>
      </c>
      <c r="J162" s="205" t="s">
        <v>29</v>
      </c>
      <c r="K162" s="201" t="s">
        <v>1028</v>
      </c>
      <c r="L162" s="205" t="s">
        <v>4756</v>
      </c>
      <c r="M162" s="201" t="s">
        <v>1030</v>
      </c>
      <c r="N162" s="205" t="s">
        <v>652</v>
      </c>
      <c r="O162" s="205" t="s">
        <v>652</v>
      </c>
      <c r="P162" s="208" t="s">
        <v>663</v>
      </c>
      <c r="Q162" s="208" t="s">
        <v>723</v>
      </c>
      <c r="R162" s="208" t="s">
        <v>886</v>
      </c>
    </row>
    <row r="163" spans="1:18" s="205" customFormat="1" x14ac:dyDescent="0.2">
      <c r="A163" s="205" t="s">
        <v>4757</v>
      </c>
      <c r="B163" s="205" t="s">
        <v>120</v>
      </c>
      <c r="C163" s="200">
        <v>45467</v>
      </c>
      <c r="D163" s="199" t="s">
        <v>152</v>
      </c>
      <c r="E163" s="206">
        <v>30095</v>
      </c>
      <c r="F163" s="206">
        <v>3010</v>
      </c>
      <c r="G163" s="206">
        <v>301</v>
      </c>
      <c r="H163" s="202">
        <f t="shared" si="2"/>
        <v>27386</v>
      </c>
      <c r="I163" s="205" t="s">
        <v>31</v>
      </c>
      <c r="J163" s="205" t="s">
        <v>29</v>
      </c>
      <c r="K163" s="201" t="s">
        <v>1028</v>
      </c>
      <c r="L163" s="205" t="s">
        <v>4758</v>
      </c>
      <c r="M163" s="201" t="s">
        <v>1030</v>
      </c>
      <c r="N163" s="205" t="s">
        <v>652</v>
      </c>
      <c r="O163" s="205" t="s">
        <v>652</v>
      </c>
      <c r="P163" s="208" t="s">
        <v>663</v>
      </c>
      <c r="Q163" s="208" t="s">
        <v>723</v>
      </c>
      <c r="R163" s="208" t="s">
        <v>886</v>
      </c>
    </row>
    <row r="164" spans="1:18" s="205" customFormat="1" x14ac:dyDescent="0.2">
      <c r="A164" s="205" t="s">
        <v>4759</v>
      </c>
      <c r="B164" s="205" t="s">
        <v>120</v>
      </c>
      <c r="C164" s="200">
        <v>45467</v>
      </c>
      <c r="D164" s="199" t="s">
        <v>152</v>
      </c>
      <c r="E164" s="206">
        <v>43177</v>
      </c>
      <c r="F164" s="206">
        <v>4318</v>
      </c>
      <c r="G164" s="206">
        <v>432</v>
      </c>
      <c r="H164" s="202">
        <f t="shared" si="2"/>
        <v>39291</v>
      </c>
      <c r="I164" s="205" t="s">
        <v>31</v>
      </c>
      <c r="J164" s="205" t="s">
        <v>29</v>
      </c>
      <c r="K164" s="201" t="s">
        <v>1028</v>
      </c>
      <c r="L164" s="205" t="s">
        <v>4760</v>
      </c>
      <c r="M164" s="201" t="s">
        <v>1030</v>
      </c>
      <c r="N164" s="205" t="s">
        <v>652</v>
      </c>
      <c r="O164" s="205" t="s">
        <v>652</v>
      </c>
      <c r="P164" s="208" t="s">
        <v>663</v>
      </c>
      <c r="Q164" s="208" t="s">
        <v>723</v>
      </c>
      <c r="R164" s="208" t="s">
        <v>886</v>
      </c>
    </row>
    <row r="165" spans="1:18" s="205" customFormat="1" x14ac:dyDescent="0.2">
      <c r="A165" s="205" t="s">
        <v>172</v>
      </c>
      <c r="B165" s="205" t="s">
        <v>4684</v>
      </c>
      <c r="C165" s="200">
        <v>45467</v>
      </c>
      <c r="D165" s="199" t="s">
        <v>152</v>
      </c>
      <c r="E165" s="206">
        <v>26874</v>
      </c>
      <c r="F165" s="206">
        <v>2687</v>
      </c>
      <c r="G165" s="206">
        <v>269</v>
      </c>
      <c r="H165" s="202">
        <f t="shared" si="2"/>
        <v>24456</v>
      </c>
      <c r="I165" s="205" t="s">
        <v>4685</v>
      </c>
      <c r="J165" s="205" t="s">
        <v>29</v>
      </c>
      <c r="K165" s="201" t="s">
        <v>1042</v>
      </c>
      <c r="L165" s="205" t="s">
        <v>4761</v>
      </c>
      <c r="M165" s="201" t="s">
        <v>1030</v>
      </c>
      <c r="N165" s="205" t="s">
        <v>652</v>
      </c>
      <c r="O165" s="205" t="s">
        <v>652</v>
      </c>
      <c r="P165" s="208" t="s">
        <v>1534</v>
      </c>
      <c r="Q165" s="208" t="s">
        <v>3748</v>
      </c>
      <c r="R165" s="208" t="s">
        <v>886</v>
      </c>
    </row>
    <row r="166" spans="1:18" s="205" customFormat="1" x14ac:dyDescent="0.2">
      <c r="A166" s="205" t="s">
        <v>102</v>
      </c>
      <c r="B166" s="205" t="s">
        <v>4419</v>
      </c>
      <c r="C166" s="200">
        <v>45467</v>
      </c>
      <c r="D166" s="199" t="s">
        <v>152</v>
      </c>
      <c r="E166" s="206">
        <v>26899</v>
      </c>
      <c r="F166" s="206">
        <v>2690</v>
      </c>
      <c r="G166" s="206">
        <v>269</v>
      </c>
      <c r="H166" s="202">
        <f t="shared" si="2"/>
        <v>24478</v>
      </c>
      <c r="I166" s="205" t="s">
        <v>31</v>
      </c>
      <c r="J166" s="205" t="s">
        <v>29</v>
      </c>
      <c r="K166" s="201" t="s">
        <v>1042</v>
      </c>
      <c r="L166" s="205" t="s">
        <v>4762</v>
      </c>
      <c r="M166" s="201" t="s">
        <v>1030</v>
      </c>
      <c r="N166" s="205" t="s">
        <v>652</v>
      </c>
      <c r="O166" s="205" t="s">
        <v>652</v>
      </c>
      <c r="P166" s="208" t="s">
        <v>1534</v>
      </c>
      <c r="Q166" s="208" t="s">
        <v>3748</v>
      </c>
      <c r="R166" s="208" t="s">
        <v>886</v>
      </c>
    </row>
    <row r="167" spans="1:18" s="205" customFormat="1" x14ac:dyDescent="0.2">
      <c r="A167" s="205" t="s">
        <v>1322</v>
      </c>
      <c r="B167" s="205" t="s">
        <v>1323</v>
      </c>
      <c r="C167" s="200">
        <v>45468</v>
      </c>
      <c r="D167" s="199" t="s">
        <v>152</v>
      </c>
      <c r="E167" s="206">
        <v>25139</v>
      </c>
      <c r="F167" s="206">
        <v>2514</v>
      </c>
      <c r="G167" s="206">
        <v>251</v>
      </c>
      <c r="H167" s="202">
        <f t="shared" si="2"/>
        <v>22876</v>
      </c>
      <c r="I167" s="205" t="s">
        <v>46</v>
      </c>
      <c r="J167" s="205" t="s">
        <v>29</v>
      </c>
      <c r="K167" s="201" t="s">
        <v>1042</v>
      </c>
      <c r="L167" s="205" t="s">
        <v>4763</v>
      </c>
      <c r="M167" s="201" t="s">
        <v>1030</v>
      </c>
      <c r="N167" s="205" t="s">
        <v>652</v>
      </c>
      <c r="O167" s="205" t="s">
        <v>652</v>
      </c>
      <c r="P167" s="208" t="s">
        <v>895</v>
      </c>
      <c r="Q167" s="208" t="s">
        <v>896</v>
      </c>
      <c r="R167" s="208" t="s">
        <v>4764</v>
      </c>
    </row>
    <row r="168" spans="1:18" s="205" customFormat="1" x14ac:dyDescent="0.2">
      <c r="A168" s="205" t="s">
        <v>4765</v>
      </c>
      <c r="B168" s="205" t="s">
        <v>2330</v>
      </c>
      <c r="C168" s="200">
        <v>45468</v>
      </c>
      <c r="D168" s="199" t="s">
        <v>152</v>
      </c>
      <c r="E168" s="206">
        <v>90769</v>
      </c>
      <c r="F168" s="206">
        <v>9077</v>
      </c>
      <c r="G168" s="206">
        <v>908</v>
      </c>
      <c r="H168" s="202">
        <f t="shared" si="2"/>
        <v>82600</v>
      </c>
      <c r="I168" s="205" t="s">
        <v>46</v>
      </c>
      <c r="J168" s="205" t="s">
        <v>29</v>
      </c>
      <c r="K168" s="201" t="s">
        <v>1058</v>
      </c>
      <c r="L168" s="205" t="s">
        <v>4766</v>
      </c>
      <c r="M168" s="201" t="s">
        <v>1030</v>
      </c>
      <c r="N168" s="205" t="s">
        <v>652</v>
      </c>
      <c r="O168" s="205" t="s">
        <v>652</v>
      </c>
      <c r="P168" s="208" t="s">
        <v>703</v>
      </c>
      <c r="Q168" s="208" t="s">
        <v>704</v>
      </c>
      <c r="R168" s="208" t="s">
        <v>4764</v>
      </c>
    </row>
    <row r="169" spans="1:18" s="205" customFormat="1" x14ac:dyDescent="0.2">
      <c r="A169" s="205" t="s">
        <v>4767</v>
      </c>
      <c r="B169" s="205" t="s">
        <v>4768</v>
      </c>
      <c r="C169" s="200">
        <v>45469</v>
      </c>
      <c r="D169" s="199" t="s">
        <v>152</v>
      </c>
      <c r="E169" s="206">
        <v>51703</v>
      </c>
      <c r="F169" s="206">
        <v>5170</v>
      </c>
      <c r="G169" s="206">
        <v>517</v>
      </c>
      <c r="H169" s="202">
        <f t="shared" si="2"/>
        <v>47050</v>
      </c>
      <c r="I169" s="205" t="s">
        <v>107</v>
      </c>
      <c r="J169" s="205" t="s">
        <v>29</v>
      </c>
      <c r="K169" s="201" t="s">
        <v>1058</v>
      </c>
      <c r="L169" s="205" t="s">
        <v>4769</v>
      </c>
      <c r="M169" s="201" t="s">
        <v>1072</v>
      </c>
      <c r="N169" s="205" t="s">
        <v>652</v>
      </c>
      <c r="O169" s="205" t="s">
        <v>652</v>
      </c>
      <c r="P169" s="208" t="s">
        <v>3035</v>
      </c>
      <c r="Q169" s="208" t="s">
        <v>4490</v>
      </c>
      <c r="R169" s="208" t="s">
        <v>4764</v>
      </c>
    </row>
    <row r="170" spans="1:18" s="205" customFormat="1" x14ac:dyDescent="0.2">
      <c r="A170" s="205" t="s">
        <v>433</v>
      </c>
      <c r="B170" s="205" t="s">
        <v>550</v>
      </c>
      <c r="C170" s="200">
        <v>45469</v>
      </c>
      <c r="D170" s="199" t="s">
        <v>152</v>
      </c>
      <c r="E170" s="206">
        <v>191688</v>
      </c>
      <c r="F170" s="206">
        <v>19169</v>
      </c>
      <c r="G170" s="206">
        <v>1917</v>
      </c>
      <c r="H170" s="202">
        <f t="shared" si="2"/>
        <v>174436</v>
      </c>
      <c r="I170" s="205" t="s">
        <v>46</v>
      </c>
      <c r="J170" s="205" t="s">
        <v>29</v>
      </c>
      <c r="K170" s="201" t="s">
        <v>1042</v>
      </c>
      <c r="L170" s="205" t="s">
        <v>4770</v>
      </c>
      <c r="M170" s="201" t="s">
        <v>1030</v>
      </c>
      <c r="N170" s="205" t="s">
        <v>652</v>
      </c>
      <c r="O170" s="205" t="s">
        <v>652</v>
      </c>
      <c r="P170" s="208" t="s">
        <v>720</v>
      </c>
      <c r="Q170" s="208" t="s">
        <v>721</v>
      </c>
      <c r="R170" s="208" t="s">
        <v>888</v>
      </c>
    </row>
    <row r="171" spans="1:18" s="205" customFormat="1" x14ac:dyDescent="0.2">
      <c r="A171" s="205" t="s">
        <v>189</v>
      </c>
      <c r="B171" s="205" t="s">
        <v>970</v>
      </c>
      <c r="C171" s="200">
        <v>45469</v>
      </c>
      <c r="D171" s="199" t="s">
        <v>152</v>
      </c>
      <c r="E171" s="206">
        <v>51629</v>
      </c>
      <c r="F171" s="206">
        <v>5163</v>
      </c>
      <c r="G171" s="206">
        <v>516</v>
      </c>
      <c r="H171" s="202">
        <f t="shared" si="2"/>
        <v>46982</v>
      </c>
      <c r="I171" s="205" t="s">
        <v>188</v>
      </c>
      <c r="J171" s="205" t="s">
        <v>29</v>
      </c>
      <c r="K171" s="201" t="s">
        <v>1042</v>
      </c>
      <c r="L171" s="205" t="s">
        <v>4771</v>
      </c>
      <c r="M171" s="201" t="s">
        <v>1030</v>
      </c>
      <c r="N171" s="205" t="s">
        <v>1110</v>
      </c>
      <c r="O171" s="205" t="s">
        <v>1111</v>
      </c>
      <c r="P171" s="208" t="s">
        <v>873</v>
      </c>
      <c r="Q171" s="208" t="s">
        <v>968</v>
      </c>
      <c r="R171" s="208" t="s">
        <v>888</v>
      </c>
    </row>
    <row r="172" spans="1:18" s="205" customFormat="1" x14ac:dyDescent="0.2">
      <c r="A172" s="205" t="s">
        <v>53</v>
      </c>
      <c r="B172" s="205" t="s">
        <v>586</v>
      </c>
      <c r="C172" s="200">
        <v>45469</v>
      </c>
      <c r="D172" s="199" t="s">
        <v>152</v>
      </c>
      <c r="E172" s="206">
        <v>291195</v>
      </c>
      <c r="F172" s="206">
        <v>29120</v>
      </c>
      <c r="G172" s="206">
        <v>2912</v>
      </c>
      <c r="H172" s="202">
        <f t="shared" si="2"/>
        <v>264987</v>
      </c>
      <c r="I172" s="205" t="s">
        <v>173</v>
      </c>
      <c r="J172" s="205" t="s">
        <v>29</v>
      </c>
      <c r="K172" s="201" t="s">
        <v>1042</v>
      </c>
      <c r="L172" s="205" t="s">
        <v>4772</v>
      </c>
      <c r="M172" s="201" t="s">
        <v>1030</v>
      </c>
      <c r="N172" s="205" t="s">
        <v>652</v>
      </c>
      <c r="O172" s="205" t="s">
        <v>652</v>
      </c>
      <c r="P172" s="208" t="s">
        <v>653</v>
      </c>
      <c r="Q172" s="208" t="s">
        <v>654</v>
      </c>
      <c r="R172" s="208" t="s">
        <v>888</v>
      </c>
    </row>
    <row r="173" spans="1:18" s="205" customFormat="1" x14ac:dyDescent="0.2">
      <c r="A173" s="205" t="s">
        <v>183</v>
      </c>
      <c r="B173" s="205" t="s">
        <v>4423</v>
      </c>
      <c r="C173" s="200">
        <v>45469</v>
      </c>
      <c r="D173" s="199" t="s">
        <v>152</v>
      </c>
      <c r="E173" s="206">
        <v>3014760</v>
      </c>
      <c r="F173" s="206">
        <v>301476</v>
      </c>
      <c r="G173" s="206">
        <v>30148</v>
      </c>
      <c r="H173" s="202">
        <f t="shared" si="2"/>
        <v>2743432</v>
      </c>
      <c r="I173" s="205" t="s">
        <v>31</v>
      </c>
      <c r="J173" s="205" t="s">
        <v>29</v>
      </c>
      <c r="K173" s="201" t="s">
        <v>1042</v>
      </c>
      <c r="L173" s="205" t="s">
        <v>4773</v>
      </c>
      <c r="M173" s="201" t="s">
        <v>1030</v>
      </c>
      <c r="N173" s="205" t="s">
        <v>652</v>
      </c>
      <c r="O173" s="205" t="s">
        <v>652</v>
      </c>
      <c r="P173" s="208" t="s">
        <v>1534</v>
      </c>
      <c r="Q173" s="208" t="s">
        <v>3748</v>
      </c>
      <c r="R173" s="208" t="s">
        <v>888</v>
      </c>
    </row>
    <row r="174" spans="1:18" s="205" customFormat="1" x14ac:dyDescent="0.2">
      <c r="A174" s="205" t="s">
        <v>175</v>
      </c>
      <c r="B174" s="205" t="s">
        <v>529</v>
      </c>
      <c r="C174" s="200">
        <v>45469</v>
      </c>
      <c r="D174" s="199" t="s">
        <v>152</v>
      </c>
      <c r="E174" s="206">
        <v>9033</v>
      </c>
      <c r="F174" s="206">
        <v>903</v>
      </c>
      <c r="G174" s="206">
        <v>90</v>
      </c>
      <c r="H174" s="202">
        <f t="shared" si="2"/>
        <v>8220</v>
      </c>
      <c r="I174" s="205" t="s">
        <v>32</v>
      </c>
      <c r="J174" s="205" t="s">
        <v>29</v>
      </c>
      <c r="K174" s="201" t="s">
        <v>1042</v>
      </c>
      <c r="L174" s="205" t="s">
        <v>4774</v>
      </c>
      <c r="M174" s="201" t="s">
        <v>1030</v>
      </c>
      <c r="N174" s="205" t="s">
        <v>652</v>
      </c>
      <c r="O174" s="205" t="s">
        <v>652</v>
      </c>
      <c r="P174" s="208" t="s">
        <v>718</v>
      </c>
      <c r="Q174" s="208" t="s">
        <v>719</v>
      </c>
      <c r="R174" s="208" t="s">
        <v>888</v>
      </c>
    </row>
    <row r="175" spans="1:18" s="205" customFormat="1" x14ac:dyDescent="0.2">
      <c r="A175" s="205" t="s">
        <v>563</v>
      </c>
      <c r="B175" s="205" t="s">
        <v>564</v>
      </c>
      <c r="C175" s="200">
        <v>45469</v>
      </c>
      <c r="D175" s="199" t="s">
        <v>152</v>
      </c>
      <c r="E175" s="206">
        <v>76270</v>
      </c>
      <c r="F175" s="206">
        <v>7627</v>
      </c>
      <c r="G175" s="206">
        <v>763</v>
      </c>
      <c r="H175" s="202">
        <f t="shared" si="2"/>
        <v>69406</v>
      </c>
      <c r="I175" s="205" t="s">
        <v>565</v>
      </c>
      <c r="J175" s="205" t="s">
        <v>29</v>
      </c>
      <c r="K175" s="201" t="s">
        <v>1042</v>
      </c>
      <c r="L175" s="205" t="s">
        <v>4775</v>
      </c>
      <c r="M175" s="201" t="s">
        <v>1030</v>
      </c>
      <c r="N175" s="205" t="s">
        <v>1190</v>
      </c>
      <c r="O175" s="205" t="s">
        <v>1191</v>
      </c>
      <c r="P175" s="208" t="s">
        <v>653</v>
      </c>
      <c r="Q175" s="208" t="s">
        <v>654</v>
      </c>
      <c r="R175" s="208" t="s">
        <v>888</v>
      </c>
    </row>
    <row r="176" spans="1:18" s="205" customFormat="1" x14ac:dyDescent="0.2">
      <c r="A176" s="205" t="s">
        <v>238</v>
      </c>
      <c r="B176" s="205" t="s">
        <v>3721</v>
      </c>
      <c r="C176" s="200">
        <v>45469</v>
      </c>
      <c r="D176" s="199" t="s">
        <v>152</v>
      </c>
      <c r="E176" s="206">
        <v>68614</v>
      </c>
      <c r="F176" s="206">
        <v>6861</v>
      </c>
      <c r="G176" s="206">
        <v>686</v>
      </c>
      <c r="H176" s="202">
        <f t="shared" si="2"/>
        <v>62439</v>
      </c>
      <c r="I176" s="205" t="s">
        <v>32</v>
      </c>
      <c r="J176" s="205" t="s">
        <v>29</v>
      </c>
      <c r="K176" s="201" t="s">
        <v>1042</v>
      </c>
      <c r="L176" s="205" t="s">
        <v>4776</v>
      </c>
      <c r="M176" s="201" t="s">
        <v>1030</v>
      </c>
      <c r="N176" s="205" t="s">
        <v>3723</v>
      </c>
      <c r="O176" s="205" t="s">
        <v>1187</v>
      </c>
      <c r="P176" s="208" t="s">
        <v>3628</v>
      </c>
      <c r="Q176" s="208" t="s">
        <v>3629</v>
      </c>
      <c r="R176" s="208" t="s">
        <v>888</v>
      </c>
    </row>
    <row r="177" spans="1:18" s="205" customFormat="1" x14ac:dyDescent="0.2">
      <c r="A177" s="205" t="s">
        <v>64</v>
      </c>
      <c r="B177" s="205" t="s">
        <v>514</v>
      </c>
      <c r="C177" s="200">
        <v>45469</v>
      </c>
      <c r="D177" s="199" t="s">
        <v>152</v>
      </c>
      <c r="E177" s="206">
        <v>56804</v>
      </c>
      <c r="F177" s="206">
        <v>5680</v>
      </c>
      <c r="G177" s="206">
        <v>568</v>
      </c>
      <c r="H177" s="202">
        <f t="shared" si="2"/>
        <v>51692</v>
      </c>
      <c r="I177" s="205" t="s">
        <v>31</v>
      </c>
      <c r="J177" s="205" t="s">
        <v>29</v>
      </c>
      <c r="K177" s="201" t="s">
        <v>1042</v>
      </c>
      <c r="L177" s="205" t="s">
        <v>4777</v>
      </c>
      <c r="M177" s="201" t="s">
        <v>1030</v>
      </c>
      <c r="N177" s="205" t="s">
        <v>652</v>
      </c>
      <c r="O177" s="205" t="s">
        <v>652</v>
      </c>
      <c r="P177" s="208" t="s">
        <v>653</v>
      </c>
      <c r="Q177" s="208" t="s">
        <v>654</v>
      </c>
      <c r="R177" s="208" t="s">
        <v>888</v>
      </c>
    </row>
    <row r="178" spans="1:18" s="205" customFormat="1" x14ac:dyDescent="0.2">
      <c r="A178" s="205" t="s">
        <v>1012</v>
      </c>
      <c r="B178" s="205" t="s">
        <v>126</v>
      </c>
      <c r="C178" s="200">
        <v>45470</v>
      </c>
      <c r="D178" s="199" t="s">
        <v>152</v>
      </c>
      <c r="E178" s="206">
        <v>77312</v>
      </c>
      <c r="F178" s="206">
        <v>7731</v>
      </c>
      <c r="G178" s="206">
        <v>773</v>
      </c>
      <c r="H178" s="202">
        <f t="shared" si="2"/>
        <v>70354</v>
      </c>
      <c r="I178" s="205" t="s">
        <v>31</v>
      </c>
      <c r="J178" s="205" t="s">
        <v>29</v>
      </c>
      <c r="K178" s="201" t="s">
        <v>1042</v>
      </c>
      <c r="L178" s="205" t="s">
        <v>4778</v>
      </c>
      <c r="M178" s="201" t="s">
        <v>1030</v>
      </c>
      <c r="N178" s="205" t="s">
        <v>652</v>
      </c>
      <c r="O178" s="205" t="s">
        <v>652</v>
      </c>
      <c r="P178" s="208" t="s">
        <v>714</v>
      </c>
      <c r="Q178" s="208" t="s">
        <v>672</v>
      </c>
      <c r="R178" s="208" t="s">
        <v>4779</v>
      </c>
    </row>
    <row r="179" spans="1:18" s="205" customFormat="1" x14ac:dyDescent="0.2">
      <c r="A179" s="205" t="s">
        <v>268</v>
      </c>
      <c r="B179" s="205" t="s">
        <v>4243</v>
      </c>
      <c r="C179" s="200">
        <v>45470</v>
      </c>
      <c r="D179" s="199" t="s">
        <v>152</v>
      </c>
      <c r="E179" s="206">
        <v>54167</v>
      </c>
      <c r="F179" s="206">
        <v>5417</v>
      </c>
      <c r="G179" s="206">
        <v>542</v>
      </c>
      <c r="H179" s="202">
        <f t="shared" si="2"/>
        <v>49292</v>
      </c>
      <c r="I179" s="205" t="s">
        <v>31</v>
      </c>
      <c r="J179" s="205" t="s">
        <v>29</v>
      </c>
      <c r="K179" s="201" t="s">
        <v>1151</v>
      </c>
      <c r="L179" s="205" t="s">
        <v>4780</v>
      </c>
      <c r="M179" s="201" t="s">
        <v>1030</v>
      </c>
      <c r="N179" s="205" t="s">
        <v>652</v>
      </c>
      <c r="O179" s="205" t="s">
        <v>652</v>
      </c>
      <c r="P179" s="208" t="s">
        <v>2191</v>
      </c>
      <c r="Q179" s="208" t="s">
        <v>2192</v>
      </c>
      <c r="R179" s="208" t="s">
        <v>4779</v>
      </c>
    </row>
    <row r="180" spans="1:18" s="205" customFormat="1" x14ac:dyDescent="0.2">
      <c r="A180" s="205" t="s">
        <v>117</v>
      </c>
      <c r="B180" s="205" t="s">
        <v>1525</v>
      </c>
      <c r="C180" s="200">
        <v>45471</v>
      </c>
      <c r="D180" s="199" t="s">
        <v>152</v>
      </c>
      <c r="E180" s="206">
        <v>20410</v>
      </c>
      <c r="F180" s="206">
        <v>2041</v>
      </c>
      <c r="G180" s="206">
        <v>204</v>
      </c>
      <c r="H180" s="202">
        <f t="shared" si="2"/>
        <v>18573</v>
      </c>
      <c r="I180" s="205" t="s">
        <v>90</v>
      </c>
      <c r="J180" s="205" t="s">
        <v>29</v>
      </c>
      <c r="K180" s="201" t="s">
        <v>1042</v>
      </c>
      <c r="L180" s="205" t="s">
        <v>4781</v>
      </c>
      <c r="M180" s="201" t="s">
        <v>1030</v>
      </c>
      <c r="N180" s="205" t="s">
        <v>652</v>
      </c>
      <c r="O180" s="205" t="s">
        <v>652</v>
      </c>
      <c r="P180" s="208" t="s">
        <v>990</v>
      </c>
      <c r="Q180" s="208" t="s">
        <v>991</v>
      </c>
      <c r="R180" s="208" t="s">
        <v>4782</v>
      </c>
    </row>
    <row r="181" spans="1:18" s="205" customFormat="1" x14ac:dyDescent="0.2">
      <c r="A181" s="205" t="s">
        <v>341</v>
      </c>
      <c r="B181" s="205" t="s">
        <v>4471</v>
      </c>
      <c r="C181" s="200">
        <v>45471</v>
      </c>
      <c r="D181" s="199" t="s">
        <v>152</v>
      </c>
      <c r="E181" s="206">
        <v>3000</v>
      </c>
      <c r="F181" s="206">
        <v>300</v>
      </c>
      <c r="G181" s="206">
        <v>30</v>
      </c>
      <c r="H181" s="202">
        <f t="shared" si="2"/>
        <v>2730</v>
      </c>
      <c r="I181" s="205" t="s">
        <v>32</v>
      </c>
      <c r="J181" s="205" t="s">
        <v>29</v>
      </c>
      <c r="K181" s="201" t="s">
        <v>1042</v>
      </c>
      <c r="L181" s="205" t="s">
        <v>4783</v>
      </c>
      <c r="M181" s="201" t="s">
        <v>1030</v>
      </c>
      <c r="N181" s="205" t="s">
        <v>652</v>
      </c>
      <c r="O181" s="205" t="s">
        <v>652</v>
      </c>
      <c r="P181" s="208" t="s">
        <v>696</v>
      </c>
      <c r="Q181" s="208" t="s">
        <v>697</v>
      </c>
      <c r="R181" s="208" t="s">
        <v>4782</v>
      </c>
    </row>
    <row r="182" spans="1:18" s="205" customFormat="1" x14ac:dyDescent="0.2">
      <c r="A182" s="205" t="s">
        <v>4784</v>
      </c>
      <c r="B182" s="205" t="s">
        <v>4785</v>
      </c>
      <c r="C182" s="200">
        <v>45472</v>
      </c>
      <c r="D182" s="199" t="s">
        <v>152</v>
      </c>
      <c r="E182" s="206">
        <v>40588</v>
      </c>
      <c r="F182" s="206">
        <v>4059</v>
      </c>
      <c r="G182" s="206">
        <v>406</v>
      </c>
      <c r="H182" s="202">
        <f t="shared" si="2"/>
        <v>36935</v>
      </c>
      <c r="I182" s="205" t="s">
        <v>4433</v>
      </c>
      <c r="J182" s="205" t="s">
        <v>29</v>
      </c>
      <c r="K182" s="201" t="s">
        <v>1028</v>
      </c>
      <c r="L182" s="205" t="s">
        <v>4786</v>
      </c>
      <c r="M182" s="201" t="s">
        <v>1030</v>
      </c>
      <c r="N182" s="205" t="s">
        <v>652</v>
      </c>
      <c r="O182" s="205" t="s">
        <v>652</v>
      </c>
      <c r="P182" s="208" t="s">
        <v>2978</v>
      </c>
      <c r="Q182" s="208" t="s">
        <v>3008</v>
      </c>
      <c r="R182" s="208" t="s">
        <v>4764</v>
      </c>
    </row>
    <row r="183" spans="1:18" s="205" customFormat="1" x14ac:dyDescent="0.2">
      <c r="A183" s="205" t="s">
        <v>4787</v>
      </c>
      <c r="B183" s="205" t="s">
        <v>4788</v>
      </c>
      <c r="C183" s="200">
        <v>45472</v>
      </c>
      <c r="D183" s="199" t="s">
        <v>152</v>
      </c>
      <c r="E183" s="206">
        <v>40588</v>
      </c>
      <c r="F183" s="206">
        <v>4059</v>
      </c>
      <c r="G183" s="206">
        <v>406</v>
      </c>
      <c r="H183" s="202">
        <f t="shared" si="2"/>
        <v>36935</v>
      </c>
      <c r="I183" s="205" t="s">
        <v>41</v>
      </c>
      <c r="J183" s="205" t="s">
        <v>29</v>
      </c>
      <c r="K183" s="201" t="s">
        <v>1028</v>
      </c>
      <c r="L183" s="205" t="s">
        <v>4789</v>
      </c>
      <c r="M183" s="201" t="s">
        <v>1030</v>
      </c>
      <c r="N183" s="205" t="s">
        <v>652</v>
      </c>
      <c r="O183" s="205" t="s">
        <v>652</v>
      </c>
      <c r="P183" s="208" t="s">
        <v>4716</v>
      </c>
      <c r="Q183" s="208" t="s">
        <v>4790</v>
      </c>
      <c r="R183" s="208" t="s">
        <v>4782</v>
      </c>
    </row>
    <row r="184" spans="1:18" s="205" customFormat="1" x14ac:dyDescent="0.2">
      <c r="A184" s="205" t="s">
        <v>4791</v>
      </c>
      <c r="B184" s="205" t="s">
        <v>4792</v>
      </c>
      <c r="C184" s="200">
        <v>45472</v>
      </c>
      <c r="D184" s="199" t="s">
        <v>152</v>
      </c>
      <c r="E184" s="206">
        <v>56113</v>
      </c>
      <c r="F184" s="206">
        <v>5611</v>
      </c>
      <c r="G184" s="206">
        <v>561</v>
      </c>
      <c r="H184" s="202">
        <f t="shared" si="2"/>
        <v>51063</v>
      </c>
      <c r="I184" s="205" t="s">
        <v>41</v>
      </c>
      <c r="J184" s="205" t="s">
        <v>29</v>
      </c>
      <c r="K184" s="201" t="s">
        <v>1028</v>
      </c>
      <c r="L184" s="205" t="s">
        <v>4793</v>
      </c>
      <c r="M184" s="201" t="s">
        <v>1030</v>
      </c>
      <c r="N184" s="205" t="s">
        <v>652</v>
      </c>
      <c r="O184" s="205" t="s">
        <v>652</v>
      </c>
      <c r="P184" s="216" t="s">
        <v>4716</v>
      </c>
      <c r="Q184" s="216" t="s">
        <v>4790</v>
      </c>
      <c r="R184" s="208" t="s">
        <v>4782</v>
      </c>
    </row>
    <row r="185" spans="1:18" s="205" customFormat="1" x14ac:dyDescent="0.2">
      <c r="A185" s="205" t="s">
        <v>4794</v>
      </c>
      <c r="B185" s="205" t="s">
        <v>4795</v>
      </c>
      <c r="C185" s="200">
        <v>45472</v>
      </c>
      <c r="D185" s="199" t="s">
        <v>152</v>
      </c>
      <c r="E185" s="206">
        <v>92784</v>
      </c>
      <c r="F185" s="206">
        <v>9278</v>
      </c>
      <c r="G185" s="206">
        <v>928</v>
      </c>
      <c r="H185" s="202">
        <f t="shared" si="2"/>
        <v>84434</v>
      </c>
      <c r="I185" s="205" t="s">
        <v>40</v>
      </c>
      <c r="J185" s="205" t="s">
        <v>29</v>
      </c>
      <c r="K185" s="201" t="s">
        <v>1028</v>
      </c>
      <c r="L185" s="205" t="s">
        <v>4796</v>
      </c>
      <c r="M185" s="201" t="s">
        <v>1030</v>
      </c>
      <c r="N185" s="205" t="s">
        <v>652</v>
      </c>
      <c r="O185" s="205" t="s">
        <v>652</v>
      </c>
      <c r="P185" s="208" t="s">
        <v>685</v>
      </c>
      <c r="Q185" s="208" t="s">
        <v>1615</v>
      </c>
      <c r="R185" s="208" t="s">
        <v>4782</v>
      </c>
    </row>
    <row r="186" spans="1:18" s="205" customFormat="1" x14ac:dyDescent="0.2">
      <c r="A186" s="205" t="s">
        <v>4797</v>
      </c>
      <c r="B186" s="205" t="s">
        <v>4798</v>
      </c>
      <c r="C186" s="200">
        <v>45472</v>
      </c>
      <c r="D186" s="199" t="s">
        <v>152</v>
      </c>
      <c r="E186" s="206">
        <v>42178</v>
      </c>
      <c r="F186" s="206">
        <v>4218</v>
      </c>
      <c r="G186" s="206">
        <v>422</v>
      </c>
      <c r="H186" s="202">
        <f t="shared" si="2"/>
        <v>38382</v>
      </c>
      <c r="I186" s="205" t="s">
        <v>2280</v>
      </c>
      <c r="J186" s="205" t="s">
        <v>29</v>
      </c>
      <c r="K186" s="201" t="s">
        <v>1058</v>
      </c>
      <c r="L186" s="205" t="s">
        <v>4799</v>
      </c>
      <c r="M186" s="201" t="s">
        <v>2382</v>
      </c>
      <c r="N186" s="205" t="s">
        <v>652</v>
      </c>
      <c r="O186" s="205" t="s">
        <v>652</v>
      </c>
      <c r="P186" s="208" t="s">
        <v>861</v>
      </c>
      <c r="Q186" s="208" t="s">
        <v>4505</v>
      </c>
      <c r="R186" s="208" t="s">
        <v>4782</v>
      </c>
    </row>
    <row r="187" spans="1:18" s="205" customFormat="1" x14ac:dyDescent="0.2">
      <c r="A187" s="205" t="s">
        <v>979</v>
      </c>
      <c r="B187" s="205" t="s">
        <v>980</v>
      </c>
      <c r="C187" s="200">
        <v>45472</v>
      </c>
      <c r="D187" s="199" t="s">
        <v>152</v>
      </c>
      <c r="E187" s="206">
        <v>105654</v>
      </c>
      <c r="F187" s="206">
        <v>10565</v>
      </c>
      <c r="G187" s="206">
        <v>1057</v>
      </c>
      <c r="H187" s="202">
        <f t="shared" si="2"/>
        <v>96146</v>
      </c>
      <c r="I187" s="205" t="s">
        <v>981</v>
      </c>
      <c r="J187" s="205" t="s">
        <v>29</v>
      </c>
      <c r="K187" s="201" t="s">
        <v>1042</v>
      </c>
      <c r="L187" s="205" t="s">
        <v>4800</v>
      </c>
      <c r="M187" s="201" t="s">
        <v>1030</v>
      </c>
      <c r="N187" s="205" t="s">
        <v>1274</v>
      </c>
      <c r="O187" s="205" t="s">
        <v>1111</v>
      </c>
      <c r="P187" s="208" t="s">
        <v>875</v>
      </c>
      <c r="Q187" s="208" t="s">
        <v>976</v>
      </c>
      <c r="R187" s="208" t="s">
        <v>4801</v>
      </c>
    </row>
    <row r="188" spans="1:18" s="205" customFormat="1" x14ac:dyDescent="0.2">
      <c r="A188" s="205" t="s">
        <v>75</v>
      </c>
      <c r="B188" s="205" t="s">
        <v>594</v>
      </c>
      <c r="C188" s="200">
        <v>45472</v>
      </c>
      <c r="D188" s="199" t="s">
        <v>152</v>
      </c>
      <c r="E188" s="206">
        <v>36671</v>
      </c>
      <c r="F188" s="206">
        <v>0</v>
      </c>
      <c r="G188" s="206">
        <v>0</v>
      </c>
      <c r="H188" s="202">
        <f t="shared" si="2"/>
        <v>36671</v>
      </c>
      <c r="I188" s="205" t="s">
        <v>76</v>
      </c>
      <c r="J188" s="205" t="s">
        <v>29</v>
      </c>
      <c r="K188" s="201" t="s">
        <v>1042</v>
      </c>
      <c r="L188" s="205" t="s">
        <v>4802</v>
      </c>
      <c r="M188" s="201" t="s">
        <v>1030</v>
      </c>
      <c r="N188" s="205" t="s">
        <v>652</v>
      </c>
      <c r="O188" s="205" t="s">
        <v>652</v>
      </c>
      <c r="P188" s="208" t="s">
        <v>653</v>
      </c>
      <c r="Q188" s="208" t="s">
        <v>654</v>
      </c>
      <c r="R188" s="208" t="s">
        <v>4801</v>
      </c>
    </row>
    <row r="189" spans="1:18" s="205" customFormat="1" x14ac:dyDescent="0.2">
      <c r="A189" s="205" t="s">
        <v>75</v>
      </c>
      <c r="B189" s="205" t="s">
        <v>590</v>
      </c>
      <c r="C189" s="200">
        <v>45472</v>
      </c>
      <c r="D189" s="199" t="s">
        <v>152</v>
      </c>
      <c r="E189" s="206">
        <v>71511</v>
      </c>
      <c r="F189" s="206">
        <v>0</v>
      </c>
      <c r="G189" s="206">
        <v>0</v>
      </c>
      <c r="H189" s="202">
        <f t="shared" si="2"/>
        <v>71511</v>
      </c>
      <c r="I189" s="205" t="s">
        <v>76</v>
      </c>
      <c r="J189" s="205" t="s">
        <v>29</v>
      </c>
      <c r="K189" s="201" t="s">
        <v>1042</v>
      </c>
      <c r="L189" s="205" t="s">
        <v>4803</v>
      </c>
      <c r="M189" s="201" t="s">
        <v>1030</v>
      </c>
      <c r="N189" s="205" t="s">
        <v>652</v>
      </c>
      <c r="O189" s="205" t="s">
        <v>652</v>
      </c>
      <c r="P189" s="208" t="s">
        <v>653</v>
      </c>
      <c r="Q189" s="208" t="s">
        <v>654</v>
      </c>
      <c r="R189" s="208" t="s">
        <v>4801</v>
      </c>
    </row>
    <row r="190" spans="1:18" s="205" customFormat="1" x14ac:dyDescent="0.2">
      <c r="A190" s="205" t="s">
        <v>75</v>
      </c>
      <c r="B190" s="205" t="s">
        <v>591</v>
      </c>
      <c r="C190" s="200">
        <v>45472</v>
      </c>
      <c r="D190" s="199" t="s">
        <v>152</v>
      </c>
      <c r="E190" s="206">
        <v>69407</v>
      </c>
      <c r="F190" s="206">
        <v>0</v>
      </c>
      <c r="G190" s="206">
        <v>0</v>
      </c>
      <c r="H190" s="202">
        <f t="shared" si="2"/>
        <v>69407</v>
      </c>
      <c r="I190" s="205" t="s">
        <v>76</v>
      </c>
      <c r="J190" s="205" t="s">
        <v>29</v>
      </c>
      <c r="K190" s="201" t="s">
        <v>1042</v>
      </c>
      <c r="L190" s="205" t="s">
        <v>4804</v>
      </c>
      <c r="M190" s="201" t="s">
        <v>1030</v>
      </c>
      <c r="N190" s="205" t="s">
        <v>652</v>
      </c>
      <c r="O190" s="205" t="s">
        <v>652</v>
      </c>
      <c r="P190" s="208" t="s">
        <v>653</v>
      </c>
      <c r="Q190" s="208" t="s">
        <v>654</v>
      </c>
      <c r="R190" s="208" t="s">
        <v>4801</v>
      </c>
    </row>
    <row r="191" spans="1:18" s="205" customFormat="1" x14ac:dyDescent="0.2">
      <c r="A191" s="205" t="s">
        <v>4805</v>
      </c>
      <c r="B191" s="205" t="s">
        <v>2330</v>
      </c>
      <c r="C191" s="200">
        <v>45472</v>
      </c>
      <c r="D191" s="199" t="s">
        <v>152</v>
      </c>
      <c r="E191" s="206">
        <v>28079</v>
      </c>
      <c r="F191" s="206">
        <v>2808</v>
      </c>
      <c r="G191" s="206">
        <v>281</v>
      </c>
      <c r="H191" s="202">
        <f t="shared" si="2"/>
        <v>25552</v>
      </c>
      <c r="I191" s="205" t="s">
        <v>46</v>
      </c>
      <c r="J191" s="205" t="s">
        <v>29</v>
      </c>
      <c r="K191" s="201" t="s">
        <v>1058</v>
      </c>
      <c r="L191" s="205" t="s">
        <v>4806</v>
      </c>
      <c r="M191" s="201" t="s">
        <v>1030</v>
      </c>
      <c r="N191" s="205" t="s">
        <v>652</v>
      </c>
      <c r="O191" s="205" t="s">
        <v>652</v>
      </c>
      <c r="P191" s="208" t="s">
        <v>2191</v>
      </c>
      <c r="Q191" s="208" t="s">
        <v>2192</v>
      </c>
      <c r="R191" s="208" t="s">
        <v>4801</v>
      </c>
    </row>
    <row r="192" spans="1:18" s="205" customFormat="1" x14ac:dyDescent="0.2">
      <c r="A192" s="205" t="s">
        <v>4807</v>
      </c>
      <c r="B192" s="205" t="s">
        <v>2330</v>
      </c>
      <c r="C192" s="200">
        <v>45472</v>
      </c>
      <c r="D192" s="199" t="s">
        <v>152</v>
      </c>
      <c r="E192" s="206">
        <v>46572</v>
      </c>
      <c r="F192" s="206">
        <v>4657</v>
      </c>
      <c r="G192" s="206">
        <v>466</v>
      </c>
      <c r="H192" s="202">
        <f t="shared" si="2"/>
        <v>42381</v>
      </c>
      <c r="I192" s="205" t="s">
        <v>46</v>
      </c>
      <c r="J192" s="205" t="s">
        <v>29</v>
      </c>
      <c r="K192" s="201" t="s">
        <v>1058</v>
      </c>
      <c r="L192" s="205" t="s">
        <v>4808</v>
      </c>
      <c r="M192" s="201" t="s">
        <v>1030</v>
      </c>
      <c r="N192" s="205" t="s">
        <v>652</v>
      </c>
      <c r="O192" s="205" t="s">
        <v>652</v>
      </c>
      <c r="P192" s="208" t="s">
        <v>846</v>
      </c>
      <c r="Q192" s="208" t="s">
        <v>2922</v>
      </c>
      <c r="R192" s="208" t="s">
        <v>4801</v>
      </c>
    </row>
    <row r="193" spans="1:18" s="205" customFormat="1" x14ac:dyDescent="0.2">
      <c r="A193" s="205" t="s">
        <v>4809</v>
      </c>
      <c r="B193" s="205" t="s">
        <v>2330</v>
      </c>
      <c r="C193" s="200">
        <v>45472</v>
      </c>
      <c r="D193" s="199" t="s">
        <v>152</v>
      </c>
      <c r="E193" s="206">
        <v>38483</v>
      </c>
      <c r="F193" s="206">
        <v>3848</v>
      </c>
      <c r="G193" s="206">
        <v>385</v>
      </c>
      <c r="H193" s="202">
        <f t="shared" si="2"/>
        <v>35020</v>
      </c>
      <c r="I193" s="205" t="s">
        <v>46</v>
      </c>
      <c r="J193" s="205" t="s">
        <v>29</v>
      </c>
      <c r="K193" s="201" t="s">
        <v>1058</v>
      </c>
      <c r="L193" s="205" t="s">
        <v>4810</v>
      </c>
      <c r="M193" s="201" t="s">
        <v>1030</v>
      </c>
      <c r="N193" s="205" t="s">
        <v>652</v>
      </c>
      <c r="O193" s="205" t="s">
        <v>652</v>
      </c>
      <c r="P193" s="208" t="s">
        <v>846</v>
      </c>
      <c r="Q193" s="208" t="s">
        <v>2922</v>
      </c>
      <c r="R193" s="208" t="s">
        <v>4801</v>
      </c>
    </row>
    <row r="194" spans="1:18" s="205" customFormat="1" x14ac:dyDescent="0.2">
      <c r="A194" s="205" t="s">
        <v>4811</v>
      </c>
      <c r="B194" s="205" t="s">
        <v>181</v>
      </c>
      <c r="C194" s="200">
        <v>45472</v>
      </c>
      <c r="D194" s="199" t="s">
        <v>152</v>
      </c>
      <c r="E194" s="206">
        <v>104734</v>
      </c>
      <c r="F194" s="206">
        <v>10473</v>
      </c>
      <c r="G194" s="206">
        <v>1047</v>
      </c>
      <c r="H194" s="202">
        <f t="shared" ref="H194:H257" si="3">E194+G194-F194</f>
        <v>95308</v>
      </c>
      <c r="I194" s="205" t="s">
        <v>46</v>
      </c>
      <c r="J194" s="205" t="s">
        <v>29</v>
      </c>
      <c r="K194" s="201" t="s">
        <v>1028</v>
      </c>
      <c r="L194" s="205" t="s">
        <v>4812</v>
      </c>
      <c r="M194" s="201" t="s">
        <v>1030</v>
      </c>
      <c r="N194" s="205" t="s">
        <v>652</v>
      </c>
      <c r="O194" s="205" t="s">
        <v>652</v>
      </c>
      <c r="P194" s="208" t="s">
        <v>2978</v>
      </c>
      <c r="Q194" s="208" t="s">
        <v>3008</v>
      </c>
      <c r="R194" s="208" t="s">
        <v>4801</v>
      </c>
    </row>
    <row r="195" spans="1:18" s="205" customFormat="1" x14ac:dyDescent="0.2">
      <c r="A195" s="205" t="s">
        <v>4813</v>
      </c>
      <c r="B195" s="205" t="s">
        <v>185</v>
      </c>
      <c r="C195" s="200">
        <v>45472</v>
      </c>
      <c r="D195" s="199" t="s">
        <v>152</v>
      </c>
      <c r="E195" s="206">
        <v>58017</v>
      </c>
      <c r="F195" s="206">
        <v>5802</v>
      </c>
      <c r="G195" s="206">
        <v>580</v>
      </c>
      <c r="H195" s="202">
        <f t="shared" si="3"/>
        <v>52795</v>
      </c>
      <c r="I195" s="205" t="s">
        <v>46</v>
      </c>
      <c r="J195" s="205" t="s">
        <v>29</v>
      </c>
      <c r="K195" s="201" t="s">
        <v>1028</v>
      </c>
      <c r="L195" s="205" t="s">
        <v>4814</v>
      </c>
      <c r="M195" s="201" t="s">
        <v>1030</v>
      </c>
      <c r="N195" s="205" t="s">
        <v>652</v>
      </c>
      <c r="O195" s="205" t="s">
        <v>652</v>
      </c>
      <c r="P195" s="208" t="s">
        <v>2191</v>
      </c>
      <c r="Q195" s="208" t="s">
        <v>2192</v>
      </c>
      <c r="R195" s="208" t="s">
        <v>4801</v>
      </c>
    </row>
    <row r="196" spans="1:18" s="205" customFormat="1" x14ac:dyDescent="0.2">
      <c r="A196" s="205" t="s">
        <v>4815</v>
      </c>
      <c r="B196" s="205" t="s">
        <v>185</v>
      </c>
      <c r="C196" s="200">
        <v>45472</v>
      </c>
      <c r="D196" s="199" t="s">
        <v>152</v>
      </c>
      <c r="E196" s="206">
        <v>35633</v>
      </c>
      <c r="F196" s="206">
        <v>3563</v>
      </c>
      <c r="G196" s="206">
        <v>356</v>
      </c>
      <c r="H196" s="202">
        <f t="shared" si="3"/>
        <v>32426</v>
      </c>
      <c r="I196" s="205" t="s">
        <v>46</v>
      </c>
      <c r="J196" s="205" t="s">
        <v>29</v>
      </c>
      <c r="K196" s="201" t="s">
        <v>1028</v>
      </c>
      <c r="L196" s="205" t="s">
        <v>4816</v>
      </c>
      <c r="M196" s="201" t="s">
        <v>1030</v>
      </c>
      <c r="N196" s="205" t="s">
        <v>652</v>
      </c>
      <c r="O196" s="205" t="s">
        <v>652</v>
      </c>
      <c r="P196" s="208" t="s">
        <v>2191</v>
      </c>
      <c r="Q196" s="208" t="s">
        <v>2192</v>
      </c>
      <c r="R196" s="208" t="s">
        <v>4801</v>
      </c>
    </row>
    <row r="197" spans="1:18" s="205" customFormat="1" x14ac:dyDescent="0.2">
      <c r="A197" s="205" t="s">
        <v>4817</v>
      </c>
      <c r="B197" s="205" t="s">
        <v>185</v>
      </c>
      <c r="C197" s="200">
        <v>45472</v>
      </c>
      <c r="D197" s="199" t="s">
        <v>152</v>
      </c>
      <c r="E197" s="206">
        <v>35633</v>
      </c>
      <c r="F197" s="206">
        <v>3563</v>
      </c>
      <c r="G197" s="206">
        <v>356</v>
      </c>
      <c r="H197" s="202">
        <f t="shared" si="3"/>
        <v>32426</v>
      </c>
      <c r="I197" s="205" t="s">
        <v>46</v>
      </c>
      <c r="J197" s="205" t="s">
        <v>29</v>
      </c>
      <c r="K197" s="201" t="s">
        <v>1028</v>
      </c>
      <c r="L197" s="205" t="s">
        <v>4818</v>
      </c>
      <c r="M197" s="201" t="s">
        <v>1030</v>
      </c>
      <c r="N197" s="205" t="s">
        <v>652</v>
      </c>
      <c r="O197" s="205" t="s">
        <v>652</v>
      </c>
      <c r="P197" s="208" t="s">
        <v>2191</v>
      </c>
      <c r="Q197" s="208" t="s">
        <v>2192</v>
      </c>
      <c r="R197" s="208" t="s">
        <v>4801</v>
      </c>
    </row>
    <row r="198" spans="1:18" s="205" customFormat="1" x14ac:dyDescent="0.2">
      <c r="A198" s="205" t="s">
        <v>4819</v>
      </c>
      <c r="B198" s="205" t="s">
        <v>185</v>
      </c>
      <c r="C198" s="200">
        <v>45472</v>
      </c>
      <c r="D198" s="199" t="s">
        <v>152</v>
      </c>
      <c r="E198" s="206">
        <v>43116</v>
      </c>
      <c r="F198" s="206">
        <v>4312</v>
      </c>
      <c r="G198" s="206">
        <v>431</v>
      </c>
      <c r="H198" s="202">
        <f t="shared" si="3"/>
        <v>39235</v>
      </c>
      <c r="I198" s="205" t="s">
        <v>46</v>
      </c>
      <c r="J198" s="205" t="s">
        <v>29</v>
      </c>
      <c r="K198" s="201" t="s">
        <v>1028</v>
      </c>
      <c r="L198" s="205" t="s">
        <v>4820</v>
      </c>
      <c r="M198" s="201" t="s">
        <v>1030</v>
      </c>
      <c r="N198" s="205" t="s">
        <v>652</v>
      </c>
      <c r="O198" s="205" t="s">
        <v>652</v>
      </c>
      <c r="P198" s="208" t="s">
        <v>2191</v>
      </c>
      <c r="Q198" s="208" t="s">
        <v>2192</v>
      </c>
      <c r="R198" s="208" t="s">
        <v>4801</v>
      </c>
    </row>
    <row r="199" spans="1:18" s="205" customFormat="1" x14ac:dyDescent="0.2">
      <c r="A199" s="205" t="s">
        <v>4821</v>
      </c>
      <c r="B199" s="205" t="s">
        <v>185</v>
      </c>
      <c r="C199" s="200">
        <v>45472</v>
      </c>
      <c r="D199" s="199" t="s">
        <v>152</v>
      </c>
      <c r="E199" s="206">
        <v>67877</v>
      </c>
      <c r="F199" s="206">
        <v>6788</v>
      </c>
      <c r="G199" s="206">
        <v>679</v>
      </c>
      <c r="H199" s="202">
        <f t="shared" si="3"/>
        <v>61768</v>
      </c>
      <c r="I199" s="205" t="s">
        <v>46</v>
      </c>
      <c r="J199" s="205" t="s">
        <v>29</v>
      </c>
      <c r="K199" s="201" t="s">
        <v>1028</v>
      </c>
      <c r="L199" s="205" t="s">
        <v>4822</v>
      </c>
      <c r="M199" s="201" t="s">
        <v>1030</v>
      </c>
      <c r="N199" s="205" t="s">
        <v>652</v>
      </c>
      <c r="O199" s="205" t="s">
        <v>652</v>
      </c>
      <c r="P199" s="208" t="s">
        <v>2191</v>
      </c>
      <c r="Q199" s="208" t="s">
        <v>2192</v>
      </c>
      <c r="R199" s="208" t="s">
        <v>4801</v>
      </c>
    </row>
    <row r="200" spans="1:18" s="205" customFormat="1" x14ac:dyDescent="0.2">
      <c r="A200" s="205" t="s">
        <v>4823</v>
      </c>
      <c r="B200" s="205" t="s">
        <v>185</v>
      </c>
      <c r="C200" s="200">
        <v>45472</v>
      </c>
      <c r="D200" s="199" t="s">
        <v>152</v>
      </c>
      <c r="E200" s="206">
        <v>31943</v>
      </c>
      <c r="F200" s="206">
        <v>3194</v>
      </c>
      <c r="G200" s="206">
        <v>319</v>
      </c>
      <c r="H200" s="202">
        <f t="shared" si="3"/>
        <v>29068</v>
      </c>
      <c r="I200" s="205" t="s">
        <v>46</v>
      </c>
      <c r="J200" s="205" t="s">
        <v>29</v>
      </c>
      <c r="K200" s="201" t="s">
        <v>1028</v>
      </c>
      <c r="L200" s="205" t="s">
        <v>4824</v>
      </c>
      <c r="M200" s="201" t="s">
        <v>1030</v>
      </c>
      <c r="N200" s="205" t="s">
        <v>652</v>
      </c>
      <c r="O200" s="205" t="s">
        <v>652</v>
      </c>
      <c r="P200" s="208" t="s">
        <v>2191</v>
      </c>
      <c r="Q200" s="208" t="s">
        <v>2192</v>
      </c>
      <c r="R200" s="208" t="s">
        <v>4801</v>
      </c>
    </row>
    <row r="201" spans="1:18" s="205" customFormat="1" x14ac:dyDescent="0.2">
      <c r="A201" s="205" t="s">
        <v>4825</v>
      </c>
      <c r="B201" s="205" t="s">
        <v>185</v>
      </c>
      <c r="C201" s="200">
        <v>45472</v>
      </c>
      <c r="D201" s="199" t="s">
        <v>152</v>
      </c>
      <c r="E201" s="206">
        <v>68476</v>
      </c>
      <c r="F201" s="206">
        <v>6848</v>
      </c>
      <c r="G201" s="206">
        <v>685</v>
      </c>
      <c r="H201" s="202">
        <f t="shared" si="3"/>
        <v>62313</v>
      </c>
      <c r="I201" s="205" t="s">
        <v>46</v>
      </c>
      <c r="J201" s="205" t="s">
        <v>29</v>
      </c>
      <c r="K201" s="201" t="s">
        <v>1028</v>
      </c>
      <c r="L201" s="205" t="s">
        <v>4826</v>
      </c>
      <c r="M201" s="201" t="s">
        <v>1030</v>
      </c>
      <c r="N201" s="205" t="s">
        <v>652</v>
      </c>
      <c r="O201" s="205" t="s">
        <v>652</v>
      </c>
      <c r="P201" s="208" t="s">
        <v>846</v>
      </c>
      <c r="Q201" s="208" t="s">
        <v>2922</v>
      </c>
      <c r="R201" s="208" t="s">
        <v>4801</v>
      </c>
    </row>
    <row r="202" spans="1:18" s="205" customFormat="1" x14ac:dyDescent="0.2">
      <c r="A202" s="205" t="s">
        <v>4827</v>
      </c>
      <c r="B202" s="205" t="s">
        <v>185</v>
      </c>
      <c r="C202" s="200">
        <v>45472</v>
      </c>
      <c r="D202" s="199" t="s">
        <v>152</v>
      </c>
      <c r="E202" s="206">
        <v>90769</v>
      </c>
      <c r="F202" s="206">
        <v>9077</v>
      </c>
      <c r="G202" s="206">
        <v>908</v>
      </c>
      <c r="H202" s="202">
        <f t="shared" si="3"/>
        <v>82600</v>
      </c>
      <c r="I202" s="205" t="s">
        <v>46</v>
      </c>
      <c r="J202" s="205" t="s">
        <v>29</v>
      </c>
      <c r="K202" s="201" t="s">
        <v>1028</v>
      </c>
      <c r="L202" s="205" t="s">
        <v>4828</v>
      </c>
      <c r="M202" s="201" t="s">
        <v>1030</v>
      </c>
      <c r="N202" s="205" t="s">
        <v>652</v>
      </c>
      <c r="O202" s="205" t="s">
        <v>652</v>
      </c>
      <c r="P202" s="208" t="s">
        <v>2191</v>
      </c>
      <c r="Q202" s="208" t="s">
        <v>2192</v>
      </c>
      <c r="R202" s="208" t="s">
        <v>4801</v>
      </c>
    </row>
    <row r="203" spans="1:18" s="205" customFormat="1" x14ac:dyDescent="0.2">
      <c r="A203" s="205" t="s">
        <v>4829</v>
      </c>
      <c r="B203" s="205" t="s">
        <v>185</v>
      </c>
      <c r="C203" s="200">
        <v>45472</v>
      </c>
      <c r="D203" s="199" t="s">
        <v>152</v>
      </c>
      <c r="E203" s="206">
        <v>50015</v>
      </c>
      <c r="F203" s="206">
        <v>5002</v>
      </c>
      <c r="G203" s="206">
        <v>500</v>
      </c>
      <c r="H203" s="202">
        <f t="shared" si="3"/>
        <v>45513</v>
      </c>
      <c r="I203" s="205" t="s">
        <v>46</v>
      </c>
      <c r="J203" s="205" t="s">
        <v>29</v>
      </c>
      <c r="K203" s="201" t="s">
        <v>1028</v>
      </c>
      <c r="L203" s="205" t="s">
        <v>4830</v>
      </c>
      <c r="M203" s="201" t="s">
        <v>1030</v>
      </c>
      <c r="N203" s="205" t="s">
        <v>652</v>
      </c>
      <c r="O203" s="205" t="s">
        <v>652</v>
      </c>
      <c r="P203" s="208" t="s">
        <v>846</v>
      </c>
      <c r="Q203" s="208" t="s">
        <v>2922</v>
      </c>
      <c r="R203" s="208" t="s">
        <v>4801</v>
      </c>
    </row>
    <row r="204" spans="1:18" s="205" customFormat="1" x14ac:dyDescent="0.2">
      <c r="A204" s="205" t="s">
        <v>4831</v>
      </c>
      <c r="B204" s="205" t="s">
        <v>126</v>
      </c>
      <c r="C204" s="200">
        <v>45472</v>
      </c>
      <c r="D204" s="199" t="s">
        <v>152</v>
      </c>
      <c r="E204" s="206">
        <v>77312</v>
      </c>
      <c r="F204" s="206">
        <v>7731</v>
      </c>
      <c r="G204" s="206">
        <v>773</v>
      </c>
      <c r="H204" s="202">
        <f t="shared" si="3"/>
        <v>70354</v>
      </c>
      <c r="I204" s="205" t="s">
        <v>31</v>
      </c>
      <c r="J204" s="205" t="s">
        <v>29</v>
      </c>
      <c r="K204" s="201" t="s">
        <v>1028</v>
      </c>
      <c r="L204" s="205" t="s">
        <v>4832</v>
      </c>
      <c r="M204" s="201" t="s">
        <v>1030</v>
      </c>
      <c r="N204" s="205" t="s">
        <v>652</v>
      </c>
      <c r="O204" s="205" t="s">
        <v>652</v>
      </c>
      <c r="P204" s="208" t="s">
        <v>663</v>
      </c>
      <c r="Q204" s="208" t="s">
        <v>723</v>
      </c>
      <c r="R204" s="208" t="s">
        <v>4801</v>
      </c>
    </row>
    <row r="205" spans="1:18" s="205" customFormat="1" x14ac:dyDescent="0.2">
      <c r="A205" s="205" t="s">
        <v>4833</v>
      </c>
      <c r="B205" s="205" t="s">
        <v>126</v>
      </c>
      <c r="C205" s="200">
        <v>45472</v>
      </c>
      <c r="D205" s="199" t="s">
        <v>152</v>
      </c>
      <c r="E205" s="206">
        <v>104773</v>
      </c>
      <c r="F205" s="206">
        <v>10477</v>
      </c>
      <c r="G205" s="206">
        <v>1048</v>
      </c>
      <c r="H205" s="202">
        <f t="shared" si="3"/>
        <v>95344</v>
      </c>
      <c r="I205" s="205" t="s">
        <v>31</v>
      </c>
      <c r="J205" s="205" t="s">
        <v>29</v>
      </c>
      <c r="K205" s="201" t="s">
        <v>1028</v>
      </c>
      <c r="L205" s="205" t="s">
        <v>4834</v>
      </c>
      <c r="M205" s="201" t="s">
        <v>1030</v>
      </c>
      <c r="N205" s="205" t="s">
        <v>652</v>
      </c>
      <c r="O205" s="205" t="s">
        <v>652</v>
      </c>
      <c r="P205" s="208" t="s">
        <v>663</v>
      </c>
      <c r="Q205" s="208" t="s">
        <v>723</v>
      </c>
      <c r="R205" s="208" t="s">
        <v>4801</v>
      </c>
    </row>
    <row r="206" spans="1:18" s="205" customFormat="1" x14ac:dyDescent="0.2">
      <c r="A206" s="205" t="s">
        <v>4835</v>
      </c>
      <c r="B206" s="205" t="s">
        <v>241</v>
      </c>
      <c r="C206" s="200">
        <v>45472</v>
      </c>
      <c r="D206" s="199" t="s">
        <v>152</v>
      </c>
      <c r="E206" s="206">
        <v>52242</v>
      </c>
      <c r="F206" s="206">
        <v>5224</v>
      </c>
      <c r="G206" s="206">
        <v>522</v>
      </c>
      <c r="H206" s="202">
        <f t="shared" si="3"/>
        <v>47540</v>
      </c>
      <c r="I206" s="205" t="s">
        <v>242</v>
      </c>
      <c r="J206" s="205" t="s">
        <v>29</v>
      </c>
      <c r="K206" s="201" t="s">
        <v>1028</v>
      </c>
      <c r="L206" s="205" t="s">
        <v>4836</v>
      </c>
      <c r="M206" s="201" t="s">
        <v>1030</v>
      </c>
      <c r="N206" s="205" t="s">
        <v>652</v>
      </c>
      <c r="O206" s="205" t="s">
        <v>652</v>
      </c>
      <c r="P206" s="208" t="s">
        <v>2191</v>
      </c>
      <c r="Q206" s="208" t="s">
        <v>2192</v>
      </c>
      <c r="R206" s="208" t="s">
        <v>4801</v>
      </c>
    </row>
    <row r="207" spans="1:18" s="205" customFormat="1" x14ac:dyDescent="0.2">
      <c r="A207" s="205" t="s">
        <v>4837</v>
      </c>
      <c r="B207" s="205" t="s">
        <v>4838</v>
      </c>
      <c r="C207" s="200">
        <v>45472</v>
      </c>
      <c r="D207" s="199" t="s">
        <v>152</v>
      </c>
      <c r="E207" s="206">
        <v>84856</v>
      </c>
      <c r="F207" s="206">
        <v>8486</v>
      </c>
      <c r="G207" s="206">
        <v>849</v>
      </c>
      <c r="H207" s="202">
        <f t="shared" si="3"/>
        <v>77219</v>
      </c>
      <c r="I207" s="205" t="s">
        <v>329</v>
      </c>
      <c r="J207" s="205" t="s">
        <v>29</v>
      </c>
      <c r="K207" s="201" t="s">
        <v>1058</v>
      </c>
      <c r="L207" s="205" t="s">
        <v>4839</v>
      </c>
      <c r="M207" s="201" t="s">
        <v>1030</v>
      </c>
      <c r="N207" s="205" t="s">
        <v>652</v>
      </c>
      <c r="O207" s="205" t="s">
        <v>652</v>
      </c>
      <c r="P207" s="208" t="s">
        <v>4691</v>
      </c>
      <c r="Q207" s="208" t="s">
        <v>4840</v>
      </c>
      <c r="R207" s="208" t="s">
        <v>4801</v>
      </c>
    </row>
    <row r="208" spans="1:18" s="205" customFormat="1" x14ac:dyDescent="0.2">
      <c r="A208" s="205" t="s">
        <v>4670</v>
      </c>
      <c r="B208" s="205" t="s">
        <v>4671</v>
      </c>
      <c r="C208" s="200">
        <v>45472</v>
      </c>
      <c r="D208" s="199" t="s">
        <v>152</v>
      </c>
      <c r="E208" s="206">
        <v>22367</v>
      </c>
      <c r="F208" s="206">
        <v>2237</v>
      </c>
      <c r="G208" s="206">
        <v>224</v>
      </c>
      <c r="H208" s="202">
        <f t="shared" si="3"/>
        <v>20354</v>
      </c>
      <c r="I208" s="205" t="s">
        <v>137</v>
      </c>
      <c r="J208" s="205" t="s">
        <v>29</v>
      </c>
      <c r="K208" s="201" t="s">
        <v>1042</v>
      </c>
      <c r="L208" s="205" t="s">
        <v>4841</v>
      </c>
      <c r="M208" s="201" t="s">
        <v>1030</v>
      </c>
      <c r="N208" s="205" t="s">
        <v>3723</v>
      </c>
      <c r="O208" s="205" t="s">
        <v>1187</v>
      </c>
      <c r="P208" s="208" t="s">
        <v>3226</v>
      </c>
      <c r="Q208" s="208" t="s">
        <v>3375</v>
      </c>
      <c r="R208" s="208" t="s">
        <v>4801</v>
      </c>
    </row>
    <row r="209" spans="1:18" s="205" customFormat="1" x14ac:dyDescent="0.2">
      <c r="A209" s="205" t="s">
        <v>127</v>
      </c>
      <c r="B209" s="205" t="s">
        <v>3225</v>
      </c>
      <c r="C209" s="200">
        <v>45472</v>
      </c>
      <c r="D209" s="199" t="s">
        <v>152</v>
      </c>
      <c r="E209" s="206">
        <v>71659</v>
      </c>
      <c r="F209" s="206">
        <v>7166</v>
      </c>
      <c r="G209" s="206">
        <v>717</v>
      </c>
      <c r="H209" s="202">
        <f t="shared" si="3"/>
        <v>65210</v>
      </c>
      <c r="I209" s="205" t="s">
        <v>128</v>
      </c>
      <c r="J209" s="205" t="s">
        <v>29</v>
      </c>
      <c r="K209" s="201" t="s">
        <v>1042</v>
      </c>
      <c r="L209" s="205" t="s">
        <v>4842</v>
      </c>
      <c r="M209" s="201" t="s">
        <v>1030</v>
      </c>
      <c r="N209" s="205" t="s">
        <v>652</v>
      </c>
      <c r="O209" s="205" t="s">
        <v>652</v>
      </c>
      <c r="P209" s="208" t="s">
        <v>830</v>
      </c>
      <c r="Q209" s="208" t="s">
        <v>3228</v>
      </c>
      <c r="R209" s="208" t="s">
        <v>4801</v>
      </c>
    </row>
    <row r="210" spans="1:18" s="205" customFormat="1" x14ac:dyDescent="0.2">
      <c r="A210" s="205" t="s">
        <v>53</v>
      </c>
      <c r="B210" s="205" t="s">
        <v>586</v>
      </c>
      <c r="C210" s="200">
        <v>45472</v>
      </c>
      <c r="D210" s="199" t="s">
        <v>152</v>
      </c>
      <c r="E210" s="206">
        <v>97957</v>
      </c>
      <c r="F210" s="206">
        <v>9796</v>
      </c>
      <c r="G210" s="206">
        <v>980</v>
      </c>
      <c r="H210" s="202">
        <f t="shared" si="3"/>
        <v>89141</v>
      </c>
      <c r="I210" s="205" t="s">
        <v>173</v>
      </c>
      <c r="J210" s="205" t="s">
        <v>29</v>
      </c>
      <c r="K210" s="201" t="s">
        <v>1042</v>
      </c>
      <c r="L210" s="205" t="s">
        <v>4843</v>
      </c>
      <c r="M210" s="201" t="s">
        <v>1030</v>
      </c>
      <c r="N210" s="205" t="s">
        <v>652</v>
      </c>
      <c r="O210" s="205" t="s">
        <v>652</v>
      </c>
      <c r="P210" s="208" t="s">
        <v>653</v>
      </c>
      <c r="Q210" s="208" t="s">
        <v>654</v>
      </c>
      <c r="R210" s="208" t="s">
        <v>4801</v>
      </c>
    </row>
    <row r="211" spans="1:18" s="205" customFormat="1" x14ac:dyDescent="0.2">
      <c r="A211" s="205" t="s">
        <v>4844</v>
      </c>
      <c r="B211" s="205" t="s">
        <v>4845</v>
      </c>
      <c r="C211" s="200">
        <v>45472</v>
      </c>
      <c r="D211" s="199" t="s">
        <v>152</v>
      </c>
      <c r="E211" s="206">
        <v>38660</v>
      </c>
      <c r="F211" s="206">
        <v>3866</v>
      </c>
      <c r="G211" s="206">
        <v>387</v>
      </c>
      <c r="H211" s="202">
        <f t="shared" si="3"/>
        <v>35181</v>
      </c>
      <c r="I211" s="205" t="s">
        <v>329</v>
      </c>
      <c r="J211" s="205" t="s">
        <v>29</v>
      </c>
      <c r="K211" s="201" t="s">
        <v>1058</v>
      </c>
      <c r="L211" s="205" t="s">
        <v>4846</v>
      </c>
      <c r="M211" s="201" t="s">
        <v>1030</v>
      </c>
      <c r="N211" s="205" t="s">
        <v>652</v>
      </c>
      <c r="O211" s="205" t="s">
        <v>652</v>
      </c>
      <c r="P211" s="208" t="s">
        <v>4691</v>
      </c>
      <c r="Q211" s="208" t="s">
        <v>4840</v>
      </c>
      <c r="R211" s="208" t="s">
        <v>4801</v>
      </c>
    </row>
    <row r="212" spans="1:18" s="205" customFormat="1" x14ac:dyDescent="0.2">
      <c r="A212" s="205" t="s">
        <v>4847</v>
      </c>
      <c r="B212" s="205" t="s">
        <v>4848</v>
      </c>
      <c r="C212" s="200">
        <v>45472</v>
      </c>
      <c r="D212" s="199" t="s">
        <v>152</v>
      </c>
      <c r="E212" s="206">
        <v>52204</v>
      </c>
      <c r="F212" s="206">
        <v>5220</v>
      </c>
      <c r="G212" s="206">
        <v>522</v>
      </c>
      <c r="H212" s="202">
        <f t="shared" si="3"/>
        <v>47506</v>
      </c>
      <c r="I212" s="205" t="s">
        <v>49</v>
      </c>
      <c r="J212" s="205" t="s">
        <v>29</v>
      </c>
      <c r="K212" s="201" t="s">
        <v>1058</v>
      </c>
      <c r="L212" s="205" t="s">
        <v>4849</v>
      </c>
      <c r="M212" s="201" t="s">
        <v>1030</v>
      </c>
      <c r="N212" s="205" t="s">
        <v>652</v>
      </c>
      <c r="O212" s="205" t="s">
        <v>652</v>
      </c>
      <c r="P212" s="208" t="s">
        <v>844</v>
      </c>
      <c r="Q212" s="208" t="s">
        <v>4644</v>
      </c>
      <c r="R212" s="208" t="s">
        <v>4801</v>
      </c>
    </row>
    <row r="213" spans="1:18" s="205" customFormat="1" x14ac:dyDescent="0.2">
      <c r="A213" s="205" t="s">
        <v>1005</v>
      </c>
      <c r="B213" s="205" t="s">
        <v>4850</v>
      </c>
      <c r="C213" s="200">
        <v>45472</v>
      </c>
      <c r="D213" s="199" t="s">
        <v>152</v>
      </c>
      <c r="E213" s="206">
        <v>77197</v>
      </c>
      <c r="F213" s="206">
        <v>7720</v>
      </c>
      <c r="G213" s="206">
        <v>772</v>
      </c>
      <c r="H213" s="202">
        <f t="shared" si="3"/>
        <v>70249</v>
      </c>
      <c r="I213" s="205" t="s">
        <v>49</v>
      </c>
      <c r="J213" s="205" t="s">
        <v>29</v>
      </c>
      <c r="K213" s="201" t="s">
        <v>1028</v>
      </c>
      <c r="L213" s="205" t="s">
        <v>4851</v>
      </c>
      <c r="M213" s="201" t="s">
        <v>1030</v>
      </c>
      <c r="N213" s="205" t="s">
        <v>652</v>
      </c>
      <c r="O213" s="205" t="s">
        <v>652</v>
      </c>
      <c r="P213" s="208" t="s">
        <v>1534</v>
      </c>
      <c r="Q213" s="208" t="s">
        <v>3748</v>
      </c>
      <c r="R213" s="208" t="s">
        <v>4801</v>
      </c>
    </row>
    <row r="214" spans="1:18" s="205" customFormat="1" x14ac:dyDescent="0.2">
      <c r="A214" s="205" t="s">
        <v>4852</v>
      </c>
      <c r="B214" s="205" t="s">
        <v>4853</v>
      </c>
      <c r="C214" s="200">
        <v>45472</v>
      </c>
      <c r="D214" s="199" t="s">
        <v>152</v>
      </c>
      <c r="E214" s="206">
        <v>96185</v>
      </c>
      <c r="F214" s="206">
        <v>9619</v>
      </c>
      <c r="G214" s="206">
        <v>962</v>
      </c>
      <c r="H214" s="202">
        <f t="shared" si="3"/>
        <v>87528</v>
      </c>
      <c r="I214" s="205" t="s">
        <v>49</v>
      </c>
      <c r="J214" s="205" t="s">
        <v>29</v>
      </c>
      <c r="K214" s="201" t="s">
        <v>1028</v>
      </c>
      <c r="L214" s="205" t="s">
        <v>4854</v>
      </c>
      <c r="M214" s="201" t="s">
        <v>1030</v>
      </c>
      <c r="N214" s="205" t="s">
        <v>652</v>
      </c>
      <c r="O214" s="205" t="s">
        <v>652</v>
      </c>
      <c r="P214" s="208" t="s">
        <v>1534</v>
      </c>
      <c r="Q214" s="208" t="s">
        <v>3748</v>
      </c>
      <c r="R214" s="208" t="s">
        <v>4801</v>
      </c>
    </row>
    <row r="215" spans="1:18" s="205" customFormat="1" x14ac:dyDescent="0.2">
      <c r="A215" s="205" t="s">
        <v>4855</v>
      </c>
      <c r="B215" s="205" t="s">
        <v>4856</v>
      </c>
      <c r="C215" s="200">
        <v>45473</v>
      </c>
      <c r="D215" s="199" t="s">
        <v>152</v>
      </c>
      <c r="E215" s="206">
        <v>92372</v>
      </c>
      <c r="F215" s="206">
        <v>9237</v>
      </c>
      <c r="G215" s="206">
        <v>924</v>
      </c>
      <c r="H215" s="202">
        <f t="shared" si="3"/>
        <v>84059</v>
      </c>
      <c r="I215" s="205" t="s">
        <v>409</v>
      </c>
      <c r="J215" s="205" t="s">
        <v>29</v>
      </c>
      <c r="K215" s="201" t="s">
        <v>1058</v>
      </c>
      <c r="L215" s="205" t="s">
        <v>4857</v>
      </c>
      <c r="M215" s="201" t="s">
        <v>1072</v>
      </c>
      <c r="N215" s="205" t="s">
        <v>652</v>
      </c>
      <c r="O215" s="205" t="s">
        <v>652</v>
      </c>
      <c r="P215" s="216" t="s">
        <v>875</v>
      </c>
      <c r="Q215" s="216" t="s">
        <v>976</v>
      </c>
      <c r="R215" s="216" t="s">
        <v>3035</v>
      </c>
    </row>
    <row r="216" spans="1:18" s="205" customFormat="1" x14ac:dyDescent="0.2">
      <c r="A216" s="205" t="s">
        <v>4858</v>
      </c>
      <c r="B216" s="205" t="s">
        <v>4859</v>
      </c>
      <c r="C216" s="200">
        <v>45473</v>
      </c>
      <c r="D216" s="199" t="s">
        <v>152</v>
      </c>
      <c r="E216" s="206">
        <v>83784</v>
      </c>
      <c r="F216" s="206">
        <v>8379</v>
      </c>
      <c r="G216" s="206">
        <v>838</v>
      </c>
      <c r="H216" s="202">
        <f t="shared" si="3"/>
        <v>76243</v>
      </c>
      <c r="I216" s="205" t="s">
        <v>4860</v>
      </c>
      <c r="J216" s="205" t="s">
        <v>29</v>
      </c>
      <c r="K216" s="201" t="s">
        <v>1028</v>
      </c>
      <c r="L216" s="205" t="s">
        <v>4861</v>
      </c>
      <c r="M216" s="201" t="s">
        <v>1030</v>
      </c>
      <c r="N216" s="205" t="s">
        <v>652</v>
      </c>
      <c r="O216" s="205" t="s">
        <v>652</v>
      </c>
      <c r="P216" s="208" t="s">
        <v>4635</v>
      </c>
      <c r="Q216" s="208" t="s">
        <v>4683</v>
      </c>
      <c r="R216" s="208" t="s">
        <v>697</v>
      </c>
    </row>
    <row r="217" spans="1:18" s="205" customFormat="1" x14ac:dyDescent="0.2">
      <c r="A217" s="205" t="s">
        <v>4862</v>
      </c>
      <c r="B217" s="205" t="s">
        <v>4863</v>
      </c>
      <c r="C217" s="200">
        <v>45473</v>
      </c>
      <c r="D217" s="199" t="s">
        <v>152</v>
      </c>
      <c r="E217" s="206">
        <v>62693</v>
      </c>
      <c r="F217" s="206">
        <v>6269</v>
      </c>
      <c r="G217" s="206">
        <v>627</v>
      </c>
      <c r="H217" s="202">
        <f t="shared" si="3"/>
        <v>57051</v>
      </c>
      <c r="I217" s="205" t="s">
        <v>4864</v>
      </c>
      <c r="J217" s="205" t="s">
        <v>29</v>
      </c>
      <c r="K217" s="201" t="s">
        <v>1028</v>
      </c>
      <c r="L217" s="205" t="s">
        <v>4865</v>
      </c>
      <c r="M217" s="201" t="s">
        <v>1030</v>
      </c>
      <c r="N217" s="205" t="s">
        <v>652</v>
      </c>
      <c r="O217" s="205" t="s">
        <v>652</v>
      </c>
      <c r="P217" s="208" t="s">
        <v>882</v>
      </c>
      <c r="Q217" s="208" t="s">
        <v>2881</v>
      </c>
      <c r="R217" s="208" t="s">
        <v>697</v>
      </c>
    </row>
    <row r="218" spans="1:18" s="205" customFormat="1" x14ac:dyDescent="0.2">
      <c r="A218" s="205" t="s">
        <v>236</v>
      </c>
      <c r="B218" s="205" t="s">
        <v>4866</v>
      </c>
      <c r="C218" s="200">
        <v>45450</v>
      </c>
      <c r="D218" s="201" t="s">
        <v>166</v>
      </c>
      <c r="E218" s="206">
        <v>-24535</v>
      </c>
      <c r="F218" s="206">
        <v>-2453</v>
      </c>
      <c r="G218" s="206">
        <v>-245</v>
      </c>
      <c r="H218" s="202">
        <f t="shared" si="3"/>
        <v>-22327</v>
      </c>
      <c r="I218" s="205" t="s">
        <v>41</v>
      </c>
      <c r="J218" s="205" t="s">
        <v>29</v>
      </c>
      <c r="K218" s="201" t="s">
        <v>1068</v>
      </c>
      <c r="L218" s="205" t="s">
        <v>4867</v>
      </c>
      <c r="M218" s="201" t="s">
        <v>1030</v>
      </c>
      <c r="N218" s="205" t="s">
        <v>3723</v>
      </c>
      <c r="O218" s="205" t="s">
        <v>1187</v>
      </c>
      <c r="P218" s="208" t="s">
        <v>686</v>
      </c>
      <c r="Q218" s="208" t="s">
        <v>687</v>
      </c>
      <c r="R218" s="208" t="s">
        <v>3035</v>
      </c>
    </row>
    <row r="219" spans="1:18" s="205" customFormat="1" x14ac:dyDescent="0.2">
      <c r="A219" s="205" t="s">
        <v>253</v>
      </c>
      <c r="B219" s="205" t="s">
        <v>4868</v>
      </c>
      <c r="C219" s="200">
        <v>45448</v>
      </c>
      <c r="D219" s="201" t="s">
        <v>166</v>
      </c>
      <c r="E219" s="206">
        <v>-27286</v>
      </c>
      <c r="F219" s="206">
        <v>-2729</v>
      </c>
      <c r="G219" s="206">
        <v>-273</v>
      </c>
      <c r="H219" s="202">
        <f t="shared" si="3"/>
        <v>-24830</v>
      </c>
      <c r="I219" s="205" t="s">
        <v>254</v>
      </c>
      <c r="J219" s="205" t="s">
        <v>29</v>
      </c>
      <c r="K219" s="201" t="s">
        <v>1068</v>
      </c>
      <c r="L219" s="205" t="s">
        <v>4869</v>
      </c>
      <c r="M219" s="201" t="s">
        <v>1030</v>
      </c>
      <c r="N219" s="205" t="s">
        <v>652</v>
      </c>
      <c r="O219" s="205" t="s">
        <v>652</v>
      </c>
      <c r="P219" s="208" t="s">
        <v>1533</v>
      </c>
      <c r="Q219" s="208" t="s">
        <v>1534</v>
      </c>
      <c r="R219" s="208" t="s">
        <v>4438</v>
      </c>
    </row>
    <row r="220" spans="1:18" s="205" customFormat="1" x14ac:dyDescent="0.2">
      <c r="A220" s="205" t="s">
        <v>427</v>
      </c>
      <c r="B220" s="205" t="s">
        <v>736</v>
      </c>
      <c r="C220" s="200">
        <v>45456</v>
      </c>
      <c r="D220" s="201" t="s">
        <v>166</v>
      </c>
      <c r="E220" s="206">
        <v>-44959</v>
      </c>
      <c r="F220" s="206">
        <v>-4496</v>
      </c>
      <c r="G220" s="206">
        <v>-450</v>
      </c>
      <c r="H220" s="202">
        <f t="shared" si="3"/>
        <v>-40913</v>
      </c>
      <c r="I220" s="205" t="s">
        <v>737</v>
      </c>
      <c r="J220" s="205" t="s">
        <v>29</v>
      </c>
      <c r="K220" s="201" t="s">
        <v>1068</v>
      </c>
      <c r="L220" s="205" t="s">
        <v>4870</v>
      </c>
      <c r="M220" s="201" t="s">
        <v>1072</v>
      </c>
      <c r="N220" s="205" t="s">
        <v>1651</v>
      </c>
      <c r="O220" s="205" t="s">
        <v>1652</v>
      </c>
      <c r="P220" s="208" t="s">
        <v>651</v>
      </c>
      <c r="Q220" s="208" t="s">
        <v>673</v>
      </c>
      <c r="R220" s="208" t="s">
        <v>4635</v>
      </c>
    </row>
    <row r="221" spans="1:18" s="205" customFormat="1" x14ac:dyDescent="0.2">
      <c r="A221" s="205" t="s">
        <v>4871</v>
      </c>
      <c r="B221" s="205" t="s">
        <v>241</v>
      </c>
      <c r="C221" s="200">
        <v>45464</v>
      </c>
      <c r="D221" s="201" t="s">
        <v>166</v>
      </c>
      <c r="E221" s="206">
        <v>-62090</v>
      </c>
      <c r="F221" s="206">
        <v>-6209</v>
      </c>
      <c r="G221" s="206">
        <v>-621</v>
      </c>
      <c r="H221" s="202">
        <f t="shared" si="3"/>
        <v>-56502</v>
      </c>
      <c r="I221" s="205" t="s">
        <v>242</v>
      </c>
      <c r="J221" s="205" t="s">
        <v>29</v>
      </c>
      <c r="K221" s="199" t="s">
        <v>1068</v>
      </c>
      <c r="L221" s="205" t="s">
        <v>4872</v>
      </c>
      <c r="M221" s="201" t="s">
        <v>1030</v>
      </c>
      <c r="N221" s="205" t="s">
        <v>652</v>
      </c>
      <c r="O221" s="205" t="s">
        <v>652</v>
      </c>
      <c r="P221" s="208" t="s">
        <v>692</v>
      </c>
      <c r="Q221" s="208" t="s">
        <v>692</v>
      </c>
      <c r="R221" s="208" t="s">
        <v>4716</v>
      </c>
    </row>
    <row r="222" spans="1:18" s="205" customFormat="1" x14ac:dyDescent="0.2">
      <c r="A222" s="205" t="s">
        <v>627</v>
      </c>
      <c r="B222" s="205" t="s">
        <v>628</v>
      </c>
      <c r="C222" s="200">
        <v>45464</v>
      </c>
      <c r="D222" s="201" t="s">
        <v>166</v>
      </c>
      <c r="E222" s="206">
        <v>-64489</v>
      </c>
      <c r="F222" s="206">
        <v>-6449</v>
      </c>
      <c r="G222" s="206">
        <v>-645</v>
      </c>
      <c r="H222" s="202">
        <f t="shared" si="3"/>
        <v>-58685</v>
      </c>
      <c r="I222" s="205" t="s">
        <v>32</v>
      </c>
      <c r="J222" s="205" t="s">
        <v>29</v>
      </c>
      <c r="K222" s="199" t="s">
        <v>1386</v>
      </c>
      <c r="L222" s="205" t="s">
        <v>4873</v>
      </c>
      <c r="M222" s="201" t="s">
        <v>1030</v>
      </c>
      <c r="N222" s="205" t="s">
        <v>652</v>
      </c>
      <c r="O222" s="205" t="s">
        <v>652</v>
      </c>
      <c r="P222" s="214" t="s">
        <v>653</v>
      </c>
      <c r="Q222" s="214" t="s">
        <v>1031</v>
      </c>
      <c r="R222" s="214" t="s">
        <v>4716</v>
      </c>
    </row>
    <row r="223" spans="1:18" s="205" customFormat="1" x14ac:dyDescent="0.2">
      <c r="A223" s="209" t="s">
        <v>1170</v>
      </c>
      <c r="B223" s="209" t="s">
        <v>1171</v>
      </c>
      <c r="C223" s="210">
        <v>45451</v>
      </c>
      <c r="D223" s="201" t="s">
        <v>166</v>
      </c>
      <c r="E223" s="211">
        <v>-75848</v>
      </c>
      <c r="F223" s="211">
        <v>-7585</v>
      </c>
      <c r="G223" s="211">
        <v>-758</v>
      </c>
      <c r="H223" s="202">
        <f t="shared" si="3"/>
        <v>-69021</v>
      </c>
      <c r="I223" s="209" t="s">
        <v>410</v>
      </c>
      <c r="J223" s="209" t="s">
        <v>29</v>
      </c>
      <c r="K223" s="201" t="s">
        <v>1068</v>
      </c>
      <c r="L223" s="209" t="s">
        <v>4874</v>
      </c>
      <c r="M223" s="201" t="s">
        <v>1030</v>
      </c>
      <c r="N223" s="209" t="s">
        <v>652</v>
      </c>
      <c r="O223" s="209" t="s">
        <v>652</v>
      </c>
      <c r="P223" s="213" t="s">
        <v>987</v>
      </c>
      <c r="Q223" s="213" t="s">
        <v>988</v>
      </c>
      <c r="R223" s="213" t="s">
        <v>4875</v>
      </c>
    </row>
    <row r="224" spans="1:18" s="205" customFormat="1" x14ac:dyDescent="0.2">
      <c r="A224" s="205" t="s">
        <v>4876</v>
      </c>
      <c r="B224" s="205" t="s">
        <v>190</v>
      </c>
      <c r="C224" s="200">
        <v>45468</v>
      </c>
      <c r="D224" s="201" t="s">
        <v>166</v>
      </c>
      <c r="E224" s="206">
        <v>-90873</v>
      </c>
      <c r="F224" s="206">
        <v>-9087</v>
      </c>
      <c r="G224" s="206">
        <v>-909</v>
      </c>
      <c r="H224" s="202">
        <f t="shared" si="3"/>
        <v>-82695</v>
      </c>
      <c r="I224" s="205" t="s">
        <v>46</v>
      </c>
      <c r="J224" s="205" t="s">
        <v>29</v>
      </c>
      <c r="K224" s="201" t="s">
        <v>1325</v>
      </c>
      <c r="L224" s="205" t="s">
        <v>4877</v>
      </c>
      <c r="M224" s="201" t="s">
        <v>1030</v>
      </c>
      <c r="N224" s="205" t="s">
        <v>652</v>
      </c>
      <c r="O224" s="205" t="s">
        <v>652</v>
      </c>
      <c r="P224" s="208" t="s">
        <v>703</v>
      </c>
      <c r="Q224" s="208" t="s">
        <v>703</v>
      </c>
      <c r="R224" s="208" t="s">
        <v>4764</v>
      </c>
    </row>
    <row r="225" spans="1:18" s="205" customFormat="1" x14ac:dyDescent="0.2">
      <c r="A225" s="205" t="s">
        <v>278</v>
      </c>
      <c r="B225" s="205" t="s">
        <v>4622</v>
      </c>
      <c r="C225" s="200">
        <v>45457</v>
      </c>
      <c r="D225" s="201" t="s">
        <v>166</v>
      </c>
      <c r="E225" s="206">
        <v>-92532</v>
      </c>
      <c r="F225" s="206">
        <v>-9253</v>
      </c>
      <c r="G225" s="206">
        <v>-925</v>
      </c>
      <c r="H225" s="202">
        <f t="shared" si="3"/>
        <v>-84204</v>
      </c>
      <c r="I225" s="205" t="s">
        <v>109</v>
      </c>
      <c r="J225" s="205" t="s">
        <v>29</v>
      </c>
      <c r="K225" s="201" t="s">
        <v>1068</v>
      </c>
      <c r="L225" s="205" t="s">
        <v>4878</v>
      </c>
      <c r="M225" s="201" t="s">
        <v>1030</v>
      </c>
      <c r="N225" s="205" t="s">
        <v>1190</v>
      </c>
      <c r="O225" s="205" t="s">
        <v>1191</v>
      </c>
      <c r="P225" s="208" t="s">
        <v>4516</v>
      </c>
      <c r="Q225" s="208" t="s">
        <v>4612</v>
      </c>
      <c r="R225" s="208" t="s">
        <v>861</v>
      </c>
    </row>
    <row r="226" spans="1:18" s="205" customFormat="1" x14ac:dyDescent="0.2">
      <c r="A226" s="205" t="s">
        <v>192</v>
      </c>
      <c r="B226" s="205" t="s">
        <v>617</v>
      </c>
      <c r="C226" s="200">
        <v>45472</v>
      </c>
      <c r="D226" s="201" t="s">
        <v>166</v>
      </c>
      <c r="E226" s="206">
        <v>-93479</v>
      </c>
      <c r="F226" s="206">
        <v>-9348</v>
      </c>
      <c r="G226" s="206">
        <v>-935</v>
      </c>
      <c r="H226" s="202">
        <f t="shared" si="3"/>
        <v>-85066</v>
      </c>
      <c r="I226" s="205" t="s">
        <v>32</v>
      </c>
      <c r="J226" s="205" t="s">
        <v>29</v>
      </c>
      <c r="K226" s="201" t="s">
        <v>1068</v>
      </c>
      <c r="L226" s="205" t="s">
        <v>4879</v>
      </c>
      <c r="M226" s="201" t="s">
        <v>1030</v>
      </c>
      <c r="N226" s="205" t="s">
        <v>652</v>
      </c>
      <c r="O226" s="205" t="s">
        <v>652</v>
      </c>
      <c r="P226" s="208" t="s">
        <v>653</v>
      </c>
      <c r="Q226" s="208" t="s">
        <v>654</v>
      </c>
      <c r="R226" s="208" t="s">
        <v>4801</v>
      </c>
    </row>
    <row r="227" spans="1:18" s="205" customFormat="1" x14ac:dyDescent="0.2">
      <c r="A227" s="205" t="s">
        <v>102</v>
      </c>
      <c r="B227" s="205" t="s">
        <v>297</v>
      </c>
      <c r="C227" s="200">
        <v>45446</v>
      </c>
      <c r="D227" s="201" t="s">
        <v>166</v>
      </c>
      <c r="E227" s="206">
        <v>-113268</v>
      </c>
      <c r="F227" s="206">
        <v>-11327</v>
      </c>
      <c r="G227" s="206">
        <v>-1133</v>
      </c>
      <c r="H227" s="202">
        <f t="shared" si="3"/>
        <v>-103074</v>
      </c>
      <c r="I227" s="205" t="s">
        <v>31</v>
      </c>
      <c r="J227" s="205" t="s">
        <v>29</v>
      </c>
      <c r="K227" s="201" t="s">
        <v>1068</v>
      </c>
      <c r="L227" s="205" t="s">
        <v>4880</v>
      </c>
      <c r="M227" s="201" t="s">
        <v>1030</v>
      </c>
      <c r="N227" s="205" t="s">
        <v>652</v>
      </c>
      <c r="O227" s="205" t="s">
        <v>652</v>
      </c>
      <c r="P227" s="208" t="s">
        <v>724</v>
      </c>
      <c r="Q227" s="208" t="s">
        <v>725</v>
      </c>
      <c r="R227" s="208" t="s">
        <v>4413</v>
      </c>
    </row>
    <row r="228" spans="1:18" s="205" customFormat="1" x14ac:dyDescent="0.2">
      <c r="A228" s="205" t="s">
        <v>144</v>
      </c>
      <c r="B228" s="205" t="s">
        <v>3396</v>
      </c>
      <c r="C228" s="200">
        <v>45463</v>
      </c>
      <c r="D228" s="201" t="s">
        <v>166</v>
      </c>
      <c r="E228" s="206">
        <v>-187574</v>
      </c>
      <c r="F228" s="206">
        <v>-18757</v>
      </c>
      <c r="G228" s="206">
        <v>-1876</v>
      </c>
      <c r="H228" s="202">
        <f t="shared" si="3"/>
        <v>-170693</v>
      </c>
      <c r="I228" s="205" t="s">
        <v>40</v>
      </c>
      <c r="J228" s="205" t="s">
        <v>29</v>
      </c>
      <c r="K228" s="201" t="s">
        <v>1068</v>
      </c>
      <c r="L228" s="205" t="s">
        <v>4881</v>
      </c>
      <c r="M228" s="201" t="s">
        <v>1030</v>
      </c>
      <c r="N228" s="205" t="s">
        <v>652</v>
      </c>
      <c r="O228" s="205" t="s">
        <v>652</v>
      </c>
      <c r="P228" s="208" t="s">
        <v>2467</v>
      </c>
      <c r="Q228" s="208" t="s">
        <v>2468</v>
      </c>
      <c r="R228" s="208" t="s">
        <v>4691</v>
      </c>
    </row>
    <row r="229" spans="1:18" s="205" customFormat="1" x14ac:dyDescent="0.2">
      <c r="A229" s="205" t="s">
        <v>150</v>
      </c>
      <c r="B229" s="205" t="s">
        <v>574</v>
      </c>
      <c r="C229" s="200">
        <v>45463</v>
      </c>
      <c r="D229" s="201" t="s">
        <v>166</v>
      </c>
      <c r="E229" s="206">
        <v>-198663</v>
      </c>
      <c r="F229" s="206">
        <v>-19866</v>
      </c>
      <c r="G229" s="206">
        <v>-1987</v>
      </c>
      <c r="H229" s="202">
        <f t="shared" si="3"/>
        <v>-180784</v>
      </c>
      <c r="I229" s="205" t="s">
        <v>32</v>
      </c>
      <c r="J229" s="205" t="s">
        <v>29</v>
      </c>
      <c r="K229" s="201" t="s">
        <v>1068</v>
      </c>
      <c r="L229" s="205" t="s">
        <v>4882</v>
      </c>
      <c r="M229" s="201" t="s">
        <v>1030</v>
      </c>
      <c r="N229" s="205" t="s">
        <v>652</v>
      </c>
      <c r="O229" s="205" t="s">
        <v>652</v>
      </c>
      <c r="P229" s="208" t="s">
        <v>653</v>
      </c>
      <c r="Q229" s="208" t="s">
        <v>654</v>
      </c>
      <c r="R229" s="208" t="s">
        <v>4691</v>
      </c>
    </row>
    <row r="230" spans="1:18" s="205" customFormat="1" x14ac:dyDescent="0.2">
      <c r="A230" s="205" t="s">
        <v>4517</v>
      </c>
      <c r="B230" s="205" t="s">
        <v>4518</v>
      </c>
      <c r="C230" s="200">
        <v>45455</v>
      </c>
      <c r="D230" s="201" t="s">
        <v>166</v>
      </c>
      <c r="E230" s="206">
        <v>-284066</v>
      </c>
      <c r="F230" s="206">
        <v>-28407</v>
      </c>
      <c r="G230" s="206">
        <v>-2841</v>
      </c>
      <c r="H230" s="202">
        <f t="shared" si="3"/>
        <v>-258500</v>
      </c>
      <c r="I230" s="205" t="s">
        <v>46</v>
      </c>
      <c r="J230" s="205" t="s">
        <v>29</v>
      </c>
      <c r="K230" s="201" t="s">
        <v>1058</v>
      </c>
      <c r="L230" s="205" t="s">
        <v>4883</v>
      </c>
      <c r="M230" s="201" t="s">
        <v>1030</v>
      </c>
      <c r="N230" s="205" t="s">
        <v>1060</v>
      </c>
      <c r="O230" s="205" t="s">
        <v>1061</v>
      </c>
      <c r="P230" s="208" t="s">
        <v>690</v>
      </c>
      <c r="Q230" s="208" t="s">
        <v>691</v>
      </c>
      <c r="R230" s="208" t="s">
        <v>4516</v>
      </c>
    </row>
    <row r="231" spans="1:18" s="205" customFormat="1" x14ac:dyDescent="0.2">
      <c r="A231" s="205" t="s">
        <v>954</v>
      </c>
      <c r="B231" s="205" t="s">
        <v>955</v>
      </c>
      <c r="C231" s="200">
        <v>45453</v>
      </c>
      <c r="D231" s="201" t="s">
        <v>166</v>
      </c>
      <c r="E231" s="206">
        <v>-399260</v>
      </c>
      <c r="F231" s="206">
        <v>-39926</v>
      </c>
      <c r="G231" s="206">
        <v>-3993</v>
      </c>
      <c r="H231" s="202">
        <f t="shared" si="3"/>
        <v>-363327</v>
      </c>
      <c r="I231" s="205" t="s">
        <v>28</v>
      </c>
      <c r="J231" s="205" t="s">
        <v>29</v>
      </c>
      <c r="K231" s="201" t="s">
        <v>1386</v>
      </c>
      <c r="L231" s="205" t="s">
        <v>4884</v>
      </c>
      <c r="M231" s="201" t="s">
        <v>1030</v>
      </c>
      <c r="N231" s="205" t="s">
        <v>1190</v>
      </c>
      <c r="O231" s="205" t="s">
        <v>1191</v>
      </c>
      <c r="P231" s="208" t="s">
        <v>868</v>
      </c>
      <c r="Q231" s="208" t="s">
        <v>868</v>
      </c>
      <c r="R231" s="208" t="s">
        <v>4481</v>
      </c>
    </row>
    <row r="232" spans="1:18" s="205" customFormat="1" x14ac:dyDescent="0.2">
      <c r="A232" s="205" t="s">
        <v>53</v>
      </c>
      <c r="B232" s="205" t="s">
        <v>586</v>
      </c>
      <c r="C232" s="200">
        <v>45454</v>
      </c>
      <c r="D232" s="201" t="s">
        <v>166</v>
      </c>
      <c r="E232" s="206">
        <v>-1207352</v>
      </c>
      <c r="F232" s="206">
        <v>-120735</v>
      </c>
      <c r="G232" s="206">
        <v>-12074</v>
      </c>
      <c r="H232" s="202">
        <f t="shared" si="3"/>
        <v>-1098691</v>
      </c>
      <c r="I232" s="205" t="s">
        <v>173</v>
      </c>
      <c r="J232" s="205" t="s">
        <v>29</v>
      </c>
      <c r="K232" s="201" t="s">
        <v>1068</v>
      </c>
      <c r="L232" s="205" t="s">
        <v>4885</v>
      </c>
      <c r="M232" s="201" t="s">
        <v>1030</v>
      </c>
      <c r="N232" s="205" t="s">
        <v>652</v>
      </c>
      <c r="O232" s="205" t="s">
        <v>652</v>
      </c>
      <c r="P232" s="208" t="s">
        <v>653</v>
      </c>
      <c r="Q232" s="208" t="s">
        <v>654</v>
      </c>
      <c r="R232" s="208" t="s">
        <v>761</v>
      </c>
    </row>
    <row r="233" spans="1:18" s="205" customFormat="1" x14ac:dyDescent="0.2">
      <c r="A233" s="205" t="s">
        <v>4886</v>
      </c>
      <c r="B233" s="205" t="s">
        <v>4887</v>
      </c>
      <c r="C233" s="200">
        <v>45446</v>
      </c>
      <c r="D233" s="199" t="s">
        <v>152</v>
      </c>
      <c r="E233" s="206">
        <v>27040028</v>
      </c>
      <c r="F233" s="206">
        <v>2704003</v>
      </c>
      <c r="G233" s="206">
        <v>135200</v>
      </c>
      <c r="H233" s="202">
        <f t="shared" si="3"/>
        <v>24471225</v>
      </c>
      <c r="I233" s="205" t="s">
        <v>94</v>
      </c>
      <c r="J233" s="205" t="s">
        <v>23</v>
      </c>
      <c r="K233" s="201" t="s">
        <v>1058</v>
      </c>
      <c r="L233" s="205" t="s">
        <v>4888</v>
      </c>
      <c r="M233" s="201" t="s">
        <v>1393</v>
      </c>
      <c r="N233" s="205" t="s">
        <v>4889</v>
      </c>
      <c r="O233" s="205" t="s">
        <v>1115</v>
      </c>
      <c r="P233" s="208" t="s">
        <v>1534</v>
      </c>
      <c r="Q233" s="208" t="s">
        <v>3748</v>
      </c>
      <c r="R233" s="208" t="s">
        <v>4413</v>
      </c>
    </row>
    <row r="234" spans="1:18" s="205" customFormat="1" x14ac:dyDescent="0.2">
      <c r="A234" s="205" t="s">
        <v>999</v>
      </c>
      <c r="B234" s="205" t="s">
        <v>4890</v>
      </c>
      <c r="C234" s="200">
        <v>45446</v>
      </c>
      <c r="D234" s="199" t="s">
        <v>152</v>
      </c>
      <c r="E234" s="206">
        <v>2081979</v>
      </c>
      <c r="F234" s="206">
        <v>208198</v>
      </c>
      <c r="G234" s="206">
        <v>10410</v>
      </c>
      <c r="H234" s="202">
        <f t="shared" si="3"/>
        <v>1884191</v>
      </c>
      <c r="I234" s="205" t="s">
        <v>199</v>
      </c>
      <c r="J234" s="205" t="s">
        <v>23</v>
      </c>
      <c r="K234" s="201" t="s">
        <v>1028</v>
      </c>
      <c r="L234" s="205" t="s">
        <v>4891</v>
      </c>
      <c r="M234" s="201" t="s">
        <v>652</v>
      </c>
      <c r="N234" s="205" t="s">
        <v>652</v>
      </c>
      <c r="O234" s="205" t="s">
        <v>652</v>
      </c>
      <c r="P234" s="208" t="s">
        <v>1534</v>
      </c>
      <c r="Q234" s="208" t="s">
        <v>3748</v>
      </c>
      <c r="R234" s="208" t="s">
        <v>4413</v>
      </c>
    </row>
    <row r="235" spans="1:18" s="205" customFormat="1" x14ac:dyDescent="0.2">
      <c r="A235" s="205" t="s">
        <v>4892</v>
      </c>
      <c r="B235" s="205" t="s">
        <v>4893</v>
      </c>
      <c r="C235" s="200">
        <v>45446</v>
      </c>
      <c r="D235" s="199" t="s">
        <v>152</v>
      </c>
      <c r="E235" s="206">
        <v>47199</v>
      </c>
      <c r="F235" s="206">
        <v>4720</v>
      </c>
      <c r="G235" s="206">
        <v>236</v>
      </c>
      <c r="H235" s="202">
        <f t="shared" si="3"/>
        <v>42715</v>
      </c>
      <c r="I235" s="205" t="s">
        <v>138</v>
      </c>
      <c r="J235" s="205" t="s">
        <v>23</v>
      </c>
      <c r="K235" s="201" t="s">
        <v>1028</v>
      </c>
      <c r="L235" s="205" t="s">
        <v>4894</v>
      </c>
      <c r="M235" s="201" t="s">
        <v>1030</v>
      </c>
      <c r="N235" s="205" t="s">
        <v>652</v>
      </c>
      <c r="O235" s="205" t="s">
        <v>652</v>
      </c>
      <c r="P235" s="216" t="s">
        <v>2796</v>
      </c>
      <c r="Q235" s="216" t="s">
        <v>2797</v>
      </c>
      <c r="R235" s="208" t="s">
        <v>4413</v>
      </c>
    </row>
    <row r="236" spans="1:18" s="205" customFormat="1" x14ac:dyDescent="0.2">
      <c r="A236" s="205" t="s">
        <v>206</v>
      </c>
      <c r="B236" s="205" t="s">
        <v>855</v>
      </c>
      <c r="C236" s="200">
        <v>45446</v>
      </c>
      <c r="D236" s="199" t="s">
        <v>152</v>
      </c>
      <c r="E236" s="206">
        <v>13594</v>
      </c>
      <c r="F236" s="206">
        <v>1359</v>
      </c>
      <c r="G236" s="206">
        <v>68</v>
      </c>
      <c r="H236" s="202">
        <f t="shared" si="3"/>
        <v>12303</v>
      </c>
      <c r="I236" s="205" t="s">
        <v>22</v>
      </c>
      <c r="J236" s="205" t="s">
        <v>23</v>
      </c>
      <c r="K236" s="201" t="s">
        <v>1042</v>
      </c>
      <c r="L236" s="205" t="s">
        <v>4895</v>
      </c>
      <c r="M236" s="201" t="s">
        <v>1030</v>
      </c>
      <c r="N236" s="205" t="s">
        <v>652</v>
      </c>
      <c r="O236" s="205" t="s">
        <v>652</v>
      </c>
      <c r="P236" s="208" t="s">
        <v>651</v>
      </c>
      <c r="Q236" s="208" t="s">
        <v>673</v>
      </c>
      <c r="R236" s="208" t="s">
        <v>4413</v>
      </c>
    </row>
    <row r="237" spans="1:18" s="205" customFormat="1" x14ac:dyDescent="0.2">
      <c r="A237" s="205" t="s">
        <v>100</v>
      </c>
      <c r="B237" s="205" t="s">
        <v>608</v>
      </c>
      <c r="C237" s="200">
        <v>45446</v>
      </c>
      <c r="D237" s="199" t="s">
        <v>152</v>
      </c>
      <c r="E237" s="206">
        <v>20868</v>
      </c>
      <c r="F237" s="206">
        <v>2087</v>
      </c>
      <c r="G237" s="206">
        <v>104</v>
      </c>
      <c r="H237" s="202">
        <f t="shared" si="3"/>
        <v>18885</v>
      </c>
      <c r="I237" s="205" t="s">
        <v>101</v>
      </c>
      <c r="J237" s="205" t="s">
        <v>23</v>
      </c>
      <c r="K237" s="201" t="s">
        <v>1042</v>
      </c>
      <c r="L237" s="205" t="s">
        <v>4896</v>
      </c>
      <c r="M237" s="201" t="s">
        <v>1030</v>
      </c>
      <c r="N237" s="205" t="s">
        <v>652</v>
      </c>
      <c r="O237" s="205" t="s">
        <v>652</v>
      </c>
      <c r="P237" s="216" t="s">
        <v>653</v>
      </c>
      <c r="Q237" s="216" t="s">
        <v>654</v>
      </c>
      <c r="R237" s="216" t="s">
        <v>4413</v>
      </c>
    </row>
    <row r="238" spans="1:18" s="205" customFormat="1" x14ac:dyDescent="0.2">
      <c r="A238" s="205" t="s">
        <v>77</v>
      </c>
      <c r="B238" s="205" t="s">
        <v>369</v>
      </c>
      <c r="C238" s="200">
        <v>45446</v>
      </c>
      <c r="D238" s="199" t="s">
        <v>152</v>
      </c>
      <c r="E238" s="206">
        <v>108674</v>
      </c>
      <c r="F238" s="206">
        <v>10867</v>
      </c>
      <c r="G238" s="206">
        <v>543</v>
      </c>
      <c r="H238" s="202">
        <f t="shared" si="3"/>
        <v>98350</v>
      </c>
      <c r="I238" s="205" t="s">
        <v>33</v>
      </c>
      <c r="J238" s="205" t="s">
        <v>23</v>
      </c>
      <c r="K238" s="201" t="s">
        <v>1042</v>
      </c>
      <c r="L238" s="205" t="s">
        <v>4897</v>
      </c>
      <c r="M238" s="201" t="s">
        <v>652</v>
      </c>
      <c r="N238" s="205" t="s">
        <v>652</v>
      </c>
      <c r="O238" s="205" t="s">
        <v>652</v>
      </c>
      <c r="P238" s="216" t="s">
        <v>503</v>
      </c>
      <c r="Q238" s="216" t="s">
        <v>766</v>
      </c>
      <c r="R238" s="216" t="s">
        <v>4413</v>
      </c>
    </row>
    <row r="239" spans="1:18" s="205" customFormat="1" x14ac:dyDescent="0.2">
      <c r="A239" s="205" t="s">
        <v>47</v>
      </c>
      <c r="B239" s="205" t="s">
        <v>336</v>
      </c>
      <c r="C239" s="200">
        <v>45446</v>
      </c>
      <c r="D239" s="199" t="s">
        <v>152</v>
      </c>
      <c r="E239" s="206">
        <v>3223</v>
      </c>
      <c r="F239" s="206">
        <v>322</v>
      </c>
      <c r="G239" s="206">
        <v>16</v>
      </c>
      <c r="H239" s="202">
        <f t="shared" si="3"/>
        <v>2917</v>
      </c>
      <c r="I239" s="205" t="s">
        <v>48</v>
      </c>
      <c r="J239" s="205" t="s">
        <v>23</v>
      </c>
      <c r="K239" s="201" t="s">
        <v>1042</v>
      </c>
      <c r="L239" s="205" t="s">
        <v>4898</v>
      </c>
      <c r="M239" s="201" t="s">
        <v>1030</v>
      </c>
      <c r="N239" s="205" t="s">
        <v>652</v>
      </c>
      <c r="O239" s="205" t="s">
        <v>652</v>
      </c>
      <c r="P239" s="208" t="s">
        <v>887</v>
      </c>
      <c r="Q239" s="208" t="s">
        <v>888</v>
      </c>
      <c r="R239" s="208" t="s">
        <v>4413</v>
      </c>
    </row>
    <row r="240" spans="1:18" s="205" customFormat="1" x14ac:dyDescent="0.2">
      <c r="A240" s="205" t="s">
        <v>84</v>
      </c>
      <c r="B240" s="205" t="s">
        <v>540</v>
      </c>
      <c r="C240" s="200">
        <v>45446</v>
      </c>
      <c r="D240" s="199" t="s">
        <v>152</v>
      </c>
      <c r="E240" s="206">
        <v>29087</v>
      </c>
      <c r="F240" s="206">
        <v>2909</v>
      </c>
      <c r="G240" s="206">
        <v>145</v>
      </c>
      <c r="H240" s="202">
        <f t="shared" si="3"/>
        <v>26323</v>
      </c>
      <c r="I240" s="205" t="s">
        <v>66</v>
      </c>
      <c r="J240" s="205" t="s">
        <v>23</v>
      </c>
      <c r="K240" s="201" t="s">
        <v>1042</v>
      </c>
      <c r="L240" s="205" t="s">
        <v>4899</v>
      </c>
      <c r="M240" s="201" t="s">
        <v>1030</v>
      </c>
      <c r="N240" s="205" t="s">
        <v>652</v>
      </c>
      <c r="O240" s="205" t="s">
        <v>652</v>
      </c>
      <c r="P240" s="208" t="s">
        <v>688</v>
      </c>
      <c r="Q240" s="208" t="s">
        <v>689</v>
      </c>
      <c r="R240" s="208" t="s">
        <v>4413</v>
      </c>
    </row>
    <row r="241" spans="1:18" s="205" customFormat="1" x14ac:dyDescent="0.2">
      <c r="A241" s="205" t="s">
        <v>223</v>
      </c>
      <c r="B241" s="205" t="s">
        <v>580</v>
      </c>
      <c r="C241" s="200">
        <v>45446</v>
      </c>
      <c r="D241" s="199" t="s">
        <v>152</v>
      </c>
      <c r="E241" s="206">
        <v>25435</v>
      </c>
      <c r="F241" s="206">
        <v>2544</v>
      </c>
      <c r="G241" s="206">
        <v>127</v>
      </c>
      <c r="H241" s="202">
        <f t="shared" si="3"/>
        <v>23018</v>
      </c>
      <c r="I241" s="205" t="s">
        <v>54</v>
      </c>
      <c r="J241" s="205" t="s">
        <v>23</v>
      </c>
      <c r="K241" s="201" t="s">
        <v>1042</v>
      </c>
      <c r="L241" s="205" t="s">
        <v>4900</v>
      </c>
      <c r="M241" s="201" t="s">
        <v>1030</v>
      </c>
      <c r="N241" s="205" t="s">
        <v>652</v>
      </c>
      <c r="O241" s="205" t="s">
        <v>652</v>
      </c>
      <c r="P241" s="208" t="s">
        <v>653</v>
      </c>
      <c r="Q241" s="208" t="s">
        <v>654</v>
      </c>
      <c r="R241" s="208" t="s">
        <v>4413</v>
      </c>
    </row>
    <row r="242" spans="1:18" s="205" customFormat="1" x14ac:dyDescent="0.2">
      <c r="A242" s="205" t="s">
        <v>213</v>
      </c>
      <c r="B242" s="205" t="s">
        <v>972</v>
      </c>
      <c r="C242" s="200">
        <v>45446</v>
      </c>
      <c r="D242" s="199" t="s">
        <v>152</v>
      </c>
      <c r="E242" s="206">
        <v>70888</v>
      </c>
      <c r="F242" s="206">
        <v>7089</v>
      </c>
      <c r="G242" s="206">
        <v>354</v>
      </c>
      <c r="H242" s="202">
        <f t="shared" si="3"/>
        <v>64153</v>
      </c>
      <c r="I242" s="205" t="s">
        <v>22</v>
      </c>
      <c r="J242" s="205" t="s">
        <v>23</v>
      </c>
      <c r="K242" s="201" t="s">
        <v>1042</v>
      </c>
      <c r="L242" s="205" t="s">
        <v>4901</v>
      </c>
      <c r="M242" s="201" t="s">
        <v>1030</v>
      </c>
      <c r="N242" s="205" t="s">
        <v>652</v>
      </c>
      <c r="O242" s="205" t="s">
        <v>652</v>
      </c>
      <c r="P242" s="208" t="s">
        <v>879</v>
      </c>
      <c r="Q242" s="208" t="s">
        <v>971</v>
      </c>
      <c r="R242" s="208" t="s">
        <v>4413</v>
      </c>
    </row>
    <row r="243" spans="1:18" s="205" customFormat="1" x14ac:dyDescent="0.2">
      <c r="A243" s="205" t="s">
        <v>4902</v>
      </c>
      <c r="B243" s="205" t="s">
        <v>248</v>
      </c>
      <c r="C243" s="200">
        <v>45446</v>
      </c>
      <c r="D243" s="199" t="s">
        <v>152</v>
      </c>
      <c r="E243" s="206">
        <v>42459</v>
      </c>
      <c r="F243" s="206">
        <v>4246</v>
      </c>
      <c r="G243" s="206">
        <v>212</v>
      </c>
      <c r="H243" s="202">
        <f t="shared" si="3"/>
        <v>38425</v>
      </c>
      <c r="I243" s="205" t="s">
        <v>193</v>
      </c>
      <c r="J243" s="205" t="s">
        <v>23</v>
      </c>
      <c r="K243" s="201" t="s">
        <v>1058</v>
      </c>
      <c r="L243" s="205" t="s">
        <v>4903</v>
      </c>
      <c r="M243" s="201" t="s">
        <v>1030</v>
      </c>
      <c r="N243" s="205" t="s">
        <v>652</v>
      </c>
      <c r="O243" s="205" t="s">
        <v>652</v>
      </c>
      <c r="P243" s="208" t="s">
        <v>663</v>
      </c>
      <c r="Q243" s="208" t="s">
        <v>723</v>
      </c>
      <c r="R243" s="208" t="s">
        <v>4413</v>
      </c>
    </row>
    <row r="244" spans="1:18" s="205" customFormat="1" x14ac:dyDescent="0.2">
      <c r="A244" s="205" t="s">
        <v>4904</v>
      </c>
      <c r="B244" s="205" t="s">
        <v>248</v>
      </c>
      <c r="C244" s="200">
        <v>45446</v>
      </c>
      <c r="D244" s="199" t="s">
        <v>152</v>
      </c>
      <c r="E244" s="206">
        <v>46915</v>
      </c>
      <c r="F244" s="206">
        <v>4692</v>
      </c>
      <c r="G244" s="206">
        <v>235</v>
      </c>
      <c r="H244" s="202">
        <f t="shared" si="3"/>
        <v>42458</v>
      </c>
      <c r="I244" s="205" t="s">
        <v>193</v>
      </c>
      <c r="J244" s="205" t="s">
        <v>23</v>
      </c>
      <c r="K244" s="201" t="s">
        <v>1058</v>
      </c>
      <c r="L244" s="205" t="s">
        <v>4905</v>
      </c>
      <c r="M244" s="201" t="s">
        <v>1030</v>
      </c>
      <c r="N244" s="205" t="s">
        <v>652</v>
      </c>
      <c r="O244" s="205" t="s">
        <v>652</v>
      </c>
      <c r="P244" s="208" t="s">
        <v>663</v>
      </c>
      <c r="Q244" s="208" t="s">
        <v>723</v>
      </c>
      <c r="R244" s="208" t="s">
        <v>4413</v>
      </c>
    </row>
    <row r="245" spans="1:18" s="205" customFormat="1" x14ac:dyDescent="0.2">
      <c r="A245" s="205" t="s">
        <v>221</v>
      </c>
      <c r="B245" s="205" t="s">
        <v>1062</v>
      </c>
      <c r="C245" s="200">
        <v>45447</v>
      </c>
      <c r="D245" s="199" t="s">
        <v>152</v>
      </c>
      <c r="E245" s="206">
        <v>79477</v>
      </c>
      <c r="F245" s="206">
        <v>7948</v>
      </c>
      <c r="G245" s="206">
        <v>397</v>
      </c>
      <c r="H245" s="202">
        <f t="shared" si="3"/>
        <v>71926</v>
      </c>
      <c r="I245" s="205" t="s">
        <v>224</v>
      </c>
      <c r="J245" s="205" t="s">
        <v>23</v>
      </c>
      <c r="K245" s="201" t="s">
        <v>1042</v>
      </c>
      <c r="L245" s="205" t="s">
        <v>4906</v>
      </c>
      <c r="M245" s="201" t="s">
        <v>1030</v>
      </c>
      <c r="N245" s="205" t="s">
        <v>652</v>
      </c>
      <c r="O245" s="205" t="s">
        <v>652</v>
      </c>
      <c r="P245" s="208" t="s">
        <v>987</v>
      </c>
      <c r="Q245" s="208" t="s">
        <v>988</v>
      </c>
      <c r="R245" s="208" t="s">
        <v>4422</v>
      </c>
    </row>
    <row r="246" spans="1:18" s="205" customFormat="1" x14ac:dyDescent="0.2">
      <c r="A246" s="205" t="s">
        <v>612</v>
      </c>
      <c r="B246" s="205" t="s">
        <v>613</v>
      </c>
      <c r="C246" s="200">
        <v>45447</v>
      </c>
      <c r="D246" s="199" t="s">
        <v>152</v>
      </c>
      <c r="E246" s="206">
        <v>10128</v>
      </c>
      <c r="F246" s="206">
        <v>1013</v>
      </c>
      <c r="G246" s="206">
        <v>51</v>
      </c>
      <c r="H246" s="202">
        <f t="shared" si="3"/>
        <v>9166</v>
      </c>
      <c r="I246" s="205" t="s">
        <v>22</v>
      </c>
      <c r="J246" s="205" t="s">
        <v>23</v>
      </c>
      <c r="K246" s="201" t="s">
        <v>1042</v>
      </c>
      <c r="L246" s="205" t="s">
        <v>4907</v>
      </c>
      <c r="M246" s="201" t="s">
        <v>1030</v>
      </c>
      <c r="N246" s="205" t="s">
        <v>652</v>
      </c>
      <c r="O246" s="205" t="s">
        <v>652</v>
      </c>
      <c r="P246" s="208" t="s">
        <v>653</v>
      </c>
      <c r="Q246" s="208" t="s">
        <v>654</v>
      </c>
      <c r="R246" s="208" t="s">
        <v>4422</v>
      </c>
    </row>
    <row r="247" spans="1:18" s="205" customFormat="1" x14ac:dyDescent="0.2">
      <c r="A247" s="205" t="s">
        <v>4908</v>
      </c>
      <c r="B247" s="205" t="s">
        <v>4909</v>
      </c>
      <c r="C247" s="200">
        <v>45447</v>
      </c>
      <c r="D247" s="199" t="s">
        <v>152</v>
      </c>
      <c r="E247" s="206">
        <v>1388037</v>
      </c>
      <c r="F247" s="206">
        <v>138804</v>
      </c>
      <c r="G247" s="206">
        <v>6940</v>
      </c>
      <c r="H247" s="202">
        <f t="shared" si="3"/>
        <v>1256173</v>
      </c>
      <c r="I247" s="205" t="s">
        <v>199</v>
      </c>
      <c r="J247" s="205" t="s">
        <v>23</v>
      </c>
      <c r="K247" s="199" t="s">
        <v>1028</v>
      </c>
      <c r="L247" s="205" t="s">
        <v>4910</v>
      </c>
      <c r="M247" s="201" t="s">
        <v>652</v>
      </c>
      <c r="N247" s="205" t="s">
        <v>652</v>
      </c>
      <c r="O247" s="205" t="s">
        <v>652</v>
      </c>
      <c r="P247" s="208" t="s">
        <v>1534</v>
      </c>
      <c r="Q247" s="208" t="s">
        <v>3748</v>
      </c>
      <c r="R247" s="208" t="s">
        <v>4422</v>
      </c>
    </row>
    <row r="248" spans="1:18" s="205" customFormat="1" x14ac:dyDescent="0.2">
      <c r="A248" s="205" t="s">
        <v>4911</v>
      </c>
      <c r="B248" s="205" t="s">
        <v>4912</v>
      </c>
      <c r="C248" s="200">
        <v>45448</v>
      </c>
      <c r="D248" s="199" t="s">
        <v>152</v>
      </c>
      <c r="E248" s="206">
        <v>67877</v>
      </c>
      <c r="F248" s="206">
        <v>6788</v>
      </c>
      <c r="G248" s="206">
        <v>339</v>
      </c>
      <c r="H248" s="202">
        <f t="shared" si="3"/>
        <v>61428</v>
      </c>
      <c r="I248" s="205" t="s">
        <v>373</v>
      </c>
      <c r="J248" s="205" t="s">
        <v>23</v>
      </c>
      <c r="K248" s="199" t="s">
        <v>1058</v>
      </c>
      <c r="L248" s="205" t="s">
        <v>4913</v>
      </c>
      <c r="M248" s="201" t="s">
        <v>4914</v>
      </c>
      <c r="N248" s="205" t="s">
        <v>652</v>
      </c>
      <c r="O248" s="205" t="s">
        <v>652</v>
      </c>
      <c r="P248" s="208" t="s">
        <v>1534</v>
      </c>
      <c r="Q248" s="208" t="s">
        <v>3748</v>
      </c>
      <c r="R248" s="208" t="s">
        <v>4422</v>
      </c>
    </row>
    <row r="249" spans="1:18" s="205" customFormat="1" x14ac:dyDescent="0.2">
      <c r="A249" s="205" t="s">
        <v>4915</v>
      </c>
      <c r="B249" s="205" t="s">
        <v>4916</v>
      </c>
      <c r="C249" s="200">
        <v>45448</v>
      </c>
      <c r="D249" s="199" t="s">
        <v>152</v>
      </c>
      <c r="E249" s="206">
        <v>67877</v>
      </c>
      <c r="F249" s="206">
        <v>6788</v>
      </c>
      <c r="G249" s="206">
        <v>339</v>
      </c>
      <c r="H249" s="202">
        <f t="shared" si="3"/>
        <v>61428</v>
      </c>
      <c r="I249" s="205" t="s">
        <v>373</v>
      </c>
      <c r="J249" s="205" t="s">
        <v>23</v>
      </c>
      <c r="K249" s="199" t="s">
        <v>1058</v>
      </c>
      <c r="L249" s="205" t="s">
        <v>4917</v>
      </c>
      <c r="M249" s="199" t="s">
        <v>1030</v>
      </c>
      <c r="N249" s="205" t="s">
        <v>652</v>
      </c>
      <c r="O249" s="205" t="s">
        <v>652</v>
      </c>
      <c r="P249" s="208" t="s">
        <v>1534</v>
      </c>
      <c r="Q249" s="208" t="s">
        <v>3748</v>
      </c>
      <c r="R249" s="208" t="s">
        <v>4422</v>
      </c>
    </row>
    <row r="250" spans="1:18" s="205" customFormat="1" x14ac:dyDescent="0.2">
      <c r="A250" s="209" t="s">
        <v>203</v>
      </c>
      <c r="B250" s="209" t="s">
        <v>4918</v>
      </c>
      <c r="C250" s="210">
        <v>45448</v>
      </c>
      <c r="D250" s="199" t="s">
        <v>152</v>
      </c>
      <c r="E250" s="211">
        <v>3253510</v>
      </c>
      <c r="F250" s="211">
        <v>325351</v>
      </c>
      <c r="G250" s="211">
        <v>16268</v>
      </c>
      <c r="H250" s="202">
        <f t="shared" si="3"/>
        <v>2944427</v>
      </c>
      <c r="I250" s="209" t="s">
        <v>4919</v>
      </c>
      <c r="J250" s="209" t="s">
        <v>23</v>
      </c>
      <c r="K250" s="201" t="s">
        <v>1028</v>
      </c>
      <c r="L250" s="209" t="s">
        <v>4920</v>
      </c>
      <c r="M250" s="201" t="s">
        <v>1030</v>
      </c>
      <c r="N250" s="209" t="s">
        <v>652</v>
      </c>
      <c r="O250" s="209" t="s">
        <v>652</v>
      </c>
      <c r="P250" s="213" t="s">
        <v>1534</v>
      </c>
      <c r="Q250" s="213" t="s">
        <v>3748</v>
      </c>
      <c r="R250" s="213" t="s">
        <v>4438</v>
      </c>
    </row>
    <row r="251" spans="1:18" s="205" customFormat="1" x14ac:dyDescent="0.2">
      <c r="A251" s="205" t="s">
        <v>3241</v>
      </c>
      <c r="B251" s="205" t="s">
        <v>3242</v>
      </c>
      <c r="C251" s="200">
        <v>45448</v>
      </c>
      <c r="D251" s="199" t="s">
        <v>152</v>
      </c>
      <c r="E251" s="206">
        <v>112476</v>
      </c>
      <c r="F251" s="206">
        <v>11248</v>
      </c>
      <c r="G251" s="206">
        <v>562</v>
      </c>
      <c r="H251" s="202">
        <f t="shared" si="3"/>
        <v>101790</v>
      </c>
      <c r="I251" s="205" t="s">
        <v>52</v>
      </c>
      <c r="J251" s="205" t="s">
        <v>23</v>
      </c>
      <c r="K251" s="201" t="s">
        <v>1042</v>
      </c>
      <c r="L251" s="205" t="s">
        <v>4921</v>
      </c>
      <c r="M251" s="201" t="s">
        <v>1030</v>
      </c>
      <c r="N251" s="205" t="s">
        <v>1190</v>
      </c>
      <c r="O251" s="205" t="s">
        <v>1191</v>
      </c>
      <c r="P251" s="208" t="s">
        <v>846</v>
      </c>
      <c r="Q251" s="208" t="s">
        <v>2922</v>
      </c>
      <c r="R251" s="208" t="s">
        <v>4438</v>
      </c>
    </row>
    <row r="252" spans="1:18" s="205" customFormat="1" x14ac:dyDescent="0.2">
      <c r="A252" s="205" t="s">
        <v>4922</v>
      </c>
      <c r="B252" s="205" t="s">
        <v>4923</v>
      </c>
      <c r="C252" s="200">
        <v>45448</v>
      </c>
      <c r="D252" s="199" t="s">
        <v>152</v>
      </c>
      <c r="E252" s="206">
        <v>205098</v>
      </c>
      <c r="F252" s="206">
        <v>20510</v>
      </c>
      <c r="G252" s="206">
        <v>1026</v>
      </c>
      <c r="H252" s="202">
        <f t="shared" si="3"/>
        <v>185614</v>
      </c>
      <c r="I252" s="205" t="s">
        <v>54</v>
      </c>
      <c r="J252" s="205" t="s">
        <v>23</v>
      </c>
      <c r="K252" s="199" t="s">
        <v>1028</v>
      </c>
      <c r="L252" s="205" t="s">
        <v>4924</v>
      </c>
      <c r="M252" s="201" t="s">
        <v>1030</v>
      </c>
      <c r="N252" s="205" t="s">
        <v>652</v>
      </c>
      <c r="O252" s="205" t="s">
        <v>652</v>
      </c>
      <c r="P252" s="208" t="s">
        <v>663</v>
      </c>
      <c r="Q252" s="208" t="s">
        <v>723</v>
      </c>
      <c r="R252" s="208" t="s">
        <v>4438</v>
      </c>
    </row>
    <row r="253" spans="1:18" s="205" customFormat="1" x14ac:dyDescent="0.2">
      <c r="A253" s="205" t="s">
        <v>496</v>
      </c>
      <c r="B253" s="205" t="s">
        <v>4925</v>
      </c>
      <c r="C253" s="200">
        <v>45448</v>
      </c>
      <c r="D253" s="199" t="s">
        <v>152</v>
      </c>
      <c r="E253" s="206">
        <v>1410257</v>
      </c>
      <c r="F253" s="206">
        <v>141026</v>
      </c>
      <c r="G253" s="206">
        <v>7051</v>
      </c>
      <c r="H253" s="202">
        <f t="shared" si="3"/>
        <v>1276282</v>
      </c>
      <c r="I253" s="205" t="s">
        <v>4926</v>
      </c>
      <c r="J253" s="205" t="s">
        <v>23</v>
      </c>
      <c r="K253" s="199" t="s">
        <v>1028</v>
      </c>
      <c r="L253" s="205" t="s">
        <v>4927</v>
      </c>
      <c r="M253" s="201" t="s">
        <v>1393</v>
      </c>
      <c r="N253" s="205" t="s">
        <v>4928</v>
      </c>
      <c r="O253" s="205" t="s">
        <v>1061</v>
      </c>
      <c r="P253" s="208" t="s">
        <v>1534</v>
      </c>
      <c r="Q253" s="208" t="s">
        <v>3748</v>
      </c>
      <c r="R253" s="208" t="s">
        <v>4438</v>
      </c>
    </row>
    <row r="254" spans="1:18" s="205" customFormat="1" x14ac:dyDescent="0.2">
      <c r="A254" s="205" t="s">
        <v>4929</v>
      </c>
      <c r="B254" s="205" t="s">
        <v>246</v>
      </c>
      <c r="C254" s="200">
        <v>45448</v>
      </c>
      <c r="D254" s="199" t="s">
        <v>152</v>
      </c>
      <c r="E254" s="206">
        <v>38001</v>
      </c>
      <c r="F254" s="206">
        <v>3800</v>
      </c>
      <c r="G254" s="206">
        <v>190</v>
      </c>
      <c r="H254" s="202">
        <f t="shared" si="3"/>
        <v>34391</v>
      </c>
      <c r="I254" s="205" t="s">
        <v>193</v>
      </c>
      <c r="J254" s="205" t="s">
        <v>23</v>
      </c>
      <c r="K254" s="199" t="s">
        <v>1042</v>
      </c>
      <c r="L254" s="205" t="s">
        <v>4930</v>
      </c>
      <c r="M254" s="201" t="s">
        <v>1030</v>
      </c>
      <c r="N254" s="205" t="s">
        <v>652</v>
      </c>
      <c r="O254" s="205" t="s">
        <v>652</v>
      </c>
      <c r="P254" s="208" t="s">
        <v>651</v>
      </c>
      <c r="Q254" s="208" t="s">
        <v>673</v>
      </c>
      <c r="R254" s="208" t="s">
        <v>4438</v>
      </c>
    </row>
    <row r="255" spans="1:18" s="205" customFormat="1" x14ac:dyDescent="0.2">
      <c r="A255" s="209" t="s">
        <v>4931</v>
      </c>
      <c r="B255" s="209" t="s">
        <v>248</v>
      </c>
      <c r="C255" s="210">
        <v>45448</v>
      </c>
      <c r="D255" s="199" t="s">
        <v>152</v>
      </c>
      <c r="E255" s="211">
        <v>69985</v>
      </c>
      <c r="F255" s="206">
        <v>6999</v>
      </c>
      <c r="G255" s="206">
        <v>350</v>
      </c>
      <c r="H255" s="202">
        <f t="shared" si="3"/>
        <v>63336</v>
      </c>
      <c r="I255" s="209" t="s">
        <v>193</v>
      </c>
      <c r="J255" s="209" t="s">
        <v>23</v>
      </c>
      <c r="K255" s="201" t="s">
        <v>1058</v>
      </c>
      <c r="L255" s="209" t="s">
        <v>4932</v>
      </c>
      <c r="M255" s="201" t="s">
        <v>1030</v>
      </c>
      <c r="N255" s="209" t="s">
        <v>652</v>
      </c>
      <c r="O255" s="209" t="s">
        <v>652</v>
      </c>
      <c r="P255" s="213" t="s">
        <v>651</v>
      </c>
      <c r="Q255" s="213" t="s">
        <v>673</v>
      </c>
      <c r="R255" s="213" t="s">
        <v>4438</v>
      </c>
    </row>
    <row r="256" spans="1:18" s="205" customFormat="1" x14ac:dyDescent="0.2">
      <c r="A256" s="205" t="s">
        <v>4933</v>
      </c>
      <c r="B256" s="205" t="s">
        <v>284</v>
      </c>
      <c r="C256" s="200">
        <v>45448</v>
      </c>
      <c r="D256" s="199" t="s">
        <v>152</v>
      </c>
      <c r="E256" s="206">
        <v>127646</v>
      </c>
      <c r="F256" s="206">
        <v>12765</v>
      </c>
      <c r="G256" s="206">
        <v>638</v>
      </c>
      <c r="H256" s="202">
        <f t="shared" si="3"/>
        <v>115519</v>
      </c>
      <c r="I256" s="205" t="s">
        <v>193</v>
      </c>
      <c r="J256" s="205" t="s">
        <v>23</v>
      </c>
      <c r="K256" s="201" t="s">
        <v>1058</v>
      </c>
      <c r="L256" s="205" t="s">
        <v>4934</v>
      </c>
      <c r="M256" s="201" t="s">
        <v>1030</v>
      </c>
      <c r="N256" s="205" t="s">
        <v>652</v>
      </c>
      <c r="O256" s="205" t="s">
        <v>652</v>
      </c>
      <c r="P256" s="208" t="s">
        <v>651</v>
      </c>
      <c r="Q256" s="208" t="s">
        <v>673</v>
      </c>
      <c r="R256" s="208" t="s">
        <v>4438</v>
      </c>
    </row>
    <row r="257" spans="1:18" s="205" customFormat="1" x14ac:dyDescent="0.2">
      <c r="A257" s="205" t="s">
        <v>4935</v>
      </c>
      <c r="B257" s="205" t="s">
        <v>284</v>
      </c>
      <c r="C257" s="200">
        <v>45448</v>
      </c>
      <c r="D257" s="199" t="s">
        <v>152</v>
      </c>
      <c r="E257" s="206">
        <v>127646</v>
      </c>
      <c r="F257" s="206">
        <v>12765</v>
      </c>
      <c r="G257" s="206">
        <v>638</v>
      </c>
      <c r="H257" s="202">
        <f t="shared" si="3"/>
        <v>115519</v>
      </c>
      <c r="I257" s="205" t="s">
        <v>193</v>
      </c>
      <c r="J257" s="205" t="s">
        <v>23</v>
      </c>
      <c r="K257" s="201" t="s">
        <v>1058</v>
      </c>
      <c r="L257" s="205" t="s">
        <v>4936</v>
      </c>
      <c r="M257" s="201" t="s">
        <v>1030</v>
      </c>
      <c r="N257" s="205" t="s">
        <v>652</v>
      </c>
      <c r="O257" s="205" t="s">
        <v>652</v>
      </c>
      <c r="P257" s="208" t="s">
        <v>651</v>
      </c>
      <c r="Q257" s="208" t="s">
        <v>673</v>
      </c>
      <c r="R257" s="208" t="s">
        <v>4438</v>
      </c>
    </row>
    <row r="258" spans="1:18" s="205" customFormat="1" x14ac:dyDescent="0.2">
      <c r="A258" s="205" t="s">
        <v>4937</v>
      </c>
      <c r="B258" s="205" t="s">
        <v>252</v>
      </c>
      <c r="C258" s="200">
        <v>45448</v>
      </c>
      <c r="D258" s="199" t="s">
        <v>152</v>
      </c>
      <c r="E258" s="206">
        <v>52245</v>
      </c>
      <c r="F258" s="206">
        <v>5225</v>
      </c>
      <c r="G258" s="206">
        <v>261</v>
      </c>
      <c r="H258" s="202">
        <f t="shared" ref="H258:H321" si="4">E258+G258-F258</f>
        <v>47281</v>
      </c>
      <c r="I258" s="205" t="s">
        <v>104</v>
      </c>
      <c r="J258" s="205" t="s">
        <v>23</v>
      </c>
      <c r="K258" s="201" t="s">
        <v>1028</v>
      </c>
      <c r="L258" s="205" t="s">
        <v>4938</v>
      </c>
      <c r="M258" s="201" t="s">
        <v>1072</v>
      </c>
      <c r="N258" s="205" t="s">
        <v>652</v>
      </c>
      <c r="O258" s="205" t="s">
        <v>652</v>
      </c>
      <c r="P258" s="208" t="s">
        <v>1534</v>
      </c>
      <c r="Q258" s="208" t="s">
        <v>3748</v>
      </c>
      <c r="R258" s="208" t="s">
        <v>4438</v>
      </c>
    </row>
    <row r="259" spans="1:18" s="205" customFormat="1" x14ac:dyDescent="0.2">
      <c r="A259" s="205" t="s">
        <v>4939</v>
      </c>
      <c r="B259" s="205" t="s">
        <v>252</v>
      </c>
      <c r="C259" s="200">
        <v>45448</v>
      </c>
      <c r="D259" s="199" t="s">
        <v>152</v>
      </c>
      <c r="E259" s="206">
        <v>38698</v>
      </c>
      <c r="F259" s="206">
        <v>3870</v>
      </c>
      <c r="G259" s="206">
        <v>193</v>
      </c>
      <c r="H259" s="202">
        <f t="shared" si="4"/>
        <v>35021</v>
      </c>
      <c r="I259" s="205" t="s">
        <v>104</v>
      </c>
      <c r="J259" s="205" t="s">
        <v>23</v>
      </c>
      <c r="K259" s="201" t="s">
        <v>1028</v>
      </c>
      <c r="L259" s="205" t="s">
        <v>4940</v>
      </c>
      <c r="M259" s="201" t="s">
        <v>1072</v>
      </c>
      <c r="N259" s="205" t="s">
        <v>652</v>
      </c>
      <c r="O259" s="205" t="s">
        <v>652</v>
      </c>
      <c r="P259" s="208" t="s">
        <v>1534</v>
      </c>
      <c r="Q259" s="208" t="s">
        <v>3748</v>
      </c>
      <c r="R259" s="208" t="s">
        <v>4438</v>
      </c>
    </row>
    <row r="260" spans="1:18" s="205" customFormat="1" x14ac:dyDescent="0.2">
      <c r="A260" s="205" t="s">
        <v>4941</v>
      </c>
      <c r="B260" s="205" t="s">
        <v>252</v>
      </c>
      <c r="C260" s="200">
        <v>45448</v>
      </c>
      <c r="D260" s="199" t="s">
        <v>152</v>
      </c>
      <c r="E260" s="206">
        <v>92409</v>
      </c>
      <c r="F260" s="206">
        <v>9241</v>
      </c>
      <c r="G260" s="206">
        <v>462</v>
      </c>
      <c r="H260" s="202">
        <f t="shared" si="4"/>
        <v>83630</v>
      </c>
      <c r="I260" s="205" t="s">
        <v>104</v>
      </c>
      <c r="J260" s="205" t="s">
        <v>23</v>
      </c>
      <c r="K260" s="201" t="s">
        <v>1028</v>
      </c>
      <c r="L260" s="205" t="s">
        <v>4942</v>
      </c>
      <c r="M260" s="201" t="s">
        <v>1072</v>
      </c>
      <c r="N260" s="205" t="s">
        <v>652</v>
      </c>
      <c r="O260" s="205" t="s">
        <v>652</v>
      </c>
      <c r="P260" s="208" t="s">
        <v>1534</v>
      </c>
      <c r="Q260" s="208" t="s">
        <v>3748</v>
      </c>
      <c r="R260" s="208" t="s">
        <v>4438</v>
      </c>
    </row>
    <row r="261" spans="1:18" s="205" customFormat="1" x14ac:dyDescent="0.2">
      <c r="A261" s="205" t="s">
        <v>4943</v>
      </c>
      <c r="B261" s="205" t="s">
        <v>4944</v>
      </c>
      <c r="C261" s="200">
        <v>45449</v>
      </c>
      <c r="D261" s="199" t="s">
        <v>152</v>
      </c>
      <c r="E261" s="206">
        <v>90769</v>
      </c>
      <c r="F261" s="206">
        <v>9077</v>
      </c>
      <c r="G261" s="206">
        <v>454</v>
      </c>
      <c r="H261" s="202">
        <f t="shared" si="4"/>
        <v>82146</v>
      </c>
      <c r="I261" s="205" t="s">
        <v>373</v>
      </c>
      <c r="J261" s="205" t="s">
        <v>23</v>
      </c>
      <c r="K261" s="201" t="s">
        <v>1058</v>
      </c>
      <c r="L261" s="205" t="s">
        <v>4945</v>
      </c>
      <c r="M261" s="201" t="s">
        <v>1030</v>
      </c>
      <c r="N261" s="205" t="s">
        <v>652</v>
      </c>
      <c r="O261" s="205" t="s">
        <v>652</v>
      </c>
      <c r="P261" s="208" t="s">
        <v>1534</v>
      </c>
      <c r="Q261" s="208" t="s">
        <v>3748</v>
      </c>
      <c r="R261" s="208" t="s">
        <v>4438</v>
      </c>
    </row>
    <row r="262" spans="1:18" s="205" customFormat="1" x14ac:dyDescent="0.2">
      <c r="A262" s="205" t="s">
        <v>4946</v>
      </c>
      <c r="B262" s="205" t="s">
        <v>4947</v>
      </c>
      <c r="C262" s="200">
        <v>45449</v>
      </c>
      <c r="D262" s="199" t="s">
        <v>152</v>
      </c>
      <c r="E262" s="206">
        <v>51703</v>
      </c>
      <c r="F262" s="206">
        <v>5170</v>
      </c>
      <c r="G262" s="206">
        <v>259</v>
      </c>
      <c r="H262" s="202">
        <f t="shared" si="4"/>
        <v>46792</v>
      </c>
      <c r="I262" s="205" t="s">
        <v>373</v>
      </c>
      <c r="J262" s="205" t="s">
        <v>23</v>
      </c>
      <c r="K262" s="201" t="s">
        <v>1058</v>
      </c>
      <c r="L262" s="205" t="s">
        <v>4948</v>
      </c>
      <c r="M262" s="201" t="s">
        <v>1030</v>
      </c>
      <c r="N262" s="205" t="s">
        <v>652</v>
      </c>
      <c r="O262" s="205" t="s">
        <v>652</v>
      </c>
      <c r="P262" s="208" t="s">
        <v>2191</v>
      </c>
      <c r="Q262" s="208" t="s">
        <v>2192</v>
      </c>
      <c r="R262" s="208" t="s">
        <v>4438</v>
      </c>
    </row>
    <row r="263" spans="1:18" s="205" customFormat="1" x14ac:dyDescent="0.2">
      <c r="A263" s="205" t="s">
        <v>4949</v>
      </c>
      <c r="B263" s="205" t="s">
        <v>4950</v>
      </c>
      <c r="C263" s="200">
        <v>45449</v>
      </c>
      <c r="D263" s="199" t="s">
        <v>152</v>
      </c>
      <c r="E263" s="206">
        <v>52204</v>
      </c>
      <c r="F263" s="206">
        <v>5220</v>
      </c>
      <c r="G263" s="206">
        <v>261</v>
      </c>
      <c r="H263" s="202">
        <f t="shared" si="4"/>
        <v>47245</v>
      </c>
      <c r="I263" s="205" t="s">
        <v>373</v>
      </c>
      <c r="J263" s="205" t="s">
        <v>23</v>
      </c>
      <c r="K263" s="201" t="s">
        <v>1058</v>
      </c>
      <c r="L263" s="205" t="s">
        <v>4951</v>
      </c>
      <c r="M263" s="201" t="s">
        <v>1030</v>
      </c>
      <c r="N263" s="205" t="s">
        <v>652</v>
      </c>
      <c r="O263" s="205" t="s">
        <v>652</v>
      </c>
      <c r="P263" s="208" t="s">
        <v>1534</v>
      </c>
      <c r="Q263" s="208" t="s">
        <v>3748</v>
      </c>
      <c r="R263" s="208" t="s">
        <v>4438</v>
      </c>
    </row>
    <row r="264" spans="1:18" s="205" customFormat="1" x14ac:dyDescent="0.2">
      <c r="A264" s="205" t="s">
        <v>4952</v>
      </c>
      <c r="B264" s="205" t="s">
        <v>4953</v>
      </c>
      <c r="C264" s="200">
        <v>45449</v>
      </c>
      <c r="D264" s="199" t="s">
        <v>152</v>
      </c>
      <c r="E264" s="206">
        <v>77140</v>
      </c>
      <c r="F264" s="206">
        <v>7714</v>
      </c>
      <c r="G264" s="206">
        <v>386</v>
      </c>
      <c r="H264" s="202">
        <f t="shared" si="4"/>
        <v>69812</v>
      </c>
      <c r="I264" s="205" t="s">
        <v>373</v>
      </c>
      <c r="J264" s="205" t="s">
        <v>23</v>
      </c>
      <c r="K264" s="199" t="s">
        <v>1058</v>
      </c>
      <c r="L264" s="205" t="s">
        <v>4954</v>
      </c>
      <c r="M264" s="201" t="s">
        <v>1030</v>
      </c>
      <c r="N264" s="205" t="s">
        <v>652</v>
      </c>
      <c r="O264" s="205" t="s">
        <v>652</v>
      </c>
      <c r="P264" s="208" t="s">
        <v>3226</v>
      </c>
      <c r="Q264" s="208" t="s">
        <v>3375</v>
      </c>
      <c r="R264" s="208" t="s">
        <v>4438</v>
      </c>
    </row>
    <row r="265" spans="1:18" s="205" customFormat="1" x14ac:dyDescent="0.2">
      <c r="A265" s="205" t="s">
        <v>112</v>
      </c>
      <c r="B265" s="205" t="s">
        <v>4955</v>
      </c>
      <c r="C265" s="200">
        <v>45449</v>
      </c>
      <c r="D265" s="199" t="s">
        <v>152</v>
      </c>
      <c r="E265" s="206">
        <v>1322647</v>
      </c>
      <c r="F265" s="206">
        <v>132265</v>
      </c>
      <c r="G265" s="206">
        <v>6613</v>
      </c>
      <c r="H265" s="202">
        <f t="shared" si="4"/>
        <v>1196995</v>
      </c>
      <c r="I265" s="205" t="s">
        <v>38</v>
      </c>
      <c r="J265" s="205" t="s">
        <v>23</v>
      </c>
      <c r="K265" s="199" t="s">
        <v>1028</v>
      </c>
      <c r="L265" s="205" t="s">
        <v>4956</v>
      </c>
      <c r="M265" s="201" t="s">
        <v>1030</v>
      </c>
      <c r="N265" s="205" t="s">
        <v>652</v>
      </c>
      <c r="O265" s="205" t="s">
        <v>652</v>
      </c>
      <c r="P265" s="208" t="s">
        <v>1534</v>
      </c>
      <c r="Q265" s="208" t="s">
        <v>3748</v>
      </c>
      <c r="R265" s="208" t="s">
        <v>4456</v>
      </c>
    </row>
    <row r="266" spans="1:18" s="205" customFormat="1" x14ac:dyDescent="0.2">
      <c r="A266" s="205" t="s">
        <v>376</v>
      </c>
      <c r="B266" s="205" t="s">
        <v>4957</v>
      </c>
      <c r="C266" s="200">
        <v>45449</v>
      </c>
      <c r="D266" s="199" t="s">
        <v>152</v>
      </c>
      <c r="E266" s="206">
        <v>6491</v>
      </c>
      <c r="F266" s="206">
        <v>649</v>
      </c>
      <c r="G266" s="206">
        <v>32</v>
      </c>
      <c r="H266" s="202">
        <f t="shared" si="4"/>
        <v>5874</v>
      </c>
      <c r="I266" s="205" t="s">
        <v>38</v>
      </c>
      <c r="J266" s="205" t="s">
        <v>23</v>
      </c>
      <c r="K266" s="199" t="s">
        <v>1042</v>
      </c>
      <c r="L266" s="205" t="s">
        <v>4958</v>
      </c>
      <c r="M266" s="201" t="s">
        <v>1030</v>
      </c>
      <c r="N266" s="205" t="s">
        <v>4959</v>
      </c>
      <c r="O266" s="205" t="s">
        <v>1115</v>
      </c>
      <c r="P266" s="208" t="s">
        <v>501</v>
      </c>
      <c r="Q266" s="208" t="s">
        <v>698</v>
      </c>
      <c r="R266" s="208" t="s">
        <v>4456</v>
      </c>
    </row>
    <row r="267" spans="1:18" s="205" customFormat="1" x14ac:dyDescent="0.2">
      <c r="A267" s="205" t="s">
        <v>4960</v>
      </c>
      <c r="B267" s="205" t="s">
        <v>4961</v>
      </c>
      <c r="C267" s="200">
        <v>45449</v>
      </c>
      <c r="D267" s="199" t="s">
        <v>152</v>
      </c>
      <c r="E267" s="206">
        <v>461587</v>
      </c>
      <c r="F267" s="206">
        <v>46159</v>
      </c>
      <c r="G267" s="206">
        <v>2308</v>
      </c>
      <c r="H267" s="202">
        <f t="shared" si="4"/>
        <v>417736</v>
      </c>
      <c r="I267" s="205" t="s">
        <v>44</v>
      </c>
      <c r="J267" s="205" t="s">
        <v>23</v>
      </c>
      <c r="K267" s="199" t="s">
        <v>1028</v>
      </c>
      <c r="L267" s="205" t="s">
        <v>4962</v>
      </c>
      <c r="M267" s="201" t="s">
        <v>1030</v>
      </c>
      <c r="N267" s="205" t="s">
        <v>652</v>
      </c>
      <c r="O267" s="205" t="s">
        <v>652</v>
      </c>
      <c r="P267" s="208" t="s">
        <v>4652</v>
      </c>
      <c r="Q267" s="208" t="s">
        <v>4653</v>
      </c>
      <c r="R267" s="208" t="s">
        <v>4456</v>
      </c>
    </row>
    <row r="268" spans="1:18" s="205" customFormat="1" x14ac:dyDescent="0.2">
      <c r="A268" s="205" t="s">
        <v>4963</v>
      </c>
      <c r="B268" s="205" t="s">
        <v>4964</v>
      </c>
      <c r="C268" s="200">
        <v>45449</v>
      </c>
      <c r="D268" s="199" t="s">
        <v>152</v>
      </c>
      <c r="E268" s="206">
        <v>78404</v>
      </c>
      <c r="F268" s="206">
        <v>7840</v>
      </c>
      <c r="G268" s="206">
        <v>392</v>
      </c>
      <c r="H268" s="202">
        <f t="shared" si="4"/>
        <v>70956</v>
      </c>
      <c r="I268" s="205" t="s">
        <v>373</v>
      </c>
      <c r="J268" s="205" t="s">
        <v>23</v>
      </c>
      <c r="K268" s="199" t="s">
        <v>1058</v>
      </c>
      <c r="L268" s="205" t="s">
        <v>4965</v>
      </c>
      <c r="M268" s="201" t="s">
        <v>1030</v>
      </c>
      <c r="N268" s="205" t="s">
        <v>652</v>
      </c>
      <c r="O268" s="205" t="s">
        <v>652</v>
      </c>
      <c r="P268" s="208" t="s">
        <v>2191</v>
      </c>
      <c r="Q268" s="208" t="s">
        <v>2192</v>
      </c>
      <c r="R268" s="208" t="s">
        <v>4456</v>
      </c>
    </row>
    <row r="269" spans="1:18" s="205" customFormat="1" x14ac:dyDescent="0.2">
      <c r="A269" s="205" t="s">
        <v>4966</v>
      </c>
      <c r="B269" s="205" t="s">
        <v>4967</v>
      </c>
      <c r="C269" s="200">
        <v>45449</v>
      </c>
      <c r="D269" s="199" t="s">
        <v>152</v>
      </c>
      <c r="E269" s="206">
        <v>254951</v>
      </c>
      <c r="F269" s="206">
        <v>25495</v>
      </c>
      <c r="G269" s="206">
        <v>1275</v>
      </c>
      <c r="H269" s="202">
        <f t="shared" si="4"/>
        <v>230731</v>
      </c>
      <c r="I269" s="205" t="s">
        <v>54</v>
      </c>
      <c r="J269" s="205" t="s">
        <v>23</v>
      </c>
      <c r="K269" s="199" t="s">
        <v>1028</v>
      </c>
      <c r="L269" s="205" t="s">
        <v>4968</v>
      </c>
      <c r="M269" s="201" t="s">
        <v>1030</v>
      </c>
      <c r="N269" s="205" t="s">
        <v>652</v>
      </c>
      <c r="O269" s="205" t="s">
        <v>652</v>
      </c>
      <c r="P269" s="208" t="s">
        <v>4481</v>
      </c>
      <c r="Q269" s="208" t="s">
        <v>4486</v>
      </c>
      <c r="R269" s="208" t="s">
        <v>4456</v>
      </c>
    </row>
    <row r="270" spans="1:18" s="205" customFormat="1" x14ac:dyDescent="0.2">
      <c r="A270" s="205" t="s">
        <v>4969</v>
      </c>
      <c r="B270" s="205" t="s">
        <v>4970</v>
      </c>
      <c r="C270" s="200">
        <v>45449</v>
      </c>
      <c r="D270" s="199" t="s">
        <v>152</v>
      </c>
      <c r="E270" s="206">
        <v>214340</v>
      </c>
      <c r="F270" s="206">
        <v>21434</v>
      </c>
      <c r="G270" s="206">
        <v>1072</v>
      </c>
      <c r="H270" s="202">
        <f t="shared" si="4"/>
        <v>193978</v>
      </c>
      <c r="I270" s="205" t="s">
        <v>54</v>
      </c>
      <c r="J270" s="205" t="s">
        <v>23</v>
      </c>
      <c r="K270" s="199" t="s">
        <v>1028</v>
      </c>
      <c r="L270" s="205" t="s">
        <v>4971</v>
      </c>
      <c r="M270" s="201" t="s">
        <v>1030</v>
      </c>
      <c r="N270" s="205" t="s">
        <v>652</v>
      </c>
      <c r="O270" s="205" t="s">
        <v>652</v>
      </c>
      <c r="P270" s="214" t="s">
        <v>4481</v>
      </c>
      <c r="Q270" s="214" t="s">
        <v>4486</v>
      </c>
      <c r="R270" s="214" t="s">
        <v>4456</v>
      </c>
    </row>
    <row r="271" spans="1:18" s="205" customFormat="1" x14ac:dyDescent="0.2">
      <c r="A271" s="209" t="s">
        <v>4972</v>
      </c>
      <c r="B271" s="209" t="s">
        <v>4973</v>
      </c>
      <c r="C271" s="210">
        <v>45449</v>
      </c>
      <c r="D271" s="199" t="s">
        <v>152</v>
      </c>
      <c r="E271" s="211">
        <v>63493</v>
      </c>
      <c r="F271" s="211">
        <v>6349</v>
      </c>
      <c r="G271" s="211">
        <v>317</v>
      </c>
      <c r="H271" s="202">
        <f t="shared" si="4"/>
        <v>57461</v>
      </c>
      <c r="I271" s="209" t="s">
        <v>193</v>
      </c>
      <c r="J271" s="209" t="s">
        <v>23</v>
      </c>
      <c r="K271" s="201" t="s">
        <v>1058</v>
      </c>
      <c r="L271" s="209" t="s">
        <v>4974</v>
      </c>
      <c r="M271" s="201" t="s">
        <v>1030</v>
      </c>
      <c r="N271" s="209" t="s">
        <v>652</v>
      </c>
      <c r="O271" s="209" t="s">
        <v>652</v>
      </c>
      <c r="P271" s="213" t="s">
        <v>738</v>
      </c>
      <c r="Q271" s="213" t="s">
        <v>739</v>
      </c>
      <c r="R271" s="213" t="s">
        <v>4456</v>
      </c>
    </row>
    <row r="272" spans="1:18" s="205" customFormat="1" x14ac:dyDescent="0.2">
      <c r="A272" s="209" t="s">
        <v>4972</v>
      </c>
      <c r="B272" s="209" t="s">
        <v>248</v>
      </c>
      <c r="C272" s="210">
        <v>45449</v>
      </c>
      <c r="D272" s="199" t="s">
        <v>152</v>
      </c>
      <c r="E272" s="211">
        <v>57986</v>
      </c>
      <c r="F272" s="211">
        <v>5799</v>
      </c>
      <c r="G272" s="211">
        <v>290</v>
      </c>
      <c r="H272" s="202">
        <f t="shared" si="4"/>
        <v>52477</v>
      </c>
      <c r="I272" s="209" t="s">
        <v>193</v>
      </c>
      <c r="J272" s="209" t="s">
        <v>23</v>
      </c>
      <c r="K272" s="201" t="s">
        <v>1058</v>
      </c>
      <c r="L272" s="209" t="s">
        <v>4975</v>
      </c>
      <c r="M272" s="201" t="s">
        <v>1030</v>
      </c>
      <c r="N272" s="209" t="s">
        <v>652</v>
      </c>
      <c r="O272" s="209" t="s">
        <v>652</v>
      </c>
      <c r="P272" s="213" t="s">
        <v>651</v>
      </c>
      <c r="Q272" s="213" t="s">
        <v>673</v>
      </c>
      <c r="R272" s="213" t="s">
        <v>4456</v>
      </c>
    </row>
    <row r="273" spans="1:18" s="205" customFormat="1" x14ac:dyDescent="0.2">
      <c r="A273" s="209" t="s">
        <v>4976</v>
      </c>
      <c r="B273" s="209" t="s">
        <v>282</v>
      </c>
      <c r="C273" s="210">
        <v>45449</v>
      </c>
      <c r="D273" s="199" t="s">
        <v>152</v>
      </c>
      <c r="E273" s="211">
        <v>60628</v>
      </c>
      <c r="F273" s="211">
        <v>6063</v>
      </c>
      <c r="G273" s="211">
        <v>303</v>
      </c>
      <c r="H273" s="202">
        <f t="shared" si="4"/>
        <v>54868</v>
      </c>
      <c r="I273" s="209" t="s">
        <v>193</v>
      </c>
      <c r="J273" s="209" t="s">
        <v>23</v>
      </c>
      <c r="K273" s="201" t="s">
        <v>1042</v>
      </c>
      <c r="L273" s="209" t="s">
        <v>4977</v>
      </c>
      <c r="M273" s="201" t="s">
        <v>1030</v>
      </c>
      <c r="N273" s="209" t="s">
        <v>652</v>
      </c>
      <c r="O273" s="209" t="s">
        <v>652</v>
      </c>
      <c r="P273" s="213" t="s">
        <v>653</v>
      </c>
      <c r="Q273" s="213" t="s">
        <v>654</v>
      </c>
      <c r="R273" s="213" t="s">
        <v>4456</v>
      </c>
    </row>
    <row r="274" spans="1:18" s="205" customFormat="1" x14ac:dyDescent="0.2">
      <c r="A274" s="205" t="s">
        <v>4978</v>
      </c>
      <c r="B274" s="205" t="s">
        <v>246</v>
      </c>
      <c r="C274" s="200">
        <v>45449</v>
      </c>
      <c r="D274" s="199" t="s">
        <v>152</v>
      </c>
      <c r="E274" s="206">
        <v>22716</v>
      </c>
      <c r="F274" s="206">
        <v>2272</v>
      </c>
      <c r="G274" s="206">
        <v>114</v>
      </c>
      <c r="H274" s="202">
        <f t="shared" si="4"/>
        <v>20558</v>
      </c>
      <c r="I274" s="205" t="s">
        <v>193</v>
      </c>
      <c r="J274" s="205" t="s">
        <v>23</v>
      </c>
      <c r="K274" s="201" t="s">
        <v>1042</v>
      </c>
      <c r="L274" s="205" t="s">
        <v>4979</v>
      </c>
      <c r="M274" s="201" t="s">
        <v>1030</v>
      </c>
      <c r="N274" s="205" t="s">
        <v>652</v>
      </c>
      <c r="O274" s="205" t="s">
        <v>652</v>
      </c>
      <c r="P274" s="208" t="s">
        <v>653</v>
      </c>
      <c r="Q274" s="208" t="s">
        <v>654</v>
      </c>
      <c r="R274" s="208" t="s">
        <v>4456</v>
      </c>
    </row>
    <row r="275" spans="1:18" s="205" customFormat="1" x14ac:dyDescent="0.2">
      <c r="A275" s="205" t="s">
        <v>4980</v>
      </c>
      <c r="B275" s="205" t="s">
        <v>250</v>
      </c>
      <c r="C275" s="200">
        <v>45449</v>
      </c>
      <c r="D275" s="199" t="s">
        <v>152</v>
      </c>
      <c r="E275" s="206">
        <v>85607</v>
      </c>
      <c r="F275" s="206">
        <v>8561</v>
      </c>
      <c r="G275" s="206">
        <v>428</v>
      </c>
      <c r="H275" s="202">
        <f t="shared" si="4"/>
        <v>77474</v>
      </c>
      <c r="I275" s="205" t="s">
        <v>193</v>
      </c>
      <c r="J275" s="205" t="s">
        <v>23</v>
      </c>
      <c r="K275" s="201" t="s">
        <v>1042</v>
      </c>
      <c r="L275" s="205" t="s">
        <v>4981</v>
      </c>
      <c r="M275" s="201" t="s">
        <v>1030</v>
      </c>
      <c r="N275" s="205" t="s">
        <v>652</v>
      </c>
      <c r="O275" s="205" t="s">
        <v>652</v>
      </c>
      <c r="P275" s="208" t="s">
        <v>653</v>
      </c>
      <c r="Q275" s="208" t="s">
        <v>654</v>
      </c>
      <c r="R275" s="208" t="s">
        <v>4456</v>
      </c>
    </row>
    <row r="276" spans="1:18" s="205" customFormat="1" x14ac:dyDescent="0.2">
      <c r="A276" s="205" t="s">
        <v>4982</v>
      </c>
      <c r="B276" s="205" t="s">
        <v>284</v>
      </c>
      <c r="C276" s="200">
        <v>45449</v>
      </c>
      <c r="D276" s="199" t="s">
        <v>152</v>
      </c>
      <c r="E276" s="206">
        <v>104025</v>
      </c>
      <c r="F276" s="206">
        <v>10403</v>
      </c>
      <c r="G276" s="206">
        <v>520</v>
      </c>
      <c r="H276" s="202">
        <f t="shared" si="4"/>
        <v>94142</v>
      </c>
      <c r="I276" s="205" t="s">
        <v>193</v>
      </c>
      <c r="J276" s="205" t="s">
        <v>23</v>
      </c>
      <c r="K276" s="201" t="s">
        <v>1058</v>
      </c>
      <c r="L276" s="205" t="s">
        <v>4983</v>
      </c>
      <c r="M276" s="201" t="s">
        <v>1030</v>
      </c>
      <c r="N276" s="205" t="s">
        <v>652</v>
      </c>
      <c r="O276" s="205" t="s">
        <v>652</v>
      </c>
      <c r="P276" s="208" t="s">
        <v>653</v>
      </c>
      <c r="Q276" s="208" t="s">
        <v>654</v>
      </c>
      <c r="R276" s="208" t="s">
        <v>4456</v>
      </c>
    </row>
    <row r="277" spans="1:18" s="205" customFormat="1" x14ac:dyDescent="0.2">
      <c r="A277" s="205" t="s">
        <v>4984</v>
      </c>
      <c r="B277" s="205" t="s">
        <v>248</v>
      </c>
      <c r="C277" s="200">
        <v>45449</v>
      </c>
      <c r="D277" s="199" t="s">
        <v>152</v>
      </c>
      <c r="E277" s="206">
        <v>42459</v>
      </c>
      <c r="F277" s="206">
        <v>4246</v>
      </c>
      <c r="G277" s="206">
        <v>212</v>
      </c>
      <c r="H277" s="202">
        <f t="shared" si="4"/>
        <v>38425</v>
      </c>
      <c r="I277" s="205" t="s">
        <v>193</v>
      </c>
      <c r="J277" s="205" t="s">
        <v>23</v>
      </c>
      <c r="K277" s="201" t="s">
        <v>1058</v>
      </c>
      <c r="L277" s="205" t="s">
        <v>4985</v>
      </c>
      <c r="M277" s="201" t="s">
        <v>1030</v>
      </c>
      <c r="N277" s="205" t="s">
        <v>652</v>
      </c>
      <c r="O277" s="205" t="s">
        <v>652</v>
      </c>
      <c r="P277" s="208" t="s">
        <v>653</v>
      </c>
      <c r="Q277" s="208" t="s">
        <v>654</v>
      </c>
      <c r="R277" s="208" t="s">
        <v>4456</v>
      </c>
    </row>
    <row r="278" spans="1:18" s="205" customFormat="1" x14ac:dyDescent="0.2">
      <c r="A278" s="205" t="s">
        <v>4986</v>
      </c>
      <c r="B278" s="205" t="s">
        <v>123</v>
      </c>
      <c r="C278" s="200">
        <v>45449</v>
      </c>
      <c r="D278" s="199" t="s">
        <v>152</v>
      </c>
      <c r="E278" s="206">
        <v>48338</v>
      </c>
      <c r="F278" s="206">
        <v>4834</v>
      </c>
      <c r="G278" s="206">
        <v>242</v>
      </c>
      <c r="H278" s="202">
        <f t="shared" si="4"/>
        <v>43746</v>
      </c>
      <c r="I278" s="205" t="s">
        <v>193</v>
      </c>
      <c r="J278" s="205" t="s">
        <v>23</v>
      </c>
      <c r="K278" s="201" t="s">
        <v>1058</v>
      </c>
      <c r="L278" s="205" t="s">
        <v>4987</v>
      </c>
      <c r="M278" s="201" t="s">
        <v>1030</v>
      </c>
      <c r="N278" s="205" t="s">
        <v>652</v>
      </c>
      <c r="O278" s="205" t="s">
        <v>652</v>
      </c>
      <c r="P278" s="208" t="s">
        <v>738</v>
      </c>
      <c r="Q278" s="208" t="s">
        <v>739</v>
      </c>
      <c r="R278" s="208" t="s">
        <v>4456</v>
      </c>
    </row>
    <row r="279" spans="1:18" s="205" customFormat="1" x14ac:dyDescent="0.2">
      <c r="A279" s="205" t="s">
        <v>4988</v>
      </c>
      <c r="B279" s="205" t="s">
        <v>132</v>
      </c>
      <c r="C279" s="200">
        <v>45449</v>
      </c>
      <c r="D279" s="199" t="s">
        <v>152</v>
      </c>
      <c r="E279" s="206">
        <v>77634</v>
      </c>
      <c r="F279" s="206">
        <v>7763</v>
      </c>
      <c r="G279" s="206">
        <v>388</v>
      </c>
      <c r="H279" s="202">
        <f t="shared" si="4"/>
        <v>70259</v>
      </c>
      <c r="I279" s="205" t="s">
        <v>193</v>
      </c>
      <c r="J279" s="205" t="s">
        <v>23</v>
      </c>
      <c r="K279" s="201" t="s">
        <v>1058</v>
      </c>
      <c r="L279" s="205" t="s">
        <v>4989</v>
      </c>
      <c r="M279" s="201" t="s">
        <v>1030</v>
      </c>
      <c r="N279" s="205" t="s">
        <v>652</v>
      </c>
      <c r="O279" s="205" t="s">
        <v>652</v>
      </c>
      <c r="P279" s="208" t="s">
        <v>738</v>
      </c>
      <c r="Q279" s="208" t="s">
        <v>739</v>
      </c>
      <c r="R279" s="208" t="s">
        <v>4456</v>
      </c>
    </row>
    <row r="280" spans="1:18" s="205" customFormat="1" x14ac:dyDescent="0.2">
      <c r="A280" s="205" t="s">
        <v>4990</v>
      </c>
      <c r="B280" s="205" t="s">
        <v>248</v>
      </c>
      <c r="C280" s="200">
        <v>45449</v>
      </c>
      <c r="D280" s="199" t="s">
        <v>152</v>
      </c>
      <c r="E280" s="206">
        <v>57986</v>
      </c>
      <c r="F280" s="206">
        <v>5799</v>
      </c>
      <c r="G280" s="206">
        <v>290</v>
      </c>
      <c r="H280" s="202">
        <f t="shared" si="4"/>
        <v>52477</v>
      </c>
      <c r="I280" s="205" t="s">
        <v>193</v>
      </c>
      <c r="J280" s="205" t="s">
        <v>23</v>
      </c>
      <c r="K280" s="201" t="s">
        <v>1058</v>
      </c>
      <c r="L280" s="205" t="s">
        <v>4991</v>
      </c>
      <c r="M280" s="201" t="s">
        <v>1030</v>
      </c>
      <c r="N280" s="205" t="s">
        <v>652</v>
      </c>
      <c r="O280" s="205" t="s">
        <v>652</v>
      </c>
      <c r="P280" s="208" t="s">
        <v>653</v>
      </c>
      <c r="Q280" s="208" t="s">
        <v>654</v>
      </c>
      <c r="R280" s="208" t="s">
        <v>4456</v>
      </c>
    </row>
    <row r="281" spans="1:18" s="205" customFormat="1" x14ac:dyDescent="0.2">
      <c r="A281" s="205" t="s">
        <v>4992</v>
      </c>
      <c r="B281" s="205" t="s">
        <v>4973</v>
      </c>
      <c r="C281" s="200">
        <v>45449</v>
      </c>
      <c r="D281" s="199" t="s">
        <v>152</v>
      </c>
      <c r="E281" s="206">
        <v>52479</v>
      </c>
      <c r="F281" s="206">
        <v>5248</v>
      </c>
      <c r="G281" s="206">
        <v>262</v>
      </c>
      <c r="H281" s="202">
        <f t="shared" si="4"/>
        <v>47493</v>
      </c>
      <c r="I281" s="205" t="s">
        <v>193</v>
      </c>
      <c r="J281" s="205" t="s">
        <v>23</v>
      </c>
      <c r="K281" s="201" t="s">
        <v>1058</v>
      </c>
      <c r="L281" s="205" t="s">
        <v>4993</v>
      </c>
      <c r="M281" s="201" t="s">
        <v>1030</v>
      </c>
      <c r="N281" s="205" t="s">
        <v>652</v>
      </c>
      <c r="O281" s="205" t="s">
        <v>652</v>
      </c>
      <c r="P281" s="208" t="s">
        <v>738</v>
      </c>
      <c r="Q281" s="208" t="s">
        <v>739</v>
      </c>
      <c r="R281" s="208" t="s">
        <v>4456</v>
      </c>
    </row>
    <row r="282" spans="1:18" s="205" customFormat="1" x14ac:dyDescent="0.2">
      <c r="A282" s="205" t="s">
        <v>977</v>
      </c>
      <c r="B282" s="205" t="s">
        <v>978</v>
      </c>
      <c r="C282" s="200">
        <v>45449</v>
      </c>
      <c r="D282" s="199" t="s">
        <v>152</v>
      </c>
      <c r="E282" s="206">
        <v>260027</v>
      </c>
      <c r="F282" s="206">
        <v>26003</v>
      </c>
      <c r="G282" s="206">
        <v>1300</v>
      </c>
      <c r="H282" s="202">
        <f t="shared" si="4"/>
        <v>235324</v>
      </c>
      <c r="I282" s="205" t="s">
        <v>749</v>
      </c>
      <c r="J282" s="205" t="s">
        <v>23</v>
      </c>
      <c r="K282" s="201" t="s">
        <v>1042</v>
      </c>
      <c r="L282" s="205" t="s">
        <v>4994</v>
      </c>
      <c r="M282" s="201" t="s">
        <v>1030</v>
      </c>
      <c r="N282" s="205" t="s">
        <v>1488</v>
      </c>
      <c r="O282" s="205" t="s">
        <v>1191</v>
      </c>
      <c r="P282" s="208" t="s">
        <v>875</v>
      </c>
      <c r="Q282" s="208" t="s">
        <v>976</v>
      </c>
      <c r="R282" s="208" t="s">
        <v>4456</v>
      </c>
    </row>
    <row r="283" spans="1:18" s="205" customFormat="1" x14ac:dyDescent="0.2">
      <c r="A283" s="205" t="s">
        <v>149</v>
      </c>
      <c r="B283" s="205" t="s">
        <v>581</v>
      </c>
      <c r="C283" s="200">
        <v>45449</v>
      </c>
      <c r="D283" s="199" t="s">
        <v>152</v>
      </c>
      <c r="E283" s="206">
        <v>5811</v>
      </c>
      <c r="F283" s="206">
        <v>581</v>
      </c>
      <c r="G283" s="206">
        <v>29</v>
      </c>
      <c r="H283" s="202">
        <f t="shared" si="4"/>
        <v>5259</v>
      </c>
      <c r="I283" s="205" t="s">
        <v>54</v>
      </c>
      <c r="J283" s="205" t="s">
        <v>23</v>
      </c>
      <c r="K283" s="199" t="s">
        <v>1042</v>
      </c>
      <c r="L283" s="205" t="s">
        <v>4995</v>
      </c>
      <c r="M283" s="201" t="s">
        <v>1030</v>
      </c>
      <c r="N283" s="205" t="s">
        <v>652</v>
      </c>
      <c r="O283" s="205" t="s">
        <v>652</v>
      </c>
      <c r="P283" s="208" t="s">
        <v>653</v>
      </c>
      <c r="Q283" s="208" t="s">
        <v>654</v>
      </c>
      <c r="R283" s="208" t="s">
        <v>4456</v>
      </c>
    </row>
    <row r="284" spans="1:18" s="205" customFormat="1" x14ac:dyDescent="0.2">
      <c r="A284" s="205" t="s">
        <v>130</v>
      </c>
      <c r="B284" s="205" t="s">
        <v>623</v>
      </c>
      <c r="C284" s="200">
        <v>45449</v>
      </c>
      <c r="D284" s="199" t="s">
        <v>152</v>
      </c>
      <c r="E284" s="206">
        <v>19440</v>
      </c>
      <c r="F284" s="206">
        <v>1944</v>
      </c>
      <c r="G284" s="206">
        <v>97</v>
      </c>
      <c r="H284" s="202">
        <f t="shared" si="4"/>
        <v>17593</v>
      </c>
      <c r="I284" s="205" t="s">
        <v>44</v>
      </c>
      <c r="J284" s="205" t="s">
        <v>23</v>
      </c>
      <c r="K284" s="199" t="s">
        <v>1042</v>
      </c>
      <c r="L284" s="205" t="s">
        <v>4996</v>
      </c>
      <c r="M284" s="201" t="s">
        <v>1030</v>
      </c>
      <c r="N284" s="205" t="s">
        <v>652</v>
      </c>
      <c r="O284" s="205" t="s">
        <v>652</v>
      </c>
      <c r="P284" s="208" t="s">
        <v>653</v>
      </c>
      <c r="Q284" s="208" t="s">
        <v>654</v>
      </c>
      <c r="R284" s="208" t="s">
        <v>4456</v>
      </c>
    </row>
    <row r="285" spans="1:18" s="205" customFormat="1" x14ac:dyDescent="0.2">
      <c r="A285" s="205" t="s">
        <v>520</v>
      </c>
      <c r="B285" s="205" t="s">
        <v>521</v>
      </c>
      <c r="C285" s="200">
        <v>45449</v>
      </c>
      <c r="D285" s="199" t="s">
        <v>152</v>
      </c>
      <c r="E285" s="206">
        <v>30234</v>
      </c>
      <c r="F285" s="206">
        <v>3023</v>
      </c>
      <c r="G285" s="206">
        <v>151</v>
      </c>
      <c r="H285" s="202">
        <f t="shared" si="4"/>
        <v>27362</v>
      </c>
      <c r="I285" s="205" t="s">
        <v>522</v>
      </c>
      <c r="J285" s="205" t="s">
        <v>23</v>
      </c>
      <c r="K285" s="199" t="s">
        <v>1042</v>
      </c>
      <c r="L285" s="205" t="s">
        <v>4997</v>
      </c>
      <c r="M285" s="201" t="s">
        <v>1756</v>
      </c>
      <c r="N285" s="205" t="s">
        <v>1757</v>
      </c>
      <c r="O285" s="205" t="s">
        <v>1066</v>
      </c>
      <c r="P285" s="214" t="s">
        <v>756</v>
      </c>
      <c r="Q285" s="214" t="s">
        <v>757</v>
      </c>
      <c r="R285" s="214" t="s">
        <v>4456</v>
      </c>
    </row>
    <row r="286" spans="1:18" s="205" customFormat="1" x14ac:dyDescent="0.2">
      <c r="A286" s="209" t="s">
        <v>290</v>
      </c>
      <c r="B286" s="209" t="s">
        <v>4998</v>
      </c>
      <c r="C286" s="210">
        <v>45449</v>
      </c>
      <c r="D286" s="199" t="s">
        <v>152</v>
      </c>
      <c r="E286" s="211">
        <v>5261015</v>
      </c>
      <c r="F286" s="211">
        <v>526102</v>
      </c>
      <c r="G286" s="211">
        <v>26305</v>
      </c>
      <c r="H286" s="202">
        <f t="shared" si="4"/>
        <v>4761218</v>
      </c>
      <c r="I286" s="209" t="s">
        <v>292</v>
      </c>
      <c r="J286" s="209" t="s">
        <v>23</v>
      </c>
      <c r="K286" s="201" t="s">
        <v>1028</v>
      </c>
      <c r="L286" s="209" t="s">
        <v>4999</v>
      </c>
      <c r="M286" s="201" t="s">
        <v>1030</v>
      </c>
      <c r="N286" s="209" t="s">
        <v>652</v>
      </c>
      <c r="O286" s="209" t="s">
        <v>652</v>
      </c>
      <c r="P286" s="213" t="s">
        <v>1534</v>
      </c>
      <c r="Q286" s="213" t="s">
        <v>3748</v>
      </c>
      <c r="R286" s="213" t="s">
        <v>4456</v>
      </c>
    </row>
    <row r="287" spans="1:18" s="205" customFormat="1" x14ac:dyDescent="0.2">
      <c r="A287" s="205" t="s">
        <v>145</v>
      </c>
      <c r="B287" s="205" t="s">
        <v>543</v>
      </c>
      <c r="C287" s="200">
        <v>45449</v>
      </c>
      <c r="D287" s="199" t="s">
        <v>152</v>
      </c>
      <c r="E287" s="206">
        <v>34331</v>
      </c>
      <c r="F287" s="206">
        <v>3433</v>
      </c>
      <c r="G287" s="206">
        <v>172</v>
      </c>
      <c r="H287" s="202">
        <f t="shared" si="4"/>
        <v>31070</v>
      </c>
      <c r="I287" s="205" t="s">
        <v>38</v>
      </c>
      <c r="J287" s="205" t="s">
        <v>23</v>
      </c>
      <c r="K287" s="201" t="s">
        <v>1042</v>
      </c>
      <c r="L287" s="205" t="s">
        <v>5000</v>
      </c>
      <c r="M287" s="201" t="s">
        <v>1030</v>
      </c>
      <c r="N287" s="205" t="s">
        <v>652</v>
      </c>
      <c r="O287" s="205" t="s">
        <v>652</v>
      </c>
      <c r="P287" s="208" t="s">
        <v>812</v>
      </c>
      <c r="Q287" s="208" t="s">
        <v>857</v>
      </c>
      <c r="R287" s="208" t="s">
        <v>4456</v>
      </c>
    </row>
    <row r="288" spans="1:18" s="205" customFormat="1" x14ac:dyDescent="0.2">
      <c r="A288" s="205" t="s">
        <v>537</v>
      </c>
      <c r="B288" s="205" t="s">
        <v>538</v>
      </c>
      <c r="C288" s="200">
        <v>45449</v>
      </c>
      <c r="D288" s="199" t="s">
        <v>152</v>
      </c>
      <c r="E288" s="206">
        <v>3000</v>
      </c>
      <c r="F288" s="206">
        <v>300</v>
      </c>
      <c r="G288" s="206">
        <v>15</v>
      </c>
      <c r="H288" s="202">
        <f t="shared" si="4"/>
        <v>2715</v>
      </c>
      <c r="I288" s="205" t="s">
        <v>344</v>
      </c>
      <c r="J288" s="205" t="s">
        <v>23</v>
      </c>
      <c r="K288" s="199" t="s">
        <v>1042</v>
      </c>
      <c r="L288" s="205" t="s">
        <v>5001</v>
      </c>
      <c r="M288" s="201" t="s">
        <v>1030</v>
      </c>
      <c r="N288" s="205" t="s">
        <v>1065</v>
      </c>
      <c r="O288" s="205" t="s">
        <v>1066</v>
      </c>
      <c r="P288" s="208" t="s">
        <v>688</v>
      </c>
      <c r="Q288" s="208" t="s">
        <v>689</v>
      </c>
      <c r="R288" s="208" t="s">
        <v>4456</v>
      </c>
    </row>
    <row r="289" spans="1:18" s="205" customFormat="1" x14ac:dyDescent="0.2">
      <c r="A289" s="205" t="s">
        <v>77</v>
      </c>
      <c r="B289" s="205" t="s">
        <v>369</v>
      </c>
      <c r="C289" s="200">
        <v>45449</v>
      </c>
      <c r="D289" s="199" t="s">
        <v>152</v>
      </c>
      <c r="E289" s="206">
        <v>38392</v>
      </c>
      <c r="F289" s="206">
        <v>3839</v>
      </c>
      <c r="G289" s="206">
        <v>192</v>
      </c>
      <c r="H289" s="202">
        <f t="shared" si="4"/>
        <v>34745</v>
      </c>
      <c r="I289" s="205" t="s">
        <v>33</v>
      </c>
      <c r="J289" s="205" t="s">
        <v>23</v>
      </c>
      <c r="K289" s="199" t="s">
        <v>1042</v>
      </c>
      <c r="L289" s="205" t="s">
        <v>5002</v>
      </c>
      <c r="M289" s="201" t="s">
        <v>652</v>
      </c>
      <c r="N289" s="205" t="s">
        <v>652</v>
      </c>
      <c r="O289" s="205" t="s">
        <v>652</v>
      </c>
      <c r="P289" s="208" t="s">
        <v>503</v>
      </c>
      <c r="Q289" s="208" t="s">
        <v>766</v>
      </c>
      <c r="R289" s="208" t="s">
        <v>4456</v>
      </c>
    </row>
    <row r="290" spans="1:18" s="205" customFormat="1" x14ac:dyDescent="0.2">
      <c r="A290" s="205" t="s">
        <v>5003</v>
      </c>
      <c r="B290" s="205" t="s">
        <v>250</v>
      </c>
      <c r="C290" s="200">
        <v>45449</v>
      </c>
      <c r="D290" s="199" t="s">
        <v>152</v>
      </c>
      <c r="E290" s="206">
        <v>94377</v>
      </c>
      <c r="F290" s="206">
        <v>9438</v>
      </c>
      <c r="G290" s="206">
        <v>472</v>
      </c>
      <c r="H290" s="202">
        <f t="shared" si="4"/>
        <v>85411</v>
      </c>
      <c r="I290" s="205" t="s">
        <v>193</v>
      </c>
      <c r="J290" s="205" t="s">
        <v>23</v>
      </c>
      <c r="K290" s="201" t="s">
        <v>1042</v>
      </c>
      <c r="L290" s="205" t="s">
        <v>5004</v>
      </c>
      <c r="M290" s="201" t="s">
        <v>1030</v>
      </c>
      <c r="N290" s="205" t="s">
        <v>652</v>
      </c>
      <c r="O290" s="205" t="s">
        <v>652</v>
      </c>
      <c r="P290" s="208" t="s">
        <v>653</v>
      </c>
      <c r="Q290" s="208" t="s">
        <v>654</v>
      </c>
      <c r="R290" s="208" t="s">
        <v>4456</v>
      </c>
    </row>
    <row r="291" spans="1:18" s="205" customFormat="1" x14ac:dyDescent="0.2">
      <c r="A291" s="205" t="s">
        <v>5003</v>
      </c>
      <c r="B291" s="205" t="s">
        <v>132</v>
      </c>
      <c r="C291" s="200">
        <v>45449</v>
      </c>
      <c r="D291" s="199" t="s">
        <v>152</v>
      </c>
      <c r="E291" s="206">
        <v>77634</v>
      </c>
      <c r="F291" s="206">
        <v>7763</v>
      </c>
      <c r="G291" s="206">
        <v>388</v>
      </c>
      <c r="H291" s="202">
        <f t="shared" si="4"/>
        <v>70259</v>
      </c>
      <c r="I291" s="205" t="s">
        <v>193</v>
      </c>
      <c r="J291" s="205" t="s">
        <v>23</v>
      </c>
      <c r="K291" s="201" t="s">
        <v>1058</v>
      </c>
      <c r="L291" s="205" t="s">
        <v>5005</v>
      </c>
      <c r="M291" s="201" t="s">
        <v>1030</v>
      </c>
      <c r="N291" s="205" t="s">
        <v>652</v>
      </c>
      <c r="O291" s="205" t="s">
        <v>652</v>
      </c>
      <c r="P291" s="208" t="s">
        <v>728</v>
      </c>
      <c r="Q291" s="208" t="s">
        <v>729</v>
      </c>
      <c r="R291" s="208" t="s">
        <v>4456</v>
      </c>
    </row>
    <row r="292" spans="1:18" s="205" customFormat="1" x14ac:dyDescent="0.2">
      <c r="A292" s="205" t="s">
        <v>5006</v>
      </c>
      <c r="B292" s="205" t="s">
        <v>123</v>
      </c>
      <c r="C292" s="200">
        <v>45449</v>
      </c>
      <c r="D292" s="199" t="s">
        <v>152</v>
      </c>
      <c r="E292" s="206">
        <v>20459</v>
      </c>
      <c r="F292" s="206">
        <v>2046</v>
      </c>
      <c r="G292" s="206">
        <v>102</v>
      </c>
      <c r="H292" s="202">
        <f t="shared" si="4"/>
        <v>18515</v>
      </c>
      <c r="I292" s="205" t="s">
        <v>193</v>
      </c>
      <c r="J292" s="205" t="s">
        <v>23</v>
      </c>
      <c r="K292" s="201" t="s">
        <v>1058</v>
      </c>
      <c r="L292" s="205" t="s">
        <v>5007</v>
      </c>
      <c r="M292" s="201" t="s">
        <v>1030</v>
      </c>
      <c r="N292" s="205" t="s">
        <v>652</v>
      </c>
      <c r="O292" s="205" t="s">
        <v>652</v>
      </c>
      <c r="P292" s="208" t="s">
        <v>728</v>
      </c>
      <c r="Q292" s="208" t="s">
        <v>729</v>
      </c>
      <c r="R292" s="208" t="s">
        <v>4456</v>
      </c>
    </row>
    <row r="293" spans="1:18" s="205" customFormat="1" x14ac:dyDescent="0.2">
      <c r="A293" s="205" t="s">
        <v>5008</v>
      </c>
      <c r="B293" s="205" t="s">
        <v>246</v>
      </c>
      <c r="C293" s="200">
        <v>45449</v>
      </c>
      <c r="D293" s="199" t="s">
        <v>152</v>
      </c>
      <c r="E293" s="206">
        <v>25198</v>
      </c>
      <c r="F293" s="206">
        <v>2520</v>
      </c>
      <c r="G293" s="206">
        <v>126</v>
      </c>
      <c r="H293" s="202">
        <f t="shared" si="4"/>
        <v>22804</v>
      </c>
      <c r="I293" s="205" t="s">
        <v>193</v>
      </c>
      <c r="J293" s="205" t="s">
        <v>23</v>
      </c>
      <c r="K293" s="201" t="s">
        <v>1042</v>
      </c>
      <c r="L293" s="205" t="s">
        <v>5009</v>
      </c>
      <c r="M293" s="201" t="s">
        <v>1030</v>
      </c>
      <c r="N293" s="205" t="s">
        <v>652</v>
      </c>
      <c r="O293" s="205" t="s">
        <v>652</v>
      </c>
      <c r="P293" s="208" t="s">
        <v>653</v>
      </c>
      <c r="Q293" s="208" t="s">
        <v>654</v>
      </c>
      <c r="R293" s="208" t="s">
        <v>4456</v>
      </c>
    </row>
    <row r="294" spans="1:18" s="205" customFormat="1" x14ac:dyDescent="0.2">
      <c r="A294" s="205" t="s">
        <v>5010</v>
      </c>
      <c r="B294" s="205" t="s">
        <v>284</v>
      </c>
      <c r="C294" s="200">
        <v>45449</v>
      </c>
      <c r="D294" s="199" t="s">
        <v>152</v>
      </c>
      <c r="E294" s="206">
        <v>94377</v>
      </c>
      <c r="F294" s="206">
        <v>9438</v>
      </c>
      <c r="G294" s="206">
        <v>472</v>
      </c>
      <c r="H294" s="202">
        <f t="shared" si="4"/>
        <v>85411</v>
      </c>
      <c r="I294" s="205" t="s">
        <v>193</v>
      </c>
      <c r="J294" s="205" t="s">
        <v>23</v>
      </c>
      <c r="K294" s="201" t="s">
        <v>1058</v>
      </c>
      <c r="L294" s="205" t="s">
        <v>5011</v>
      </c>
      <c r="M294" s="201" t="s">
        <v>1030</v>
      </c>
      <c r="N294" s="205" t="s">
        <v>652</v>
      </c>
      <c r="O294" s="205" t="s">
        <v>652</v>
      </c>
      <c r="P294" s="208" t="s">
        <v>653</v>
      </c>
      <c r="Q294" s="208" t="s">
        <v>654</v>
      </c>
      <c r="R294" s="208" t="s">
        <v>4456</v>
      </c>
    </row>
    <row r="295" spans="1:18" s="205" customFormat="1" x14ac:dyDescent="0.2">
      <c r="A295" s="205" t="s">
        <v>5012</v>
      </c>
      <c r="B295" s="205" t="s">
        <v>284</v>
      </c>
      <c r="C295" s="200">
        <v>45449</v>
      </c>
      <c r="D295" s="199" t="s">
        <v>152</v>
      </c>
      <c r="E295" s="206">
        <v>104025</v>
      </c>
      <c r="F295" s="206">
        <v>10403</v>
      </c>
      <c r="G295" s="206">
        <v>520</v>
      </c>
      <c r="H295" s="202">
        <f t="shared" si="4"/>
        <v>94142</v>
      </c>
      <c r="I295" s="205" t="s">
        <v>193</v>
      </c>
      <c r="J295" s="205" t="s">
        <v>23</v>
      </c>
      <c r="K295" s="201" t="s">
        <v>1058</v>
      </c>
      <c r="L295" s="205" t="s">
        <v>5013</v>
      </c>
      <c r="M295" s="201" t="s">
        <v>1030</v>
      </c>
      <c r="N295" s="205" t="s">
        <v>652</v>
      </c>
      <c r="O295" s="205" t="s">
        <v>652</v>
      </c>
      <c r="P295" s="208" t="s">
        <v>651</v>
      </c>
      <c r="Q295" s="208" t="s">
        <v>673</v>
      </c>
      <c r="R295" s="208" t="s">
        <v>4456</v>
      </c>
    </row>
    <row r="296" spans="1:18" s="205" customFormat="1" x14ac:dyDescent="0.2">
      <c r="A296" s="205" t="s">
        <v>5014</v>
      </c>
      <c r="B296" s="205" t="s">
        <v>4973</v>
      </c>
      <c r="C296" s="200">
        <v>45449</v>
      </c>
      <c r="D296" s="199" t="s">
        <v>152</v>
      </c>
      <c r="E296" s="206">
        <v>52479</v>
      </c>
      <c r="F296" s="206">
        <v>5248</v>
      </c>
      <c r="G296" s="206">
        <v>262</v>
      </c>
      <c r="H296" s="202">
        <f t="shared" si="4"/>
        <v>47493</v>
      </c>
      <c r="I296" s="205" t="s">
        <v>193</v>
      </c>
      <c r="J296" s="205" t="s">
        <v>23</v>
      </c>
      <c r="K296" s="199" t="s">
        <v>1058</v>
      </c>
      <c r="L296" s="205" t="s">
        <v>5015</v>
      </c>
      <c r="M296" s="201" t="s">
        <v>1030</v>
      </c>
      <c r="N296" s="205" t="s">
        <v>652</v>
      </c>
      <c r="O296" s="205" t="s">
        <v>652</v>
      </c>
      <c r="P296" s="208" t="s">
        <v>738</v>
      </c>
      <c r="Q296" s="208" t="s">
        <v>739</v>
      </c>
      <c r="R296" s="208" t="s">
        <v>4456</v>
      </c>
    </row>
    <row r="297" spans="1:18" s="205" customFormat="1" x14ac:dyDescent="0.2">
      <c r="A297" s="205" t="s">
        <v>5016</v>
      </c>
      <c r="B297" s="205" t="s">
        <v>248</v>
      </c>
      <c r="C297" s="200">
        <v>45449</v>
      </c>
      <c r="D297" s="199" t="s">
        <v>152</v>
      </c>
      <c r="E297" s="206">
        <v>69985</v>
      </c>
      <c r="F297" s="206">
        <v>6999</v>
      </c>
      <c r="G297" s="206">
        <v>350</v>
      </c>
      <c r="H297" s="202">
        <f t="shared" si="4"/>
        <v>63336</v>
      </c>
      <c r="I297" s="205" t="s">
        <v>193</v>
      </c>
      <c r="J297" s="205" t="s">
        <v>23</v>
      </c>
      <c r="K297" s="199" t="s">
        <v>1058</v>
      </c>
      <c r="L297" s="205" t="s">
        <v>5017</v>
      </c>
      <c r="M297" s="201" t="s">
        <v>1030</v>
      </c>
      <c r="N297" s="205" t="s">
        <v>652</v>
      </c>
      <c r="O297" s="205" t="s">
        <v>652</v>
      </c>
      <c r="P297" s="208" t="s">
        <v>651</v>
      </c>
      <c r="Q297" s="208" t="s">
        <v>673</v>
      </c>
      <c r="R297" s="208" t="s">
        <v>4456</v>
      </c>
    </row>
    <row r="298" spans="1:18" s="205" customFormat="1" x14ac:dyDescent="0.2">
      <c r="A298" s="205" t="s">
        <v>5018</v>
      </c>
      <c r="B298" s="205" t="s">
        <v>123</v>
      </c>
      <c r="C298" s="200">
        <v>45449</v>
      </c>
      <c r="D298" s="199" t="s">
        <v>152</v>
      </c>
      <c r="E298" s="206">
        <v>34265</v>
      </c>
      <c r="F298" s="206">
        <v>3427</v>
      </c>
      <c r="G298" s="206">
        <v>171</v>
      </c>
      <c r="H298" s="202">
        <f t="shared" si="4"/>
        <v>31009</v>
      </c>
      <c r="I298" s="205" t="s">
        <v>193</v>
      </c>
      <c r="J298" s="205" t="s">
        <v>23</v>
      </c>
      <c r="K298" s="199" t="s">
        <v>1028</v>
      </c>
      <c r="L298" s="205" t="s">
        <v>5019</v>
      </c>
      <c r="M298" s="201" t="s">
        <v>1030</v>
      </c>
      <c r="N298" s="205" t="s">
        <v>652</v>
      </c>
      <c r="O298" s="205" t="s">
        <v>652</v>
      </c>
      <c r="P298" s="214" t="s">
        <v>738</v>
      </c>
      <c r="Q298" s="214" t="s">
        <v>739</v>
      </c>
      <c r="R298" s="214" t="s">
        <v>4456</v>
      </c>
    </row>
    <row r="299" spans="1:18" s="205" customFormat="1" x14ac:dyDescent="0.2">
      <c r="A299" s="209" t="s">
        <v>5020</v>
      </c>
      <c r="B299" s="209" t="s">
        <v>1794</v>
      </c>
      <c r="C299" s="210">
        <v>45449</v>
      </c>
      <c r="D299" s="199" t="s">
        <v>152</v>
      </c>
      <c r="E299" s="211">
        <v>102728</v>
      </c>
      <c r="F299" s="211">
        <v>10273</v>
      </c>
      <c r="G299" s="211">
        <v>514</v>
      </c>
      <c r="H299" s="202">
        <f t="shared" si="4"/>
        <v>92969</v>
      </c>
      <c r="I299" s="209" t="s">
        <v>193</v>
      </c>
      <c r="J299" s="209" t="s">
        <v>23</v>
      </c>
      <c r="K299" s="201" t="s">
        <v>1042</v>
      </c>
      <c r="L299" s="209" t="s">
        <v>5021</v>
      </c>
      <c r="M299" s="201" t="s">
        <v>1030</v>
      </c>
      <c r="N299" s="209" t="s">
        <v>652</v>
      </c>
      <c r="O299" s="209" t="s">
        <v>652</v>
      </c>
      <c r="P299" s="213" t="s">
        <v>738</v>
      </c>
      <c r="Q299" s="213" t="s">
        <v>739</v>
      </c>
      <c r="R299" s="213" t="s">
        <v>4456</v>
      </c>
    </row>
    <row r="300" spans="1:18" s="205" customFormat="1" x14ac:dyDescent="0.2">
      <c r="A300" s="209" t="s">
        <v>5022</v>
      </c>
      <c r="B300" s="209" t="s">
        <v>1794</v>
      </c>
      <c r="C300" s="210">
        <v>45449</v>
      </c>
      <c r="D300" s="199" t="s">
        <v>152</v>
      </c>
      <c r="E300" s="211">
        <v>102728</v>
      </c>
      <c r="F300" s="211">
        <v>10273</v>
      </c>
      <c r="G300" s="211">
        <v>514</v>
      </c>
      <c r="H300" s="202">
        <f t="shared" si="4"/>
        <v>92969</v>
      </c>
      <c r="I300" s="209" t="s">
        <v>193</v>
      </c>
      <c r="J300" s="209" t="s">
        <v>23</v>
      </c>
      <c r="K300" s="201" t="s">
        <v>1042</v>
      </c>
      <c r="L300" s="209" t="s">
        <v>5023</v>
      </c>
      <c r="M300" s="201" t="s">
        <v>1030</v>
      </c>
      <c r="N300" s="209" t="s">
        <v>652</v>
      </c>
      <c r="O300" s="209" t="s">
        <v>652</v>
      </c>
      <c r="P300" s="213" t="s">
        <v>738</v>
      </c>
      <c r="Q300" s="213" t="s">
        <v>739</v>
      </c>
      <c r="R300" s="213" t="s">
        <v>4456</v>
      </c>
    </row>
    <row r="301" spans="1:18" s="205" customFormat="1" x14ac:dyDescent="0.2">
      <c r="A301" s="209" t="s">
        <v>5022</v>
      </c>
      <c r="B301" s="209" t="s">
        <v>284</v>
      </c>
      <c r="C301" s="210">
        <v>45449</v>
      </c>
      <c r="D301" s="199" t="s">
        <v>152</v>
      </c>
      <c r="E301" s="211">
        <v>94377</v>
      </c>
      <c r="F301" s="211">
        <v>9438</v>
      </c>
      <c r="G301" s="211">
        <v>472</v>
      </c>
      <c r="H301" s="202">
        <f t="shared" si="4"/>
        <v>85411</v>
      </c>
      <c r="I301" s="209" t="s">
        <v>193</v>
      </c>
      <c r="J301" s="209" t="s">
        <v>23</v>
      </c>
      <c r="K301" s="201" t="s">
        <v>1058</v>
      </c>
      <c r="L301" s="209" t="s">
        <v>5024</v>
      </c>
      <c r="M301" s="201" t="s">
        <v>1030</v>
      </c>
      <c r="N301" s="209" t="s">
        <v>652</v>
      </c>
      <c r="O301" s="209" t="s">
        <v>652</v>
      </c>
      <c r="P301" s="213" t="s">
        <v>651</v>
      </c>
      <c r="Q301" s="213" t="s">
        <v>673</v>
      </c>
      <c r="R301" s="213" t="s">
        <v>4456</v>
      </c>
    </row>
    <row r="302" spans="1:18" s="205" customFormat="1" x14ac:dyDescent="0.2">
      <c r="A302" s="205" t="s">
        <v>5025</v>
      </c>
      <c r="B302" s="205" t="s">
        <v>284</v>
      </c>
      <c r="C302" s="200">
        <v>45449</v>
      </c>
      <c r="D302" s="199" t="s">
        <v>152</v>
      </c>
      <c r="E302" s="206">
        <v>94377</v>
      </c>
      <c r="F302" s="206">
        <v>9438</v>
      </c>
      <c r="G302" s="206">
        <v>472</v>
      </c>
      <c r="H302" s="202">
        <f t="shared" si="4"/>
        <v>85411</v>
      </c>
      <c r="I302" s="205" t="s">
        <v>193</v>
      </c>
      <c r="J302" s="205" t="s">
        <v>23</v>
      </c>
      <c r="K302" s="201" t="s">
        <v>1058</v>
      </c>
      <c r="L302" s="205" t="s">
        <v>5026</v>
      </c>
      <c r="M302" s="201" t="s">
        <v>1030</v>
      </c>
      <c r="N302" s="205" t="s">
        <v>652</v>
      </c>
      <c r="O302" s="205" t="s">
        <v>652</v>
      </c>
      <c r="P302" s="208" t="s">
        <v>651</v>
      </c>
      <c r="Q302" s="208" t="s">
        <v>673</v>
      </c>
      <c r="R302" s="208" t="s">
        <v>4456</v>
      </c>
    </row>
    <row r="303" spans="1:18" s="205" customFormat="1" x14ac:dyDescent="0.2">
      <c r="A303" s="205" t="s">
        <v>5027</v>
      </c>
      <c r="B303" s="205" t="s">
        <v>1794</v>
      </c>
      <c r="C303" s="200">
        <v>45449</v>
      </c>
      <c r="D303" s="199" t="s">
        <v>152</v>
      </c>
      <c r="E303" s="206">
        <v>85607</v>
      </c>
      <c r="F303" s="206">
        <v>8561</v>
      </c>
      <c r="G303" s="206">
        <v>428</v>
      </c>
      <c r="H303" s="202">
        <f t="shared" si="4"/>
        <v>77474</v>
      </c>
      <c r="I303" s="205" t="s">
        <v>193</v>
      </c>
      <c r="J303" s="205" t="s">
        <v>23</v>
      </c>
      <c r="K303" s="201" t="s">
        <v>1042</v>
      </c>
      <c r="L303" s="205" t="s">
        <v>5028</v>
      </c>
      <c r="M303" s="201" t="s">
        <v>1030</v>
      </c>
      <c r="N303" s="205" t="s">
        <v>652</v>
      </c>
      <c r="O303" s="205" t="s">
        <v>652</v>
      </c>
      <c r="P303" s="208" t="s">
        <v>728</v>
      </c>
      <c r="Q303" s="208" t="s">
        <v>729</v>
      </c>
      <c r="R303" s="208" t="s">
        <v>4456</v>
      </c>
    </row>
    <row r="304" spans="1:18" s="205" customFormat="1" x14ac:dyDescent="0.2">
      <c r="A304" s="205" t="s">
        <v>5029</v>
      </c>
      <c r="B304" s="205" t="s">
        <v>123</v>
      </c>
      <c r="C304" s="200">
        <v>45449</v>
      </c>
      <c r="D304" s="199" t="s">
        <v>152</v>
      </c>
      <c r="E304" s="206">
        <v>39684</v>
      </c>
      <c r="F304" s="206">
        <v>3968</v>
      </c>
      <c r="G304" s="206">
        <v>198</v>
      </c>
      <c r="H304" s="202">
        <f t="shared" si="4"/>
        <v>35914</v>
      </c>
      <c r="I304" s="205" t="s">
        <v>193</v>
      </c>
      <c r="J304" s="205" t="s">
        <v>23</v>
      </c>
      <c r="K304" s="201" t="s">
        <v>1058</v>
      </c>
      <c r="L304" s="205" t="s">
        <v>5030</v>
      </c>
      <c r="M304" s="201" t="s">
        <v>1030</v>
      </c>
      <c r="N304" s="205" t="s">
        <v>652</v>
      </c>
      <c r="O304" s="205" t="s">
        <v>652</v>
      </c>
      <c r="P304" s="208" t="s">
        <v>738</v>
      </c>
      <c r="Q304" s="208" t="s">
        <v>739</v>
      </c>
      <c r="R304" s="208" t="s">
        <v>4456</v>
      </c>
    </row>
    <row r="305" spans="1:18" s="205" customFormat="1" x14ac:dyDescent="0.2">
      <c r="A305" s="205" t="s">
        <v>5031</v>
      </c>
      <c r="B305" s="205" t="s">
        <v>250</v>
      </c>
      <c r="C305" s="200">
        <v>45449</v>
      </c>
      <c r="D305" s="199" t="s">
        <v>152</v>
      </c>
      <c r="E305" s="206">
        <v>85607</v>
      </c>
      <c r="F305" s="206">
        <v>8561</v>
      </c>
      <c r="G305" s="206">
        <v>428</v>
      </c>
      <c r="H305" s="202">
        <f t="shared" si="4"/>
        <v>77474</v>
      </c>
      <c r="I305" s="205" t="s">
        <v>193</v>
      </c>
      <c r="J305" s="205" t="s">
        <v>23</v>
      </c>
      <c r="K305" s="201" t="s">
        <v>1042</v>
      </c>
      <c r="L305" s="205" t="s">
        <v>5032</v>
      </c>
      <c r="M305" s="201" t="s">
        <v>1030</v>
      </c>
      <c r="N305" s="205" t="s">
        <v>652</v>
      </c>
      <c r="O305" s="205" t="s">
        <v>652</v>
      </c>
      <c r="P305" s="208" t="s">
        <v>653</v>
      </c>
      <c r="Q305" s="208" t="s">
        <v>654</v>
      </c>
      <c r="R305" s="208" t="s">
        <v>4456</v>
      </c>
    </row>
    <row r="306" spans="1:18" s="205" customFormat="1" x14ac:dyDescent="0.2">
      <c r="A306" s="205" t="s">
        <v>5027</v>
      </c>
      <c r="B306" s="205" t="s">
        <v>284</v>
      </c>
      <c r="C306" s="200">
        <v>45449</v>
      </c>
      <c r="D306" s="199" t="s">
        <v>152</v>
      </c>
      <c r="E306" s="206">
        <v>94377</v>
      </c>
      <c r="F306" s="206">
        <v>9438</v>
      </c>
      <c r="G306" s="206">
        <v>472</v>
      </c>
      <c r="H306" s="202">
        <f t="shared" si="4"/>
        <v>85411</v>
      </c>
      <c r="I306" s="205" t="s">
        <v>193</v>
      </c>
      <c r="J306" s="205" t="s">
        <v>23</v>
      </c>
      <c r="K306" s="201" t="s">
        <v>1058</v>
      </c>
      <c r="L306" s="205" t="s">
        <v>5033</v>
      </c>
      <c r="M306" s="201" t="s">
        <v>1030</v>
      </c>
      <c r="N306" s="205" t="s">
        <v>652</v>
      </c>
      <c r="O306" s="205" t="s">
        <v>652</v>
      </c>
      <c r="P306" s="208" t="s">
        <v>653</v>
      </c>
      <c r="Q306" s="208" t="s">
        <v>654</v>
      </c>
      <c r="R306" s="208" t="s">
        <v>4456</v>
      </c>
    </row>
    <row r="307" spans="1:18" s="205" customFormat="1" x14ac:dyDescent="0.2">
      <c r="A307" s="205" t="s">
        <v>5029</v>
      </c>
      <c r="B307" s="205" t="s">
        <v>246</v>
      </c>
      <c r="C307" s="200">
        <v>45449</v>
      </c>
      <c r="D307" s="199" t="s">
        <v>152</v>
      </c>
      <c r="E307" s="206">
        <v>44011</v>
      </c>
      <c r="F307" s="206">
        <v>4401</v>
      </c>
      <c r="G307" s="206">
        <v>220</v>
      </c>
      <c r="H307" s="202">
        <f t="shared" si="4"/>
        <v>39830</v>
      </c>
      <c r="I307" s="205" t="s">
        <v>193</v>
      </c>
      <c r="J307" s="205" t="s">
        <v>23</v>
      </c>
      <c r="K307" s="201" t="s">
        <v>1042</v>
      </c>
      <c r="L307" s="205" t="s">
        <v>5034</v>
      </c>
      <c r="M307" s="201" t="s">
        <v>1030</v>
      </c>
      <c r="N307" s="205" t="s">
        <v>652</v>
      </c>
      <c r="O307" s="205" t="s">
        <v>652</v>
      </c>
      <c r="P307" s="208" t="s">
        <v>651</v>
      </c>
      <c r="Q307" s="208" t="s">
        <v>673</v>
      </c>
      <c r="R307" s="208" t="s">
        <v>4456</v>
      </c>
    </row>
    <row r="308" spans="1:18" s="205" customFormat="1" x14ac:dyDescent="0.2">
      <c r="A308" s="205" t="s">
        <v>5035</v>
      </c>
      <c r="B308" s="205" t="s">
        <v>250</v>
      </c>
      <c r="C308" s="200">
        <v>45449</v>
      </c>
      <c r="D308" s="199" t="s">
        <v>152</v>
      </c>
      <c r="E308" s="206">
        <v>94377</v>
      </c>
      <c r="F308" s="206">
        <v>9438</v>
      </c>
      <c r="G308" s="206">
        <v>472</v>
      </c>
      <c r="H308" s="202">
        <f t="shared" si="4"/>
        <v>85411</v>
      </c>
      <c r="I308" s="205" t="s">
        <v>193</v>
      </c>
      <c r="J308" s="205" t="s">
        <v>23</v>
      </c>
      <c r="K308" s="201" t="s">
        <v>1042</v>
      </c>
      <c r="L308" s="205" t="s">
        <v>5036</v>
      </c>
      <c r="M308" s="201" t="s">
        <v>1030</v>
      </c>
      <c r="N308" s="205" t="s">
        <v>652</v>
      </c>
      <c r="O308" s="205" t="s">
        <v>652</v>
      </c>
      <c r="P308" s="208" t="s">
        <v>653</v>
      </c>
      <c r="Q308" s="208" t="s">
        <v>654</v>
      </c>
      <c r="R308" s="208" t="s">
        <v>4456</v>
      </c>
    </row>
    <row r="309" spans="1:18" s="205" customFormat="1" x14ac:dyDescent="0.2">
      <c r="A309" s="205" t="s">
        <v>5037</v>
      </c>
      <c r="B309" s="205" t="s">
        <v>284</v>
      </c>
      <c r="C309" s="200">
        <v>45449</v>
      </c>
      <c r="D309" s="199" t="s">
        <v>152</v>
      </c>
      <c r="E309" s="206">
        <v>127646</v>
      </c>
      <c r="F309" s="206">
        <v>12765</v>
      </c>
      <c r="G309" s="206">
        <v>638</v>
      </c>
      <c r="H309" s="202">
        <f t="shared" si="4"/>
        <v>115519</v>
      </c>
      <c r="I309" s="205" t="s">
        <v>193</v>
      </c>
      <c r="J309" s="205" t="s">
        <v>23</v>
      </c>
      <c r="K309" s="201" t="s">
        <v>1058</v>
      </c>
      <c r="L309" s="205" t="s">
        <v>5038</v>
      </c>
      <c r="M309" s="201" t="s">
        <v>1030</v>
      </c>
      <c r="N309" s="205" t="s">
        <v>652</v>
      </c>
      <c r="O309" s="205" t="s">
        <v>652</v>
      </c>
      <c r="P309" s="208" t="s">
        <v>987</v>
      </c>
      <c r="Q309" s="208" t="s">
        <v>988</v>
      </c>
      <c r="R309" s="208" t="s">
        <v>4456</v>
      </c>
    </row>
    <row r="310" spans="1:18" s="205" customFormat="1" x14ac:dyDescent="0.2">
      <c r="A310" s="205" t="s">
        <v>5006</v>
      </c>
      <c r="B310" s="205" t="s">
        <v>330</v>
      </c>
      <c r="C310" s="200">
        <v>45449</v>
      </c>
      <c r="D310" s="199" t="s">
        <v>152</v>
      </c>
      <c r="E310" s="206">
        <v>113984</v>
      </c>
      <c r="F310" s="206">
        <v>11398</v>
      </c>
      <c r="G310" s="206">
        <v>570</v>
      </c>
      <c r="H310" s="202">
        <f t="shared" si="4"/>
        <v>103156</v>
      </c>
      <c r="I310" s="205" t="s">
        <v>193</v>
      </c>
      <c r="J310" s="205" t="s">
        <v>23</v>
      </c>
      <c r="K310" s="199" t="s">
        <v>1058</v>
      </c>
      <c r="L310" s="205" t="s">
        <v>5039</v>
      </c>
      <c r="M310" s="201" t="s">
        <v>1030</v>
      </c>
      <c r="N310" s="205" t="s">
        <v>652</v>
      </c>
      <c r="O310" s="205" t="s">
        <v>652</v>
      </c>
      <c r="P310" s="208" t="s">
        <v>653</v>
      </c>
      <c r="Q310" s="208" t="s">
        <v>654</v>
      </c>
      <c r="R310" s="208" t="s">
        <v>4456</v>
      </c>
    </row>
    <row r="311" spans="1:18" s="205" customFormat="1" x14ac:dyDescent="0.2">
      <c r="A311" s="205" t="s">
        <v>5040</v>
      </c>
      <c r="B311" s="205" t="s">
        <v>284</v>
      </c>
      <c r="C311" s="200">
        <v>45449</v>
      </c>
      <c r="D311" s="199" t="s">
        <v>152</v>
      </c>
      <c r="E311" s="206">
        <v>127646</v>
      </c>
      <c r="F311" s="206">
        <v>12765</v>
      </c>
      <c r="G311" s="206">
        <v>638</v>
      </c>
      <c r="H311" s="202">
        <f t="shared" si="4"/>
        <v>115519</v>
      </c>
      <c r="I311" s="205" t="s">
        <v>193</v>
      </c>
      <c r="J311" s="205" t="s">
        <v>23</v>
      </c>
      <c r="K311" s="199" t="s">
        <v>1058</v>
      </c>
      <c r="L311" s="205" t="s">
        <v>5041</v>
      </c>
      <c r="M311" s="201" t="s">
        <v>1030</v>
      </c>
      <c r="N311" s="205" t="s">
        <v>652</v>
      </c>
      <c r="O311" s="205" t="s">
        <v>652</v>
      </c>
      <c r="P311" s="208" t="s">
        <v>653</v>
      </c>
      <c r="Q311" s="208" t="s">
        <v>654</v>
      </c>
      <c r="R311" s="208" t="s">
        <v>4456</v>
      </c>
    </row>
    <row r="312" spans="1:18" s="205" customFormat="1" x14ac:dyDescent="0.2">
      <c r="A312" s="205" t="s">
        <v>5042</v>
      </c>
      <c r="B312" s="205" t="s">
        <v>1837</v>
      </c>
      <c r="C312" s="200">
        <v>45449</v>
      </c>
      <c r="D312" s="199" t="s">
        <v>152</v>
      </c>
      <c r="E312" s="206">
        <v>55394</v>
      </c>
      <c r="F312" s="206">
        <v>5539</v>
      </c>
      <c r="G312" s="206">
        <v>277</v>
      </c>
      <c r="H312" s="202">
        <f t="shared" si="4"/>
        <v>50132</v>
      </c>
      <c r="I312" s="205" t="s">
        <v>193</v>
      </c>
      <c r="J312" s="205" t="s">
        <v>23</v>
      </c>
      <c r="K312" s="199" t="s">
        <v>1058</v>
      </c>
      <c r="L312" s="205" t="s">
        <v>5043</v>
      </c>
      <c r="M312" s="201" t="s">
        <v>1030</v>
      </c>
      <c r="N312" s="205" t="s">
        <v>652</v>
      </c>
      <c r="O312" s="205" t="s">
        <v>652</v>
      </c>
      <c r="P312" s="208" t="s">
        <v>651</v>
      </c>
      <c r="Q312" s="208" t="s">
        <v>673</v>
      </c>
      <c r="R312" s="208" t="s">
        <v>4456</v>
      </c>
    </row>
    <row r="313" spans="1:18" s="205" customFormat="1" x14ac:dyDescent="0.2">
      <c r="A313" s="205" t="s">
        <v>5044</v>
      </c>
      <c r="B313" s="205" t="s">
        <v>282</v>
      </c>
      <c r="C313" s="200">
        <v>45449</v>
      </c>
      <c r="D313" s="199" t="s">
        <v>152</v>
      </c>
      <c r="E313" s="206">
        <v>60628</v>
      </c>
      <c r="F313" s="206">
        <v>6063</v>
      </c>
      <c r="G313" s="206">
        <v>303</v>
      </c>
      <c r="H313" s="202">
        <f t="shared" si="4"/>
        <v>54868</v>
      </c>
      <c r="I313" s="205" t="s">
        <v>193</v>
      </c>
      <c r="J313" s="205" t="s">
        <v>23</v>
      </c>
      <c r="K313" s="199" t="s">
        <v>1042</v>
      </c>
      <c r="L313" s="205" t="s">
        <v>5045</v>
      </c>
      <c r="M313" s="201" t="s">
        <v>1030</v>
      </c>
      <c r="N313" s="205" t="s">
        <v>652</v>
      </c>
      <c r="O313" s="205" t="s">
        <v>652</v>
      </c>
      <c r="P313" s="208" t="s">
        <v>653</v>
      </c>
      <c r="Q313" s="208" t="s">
        <v>654</v>
      </c>
      <c r="R313" s="208" t="s">
        <v>4456</v>
      </c>
    </row>
    <row r="314" spans="1:18" s="205" customFormat="1" x14ac:dyDescent="0.2">
      <c r="A314" s="205" t="s">
        <v>5046</v>
      </c>
      <c r="B314" s="205" t="s">
        <v>250</v>
      </c>
      <c r="C314" s="200">
        <v>45449</v>
      </c>
      <c r="D314" s="199" t="s">
        <v>152</v>
      </c>
      <c r="E314" s="206">
        <v>85607</v>
      </c>
      <c r="F314" s="206">
        <v>8561</v>
      </c>
      <c r="G314" s="206">
        <v>428</v>
      </c>
      <c r="H314" s="202">
        <f t="shared" si="4"/>
        <v>77474</v>
      </c>
      <c r="I314" s="205" t="s">
        <v>193</v>
      </c>
      <c r="J314" s="205" t="s">
        <v>23</v>
      </c>
      <c r="K314" s="199" t="s">
        <v>1042</v>
      </c>
      <c r="L314" s="205" t="s">
        <v>5047</v>
      </c>
      <c r="M314" s="201" t="s">
        <v>1030</v>
      </c>
      <c r="N314" s="205" t="s">
        <v>652</v>
      </c>
      <c r="O314" s="205" t="s">
        <v>652</v>
      </c>
      <c r="P314" s="208" t="s">
        <v>651</v>
      </c>
      <c r="Q314" s="208" t="s">
        <v>673</v>
      </c>
      <c r="R314" s="208" t="s">
        <v>4456</v>
      </c>
    </row>
    <row r="315" spans="1:18" s="205" customFormat="1" x14ac:dyDescent="0.2">
      <c r="A315" s="205" t="s">
        <v>5048</v>
      </c>
      <c r="B315" s="205" t="s">
        <v>246</v>
      </c>
      <c r="C315" s="200">
        <v>45449</v>
      </c>
      <c r="D315" s="199" t="s">
        <v>152</v>
      </c>
      <c r="E315" s="206">
        <v>31332</v>
      </c>
      <c r="F315" s="206">
        <v>3133</v>
      </c>
      <c r="G315" s="206">
        <v>157</v>
      </c>
      <c r="H315" s="202">
        <f t="shared" si="4"/>
        <v>28356</v>
      </c>
      <c r="I315" s="205" t="s">
        <v>193</v>
      </c>
      <c r="J315" s="205" t="s">
        <v>23</v>
      </c>
      <c r="K315" s="199" t="s">
        <v>1042</v>
      </c>
      <c r="L315" s="205" t="s">
        <v>5049</v>
      </c>
      <c r="M315" s="201" t="s">
        <v>1030</v>
      </c>
      <c r="N315" s="205" t="s">
        <v>652</v>
      </c>
      <c r="O315" s="205" t="s">
        <v>652</v>
      </c>
      <c r="P315" s="208" t="s">
        <v>653</v>
      </c>
      <c r="Q315" s="208" t="s">
        <v>654</v>
      </c>
      <c r="R315" s="208" t="s">
        <v>4456</v>
      </c>
    </row>
    <row r="316" spans="1:18" s="205" customFormat="1" x14ac:dyDescent="0.2">
      <c r="A316" s="205" t="s">
        <v>5050</v>
      </c>
      <c r="B316" s="205" t="s">
        <v>246</v>
      </c>
      <c r="C316" s="200">
        <v>45449</v>
      </c>
      <c r="D316" s="199" t="s">
        <v>152</v>
      </c>
      <c r="E316" s="206">
        <v>31332</v>
      </c>
      <c r="F316" s="206">
        <v>3133</v>
      </c>
      <c r="G316" s="206">
        <v>157</v>
      </c>
      <c r="H316" s="202">
        <f t="shared" si="4"/>
        <v>28356</v>
      </c>
      <c r="I316" s="205" t="s">
        <v>193</v>
      </c>
      <c r="J316" s="205" t="s">
        <v>23</v>
      </c>
      <c r="K316" s="199" t="s">
        <v>1042</v>
      </c>
      <c r="L316" s="205" t="s">
        <v>5051</v>
      </c>
      <c r="M316" s="201" t="s">
        <v>1030</v>
      </c>
      <c r="N316" s="205" t="s">
        <v>652</v>
      </c>
      <c r="O316" s="205" t="s">
        <v>652</v>
      </c>
      <c r="P316" s="214" t="s">
        <v>653</v>
      </c>
      <c r="Q316" s="214" t="s">
        <v>654</v>
      </c>
      <c r="R316" s="214" t="s">
        <v>4456</v>
      </c>
    </row>
    <row r="317" spans="1:18" s="205" customFormat="1" x14ac:dyDescent="0.2">
      <c r="A317" s="209" t="s">
        <v>5042</v>
      </c>
      <c r="B317" s="209" t="s">
        <v>250</v>
      </c>
      <c r="C317" s="210">
        <v>45449</v>
      </c>
      <c r="D317" s="199" t="s">
        <v>152</v>
      </c>
      <c r="E317" s="211">
        <v>85607</v>
      </c>
      <c r="F317" s="211">
        <v>8561</v>
      </c>
      <c r="G317" s="211">
        <v>428</v>
      </c>
      <c r="H317" s="202">
        <f t="shared" si="4"/>
        <v>77474</v>
      </c>
      <c r="I317" s="209" t="s">
        <v>193</v>
      </c>
      <c r="J317" s="209" t="s">
        <v>23</v>
      </c>
      <c r="K317" s="201" t="s">
        <v>1042</v>
      </c>
      <c r="L317" s="209" t="s">
        <v>5052</v>
      </c>
      <c r="M317" s="201" t="s">
        <v>1030</v>
      </c>
      <c r="N317" s="209" t="s">
        <v>652</v>
      </c>
      <c r="O317" s="209" t="s">
        <v>652</v>
      </c>
      <c r="P317" s="233" t="s">
        <v>677</v>
      </c>
      <c r="Q317" s="233" t="s">
        <v>678</v>
      </c>
      <c r="R317" s="233" t="s">
        <v>4456</v>
      </c>
    </row>
    <row r="318" spans="1:18" s="205" customFormat="1" x14ac:dyDescent="0.2">
      <c r="A318" s="209" t="s">
        <v>5053</v>
      </c>
      <c r="B318" s="209" t="s">
        <v>248</v>
      </c>
      <c r="C318" s="210">
        <v>45449</v>
      </c>
      <c r="D318" s="199" t="s">
        <v>152</v>
      </c>
      <c r="E318" s="211">
        <v>57986</v>
      </c>
      <c r="F318" s="211">
        <v>5799</v>
      </c>
      <c r="G318" s="211">
        <v>290</v>
      </c>
      <c r="H318" s="202">
        <f t="shared" si="4"/>
        <v>52477</v>
      </c>
      <c r="I318" s="209" t="s">
        <v>193</v>
      </c>
      <c r="J318" s="209" t="s">
        <v>23</v>
      </c>
      <c r="K318" s="201" t="s">
        <v>1058</v>
      </c>
      <c r="L318" s="209" t="s">
        <v>5054</v>
      </c>
      <c r="M318" s="201" t="s">
        <v>1030</v>
      </c>
      <c r="N318" s="209" t="s">
        <v>652</v>
      </c>
      <c r="O318" s="209" t="s">
        <v>652</v>
      </c>
      <c r="P318" s="213" t="s">
        <v>651</v>
      </c>
      <c r="Q318" s="213" t="s">
        <v>673</v>
      </c>
      <c r="R318" s="213" t="s">
        <v>4456</v>
      </c>
    </row>
    <row r="319" spans="1:18" s="205" customFormat="1" x14ac:dyDescent="0.2">
      <c r="A319" s="209" t="s">
        <v>5055</v>
      </c>
      <c r="B319" s="209" t="s">
        <v>250</v>
      </c>
      <c r="C319" s="210">
        <v>45449</v>
      </c>
      <c r="D319" s="199" t="s">
        <v>152</v>
      </c>
      <c r="E319" s="211">
        <v>85607</v>
      </c>
      <c r="F319" s="211">
        <v>8561</v>
      </c>
      <c r="G319" s="211">
        <v>428</v>
      </c>
      <c r="H319" s="202">
        <f t="shared" si="4"/>
        <v>77474</v>
      </c>
      <c r="I319" s="209" t="s">
        <v>193</v>
      </c>
      <c r="J319" s="209" t="s">
        <v>23</v>
      </c>
      <c r="K319" s="201" t="s">
        <v>1042</v>
      </c>
      <c r="L319" s="209" t="s">
        <v>5056</v>
      </c>
      <c r="M319" s="201" t="s">
        <v>1030</v>
      </c>
      <c r="N319" s="209" t="s">
        <v>652</v>
      </c>
      <c r="O319" s="209" t="s">
        <v>652</v>
      </c>
      <c r="P319" s="213" t="s">
        <v>651</v>
      </c>
      <c r="Q319" s="213" t="s">
        <v>673</v>
      </c>
      <c r="R319" s="213" t="s">
        <v>4456</v>
      </c>
    </row>
    <row r="320" spans="1:18" s="205" customFormat="1" x14ac:dyDescent="0.2">
      <c r="A320" s="209" t="s">
        <v>5057</v>
      </c>
      <c r="B320" s="209" t="s">
        <v>246</v>
      </c>
      <c r="C320" s="210">
        <v>45449</v>
      </c>
      <c r="D320" s="199" t="s">
        <v>152</v>
      </c>
      <c r="E320" s="211">
        <v>44011</v>
      </c>
      <c r="F320" s="211">
        <v>4401</v>
      </c>
      <c r="G320" s="211">
        <v>220</v>
      </c>
      <c r="H320" s="202">
        <f t="shared" si="4"/>
        <v>39830</v>
      </c>
      <c r="I320" s="209" t="s">
        <v>193</v>
      </c>
      <c r="J320" s="209" t="s">
        <v>23</v>
      </c>
      <c r="K320" s="201" t="s">
        <v>1042</v>
      </c>
      <c r="L320" s="209" t="s">
        <v>5058</v>
      </c>
      <c r="M320" s="201" t="s">
        <v>1030</v>
      </c>
      <c r="N320" s="209" t="s">
        <v>652</v>
      </c>
      <c r="O320" s="209" t="s">
        <v>652</v>
      </c>
      <c r="P320" s="213" t="s">
        <v>653</v>
      </c>
      <c r="Q320" s="213" t="s">
        <v>654</v>
      </c>
      <c r="R320" s="213" t="s">
        <v>4456</v>
      </c>
    </row>
    <row r="321" spans="1:18" s="205" customFormat="1" x14ac:dyDescent="0.2">
      <c r="A321" s="205" t="s">
        <v>5059</v>
      </c>
      <c r="B321" s="205" t="s">
        <v>330</v>
      </c>
      <c r="C321" s="200">
        <v>45449</v>
      </c>
      <c r="D321" s="199" t="s">
        <v>152</v>
      </c>
      <c r="E321" s="206">
        <v>113984</v>
      </c>
      <c r="F321" s="206">
        <v>11398</v>
      </c>
      <c r="G321" s="206">
        <v>570</v>
      </c>
      <c r="H321" s="202">
        <f t="shared" si="4"/>
        <v>103156</v>
      </c>
      <c r="I321" s="205" t="s">
        <v>193</v>
      </c>
      <c r="J321" s="205" t="s">
        <v>23</v>
      </c>
      <c r="K321" s="201" t="s">
        <v>1058</v>
      </c>
      <c r="L321" s="205" t="s">
        <v>5060</v>
      </c>
      <c r="M321" s="201" t="s">
        <v>1030</v>
      </c>
      <c r="N321" s="205" t="s">
        <v>652</v>
      </c>
      <c r="O321" s="205" t="s">
        <v>652</v>
      </c>
      <c r="P321" s="208" t="s">
        <v>651</v>
      </c>
      <c r="Q321" s="208" t="s">
        <v>673</v>
      </c>
      <c r="R321" s="208" t="s">
        <v>4456</v>
      </c>
    </row>
    <row r="322" spans="1:18" s="205" customFormat="1" x14ac:dyDescent="0.2">
      <c r="A322" s="205" t="s">
        <v>5061</v>
      </c>
      <c r="B322" s="205" t="s">
        <v>250</v>
      </c>
      <c r="C322" s="200">
        <v>45449</v>
      </c>
      <c r="D322" s="199" t="s">
        <v>152</v>
      </c>
      <c r="E322" s="206">
        <v>85607</v>
      </c>
      <c r="F322" s="206">
        <v>8561</v>
      </c>
      <c r="G322" s="206">
        <v>428</v>
      </c>
      <c r="H322" s="202">
        <f t="shared" ref="H322:H385" si="5">E322+G322-F322</f>
        <v>77474</v>
      </c>
      <c r="I322" s="205" t="s">
        <v>193</v>
      </c>
      <c r="J322" s="205" t="s">
        <v>23</v>
      </c>
      <c r="K322" s="199" t="s">
        <v>1042</v>
      </c>
      <c r="L322" s="205" t="s">
        <v>5062</v>
      </c>
      <c r="M322" s="201" t="s">
        <v>1030</v>
      </c>
      <c r="N322" s="205" t="s">
        <v>652</v>
      </c>
      <c r="O322" s="205" t="s">
        <v>652</v>
      </c>
      <c r="P322" s="208" t="s">
        <v>651</v>
      </c>
      <c r="Q322" s="208" t="s">
        <v>673</v>
      </c>
      <c r="R322" s="208" t="s">
        <v>4456</v>
      </c>
    </row>
    <row r="323" spans="1:18" s="205" customFormat="1" x14ac:dyDescent="0.2">
      <c r="A323" s="209" t="s">
        <v>5063</v>
      </c>
      <c r="B323" s="209" t="s">
        <v>250</v>
      </c>
      <c r="C323" s="210">
        <v>45449</v>
      </c>
      <c r="D323" s="199" t="s">
        <v>152</v>
      </c>
      <c r="E323" s="211">
        <v>120957</v>
      </c>
      <c r="F323" s="206">
        <v>12096</v>
      </c>
      <c r="G323" s="206">
        <v>605</v>
      </c>
      <c r="H323" s="202">
        <f t="shared" si="5"/>
        <v>109466</v>
      </c>
      <c r="I323" s="209" t="s">
        <v>193</v>
      </c>
      <c r="J323" s="209" t="s">
        <v>23</v>
      </c>
      <c r="K323" s="201" t="s">
        <v>1042</v>
      </c>
      <c r="L323" s="209" t="s">
        <v>5064</v>
      </c>
      <c r="M323" s="201" t="s">
        <v>1030</v>
      </c>
      <c r="N323" s="209" t="s">
        <v>652</v>
      </c>
      <c r="O323" s="209" t="s">
        <v>652</v>
      </c>
      <c r="P323" s="213" t="s">
        <v>653</v>
      </c>
      <c r="Q323" s="213" t="s">
        <v>654</v>
      </c>
      <c r="R323" s="213" t="s">
        <v>4456</v>
      </c>
    </row>
    <row r="324" spans="1:18" s="205" customFormat="1" x14ac:dyDescent="0.2">
      <c r="A324" s="205" t="s">
        <v>5065</v>
      </c>
      <c r="B324" s="205" t="s">
        <v>250</v>
      </c>
      <c r="C324" s="200">
        <v>45449</v>
      </c>
      <c r="D324" s="199" t="s">
        <v>152</v>
      </c>
      <c r="E324" s="206">
        <v>120957</v>
      </c>
      <c r="F324" s="206">
        <v>12096</v>
      </c>
      <c r="G324" s="206">
        <v>605</v>
      </c>
      <c r="H324" s="202">
        <f t="shared" si="5"/>
        <v>109466</v>
      </c>
      <c r="I324" s="205" t="s">
        <v>193</v>
      </c>
      <c r="J324" s="205" t="s">
        <v>23</v>
      </c>
      <c r="K324" s="201" t="s">
        <v>1042</v>
      </c>
      <c r="L324" s="205" t="s">
        <v>5066</v>
      </c>
      <c r="M324" s="201" t="s">
        <v>1030</v>
      </c>
      <c r="N324" s="205" t="s">
        <v>652</v>
      </c>
      <c r="O324" s="205" t="s">
        <v>652</v>
      </c>
      <c r="P324" s="208" t="s">
        <v>651</v>
      </c>
      <c r="Q324" s="208" t="s">
        <v>673</v>
      </c>
      <c r="R324" s="208" t="s">
        <v>4456</v>
      </c>
    </row>
    <row r="325" spans="1:18" s="205" customFormat="1" x14ac:dyDescent="0.2">
      <c r="A325" s="205" t="s">
        <v>5067</v>
      </c>
      <c r="B325" s="205" t="s">
        <v>250</v>
      </c>
      <c r="C325" s="200">
        <v>45449</v>
      </c>
      <c r="D325" s="199" t="s">
        <v>152</v>
      </c>
      <c r="E325" s="206">
        <v>120957</v>
      </c>
      <c r="F325" s="206">
        <v>12096</v>
      </c>
      <c r="G325" s="206">
        <v>605</v>
      </c>
      <c r="H325" s="202">
        <f t="shared" si="5"/>
        <v>109466</v>
      </c>
      <c r="I325" s="205" t="s">
        <v>193</v>
      </c>
      <c r="J325" s="205" t="s">
        <v>23</v>
      </c>
      <c r="K325" s="199" t="s">
        <v>1042</v>
      </c>
      <c r="L325" s="205" t="s">
        <v>5068</v>
      </c>
      <c r="M325" s="201" t="s">
        <v>1030</v>
      </c>
      <c r="N325" s="205" t="s">
        <v>652</v>
      </c>
      <c r="O325" s="205" t="s">
        <v>652</v>
      </c>
      <c r="P325" s="208" t="s">
        <v>663</v>
      </c>
      <c r="Q325" s="208" t="s">
        <v>723</v>
      </c>
      <c r="R325" s="208" t="s">
        <v>4456</v>
      </c>
    </row>
    <row r="326" spans="1:18" s="205" customFormat="1" x14ac:dyDescent="0.2">
      <c r="A326" s="205" t="s">
        <v>5069</v>
      </c>
      <c r="B326" s="205" t="s">
        <v>250</v>
      </c>
      <c r="C326" s="200">
        <v>45449</v>
      </c>
      <c r="D326" s="199" t="s">
        <v>152</v>
      </c>
      <c r="E326" s="206">
        <v>94377</v>
      </c>
      <c r="F326" s="206">
        <v>9438</v>
      </c>
      <c r="G326" s="206">
        <v>472</v>
      </c>
      <c r="H326" s="202">
        <f t="shared" si="5"/>
        <v>85411</v>
      </c>
      <c r="I326" s="205" t="s">
        <v>193</v>
      </c>
      <c r="J326" s="205" t="s">
        <v>23</v>
      </c>
      <c r="K326" s="199" t="s">
        <v>1042</v>
      </c>
      <c r="L326" s="205" t="s">
        <v>5070</v>
      </c>
      <c r="M326" s="201" t="s">
        <v>1030</v>
      </c>
      <c r="N326" s="205" t="s">
        <v>652</v>
      </c>
      <c r="O326" s="205" t="s">
        <v>652</v>
      </c>
      <c r="P326" s="208" t="s">
        <v>663</v>
      </c>
      <c r="Q326" s="208" t="s">
        <v>723</v>
      </c>
      <c r="R326" s="208" t="s">
        <v>4456</v>
      </c>
    </row>
    <row r="327" spans="1:18" s="205" customFormat="1" x14ac:dyDescent="0.2">
      <c r="A327" s="205" t="s">
        <v>5071</v>
      </c>
      <c r="B327" s="205" t="s">
        <v>246</v>
      </c>
      <c r="C327" s="200">
        <v>45449</v>
      </c>
      <c r="D327" s="199" t="s">
        <v>152</v>
      </c>
      <c r="E327" s="206">
        <v>22716</v>
      </c>
      <c r="F327" s="206">
        <v>2272</v>
      </c>
      <c r="G327" s="206">
        <v>114</v>
      </c>
      <c r="H327" s="202">
        <f t="shared" si="5"/>
        <v>20558</v>
      </c>
      <c r="I327" s="205" t="s">
        <v>193</v>
      </c>
      <c r="J327" s="205" t="s">
        <v>23</v>
      </c>
      <c r="K327" s="199" t="s">
        <v>1042</v>
      </c>
      <c r="L327" s="205" t="s">
        <v>5072</v>
      </c>
      <c r="M327" s="201" t="s">
        <v>1030</v>
      </c>
      <c r="N327" s="205" t="s">
        <v>652</v>
      </c>
      <c r="O327" s="205" t="s">
        <v>652</v>
      </c>
      <c r="P327" s="208" t="s">
        <v>651</v>
      </c>
      <c r="Q327" s="208" t="s">
        <v>673</v>
      </c>
      <c r="R327" s="208" t="s">
        <v>4456</v>
      </c>
    </row>
    <row r="328" spans="1:18" s="205" customFormat="1" x14ac:dyDescent="0.2">
      <c r="A328" s="205" t="s">
        <v>5073</v>
      </c>
      <c r="B328" s="205" t="s">
        <v>248</v>
      </c>
      <c r="C328" s="200">
        <v>45449</v>
      </c>
      <c r="D328" s="199" t="s">
        <v>152</v>
      </c>
      <c r="E328" s="206">
        <v>57986</v>
      </c>
      <c r="F328" s="206">
        <v>5799</v>
      </c>
      <c r="G328" s="206">
        <v>290</v>
      </c>
      <c r="H328" s="202">
        <f t="shared" si="5"/>
        <v>52477</v>
      </c>
      <c r="I328" s="205" t="s">
        <v>193</v>
      </c>
      <c r="J328" s="205" t="s">
        <v>23</v>
      </c>
      <c r="K328" s="199" t="s">
        <v>1058</v>
      </c>
      <c r="L328" s="205" t="s">
        <v>5074</v>
      </c>
      <c r="M328" s="201" t="s">
        <v>1030</v>
      </c>
      <c r="N328" s="205" t="s">
        <v>652</v>
      </c>
      <c r="O328" s="205" t="s">
        <v>652</v>
      </c>
      <c r="P328" s="208" t="s">
        <v>651</v>
      </c>
      <c r="Q328" s="208" t="s">
        <v>673</v>
      </c>
      <c r="R328" s="208" t="s">
        <v>4456</v>
      </c>
    </row>
    <row r="329" spans="1:18" s="205" customFormat="1" x14ac:dyDescent="0.2">
      <c r="A329" s="205" t="s">
        <v>5075</v>
      </c>
      <c r="B329" s="205" t="s">
        <v>284</v>
      </c>
      <c r="C329" s="200">
        <v>45449</v>
      </c>
      <c r="D329" s="199" t="s">
        <v>152</v>
      </c>
      <c r="E329" s="206">
        <v>94377</v>
      </c>
      <c r="F329" s="206">
        <v>9438</v>
      </c>
      <c r="G329" s="206">
        <v>472</v>
      </c>
      <c r="H329" s="202">
        <f t="shared" si="5"/>
        <v>85411</v>
      </c>
      <c r="I329" s="205" t="s">
        <v>193</v>
      </c>
      <c r="J329" s="205" t="s">
        <v>23</v>
      </c>
      <c r="K329" s="199" t="s">
        <v>1058</v>
      </c>
      <c r="L329" s="205" t="s">
        <v>5076</v>
      </c>
      <c r="M329" s="201" t="s">
        <v>1030</v>
      </c>
      <c r="N329" s="205" t="s">
        <v>652</v>
      </c>
      <c r="O329" s="205" t="s">
        <v>652</v>
      </c>
      <c r="P329" s="208" t="s">
        <v>651</v>
      </c>
      <c r="Q329" s="208" t="s">
        <v>673</v>
      </c>
      <c r="R329" s="208" t="s">
        <v>4456</v>
      </c>
    </row>
    <row r="330" spans="1:18" s="205" customFormat="1" x14ac:dyDescent="0.2">
      <c r="A330" s="205" t="s">
        <v>5077</v>
      </c>
      <c r="B330" s="205" t="s">
        <v>246</v>
      </c>
      <c r="C330" s="200">
        <v>45449</v>
      </c>
      <c r="D330" s="199" t="s">
        <v>152</v>
      </c>
      <c r="E330" s="206">
        <v>44011</v>
      </c>
      <c r="F330" s="206">
        <v>4401</v>
      </c>
      <c r="G330" s="206">
        <v>220</v>
      </c>
      <c r="H330" s="202">
        <f t="shared" si="5"/>
        <v>39830</v>
      </c>
      <c r="I330" s="205" t="s">
        <v>193</v>
      </c>
      <c r="J330" s="205" t="s">
        <v>23</v>
      </c>
      <c r="K330" s="199" t="s">
        <v>1042</v>
      </c>
      <c r="L330" s="205" t="s">
        <v>5078</v>
      </c>
      <c r="M330" s="201" t="s">
        <v>1030</v>
      </c>
      <c r="N330" s="205" t="s">
        <v>652</v>
      </c>
      <c r="O330" s="205" t="s">
        <v>652</v>
      </c>
      <c r="P330" s="214" t="s">
        <v>663</v>
      </c>
      <c r="Q330" s="214" t="s">
        <v>723</v>
      </c>
      <c r="R330" s="214" t="s">
        <v>4456</v>
      </c>
    </row>
    <row r="331" spans="1:18" s="205" customFormat="1" x14ac:dyDescent="0.2">
      <c r="A331" s="209" t="s">
        <v>5079</v>
      </c>
      <c r="B331" s="209" t="s">
        <v>132</v>
      </c>
      <c r="C331" s="210">
        <v>45449</v>
      </c>
      <c r="D331" s="199" t="s">
        <v>152</v>
      </c>
      <c r="E331" s="211">
        <v>77634</v>
      </c>
      <c r="F331" s="211">
        <v>7763</v>
      </c>
      <c r="G331" s="211">
        <v>388</v>
      </c>
      <c r="H331" s="202">
        <f t="shared" si="5"/>
        <v>70259</v>
      </c>
      <c r="I331" s="209" t="s">
        <v>193</v>
      </c>
      <c r="J331" s="209" t="s">
        <v>23</v>
      </c>
      <c r="K331" s="201" t="s">
        <v>1058</v>
      </c>
      <c r="L331" s="209" t="s">
        <v>5080</v>
      </c>
      <c r="M331" s="201" t="s">
        <v>1030</v>
      </c>
      <c r="N331" s="209" t="s">
        <v>652</v>
      </c>
      <c r="O331" s="209" t="s">
        <v>652</v>
      </c>
      <c r="P331" s="213" t="s">
        <v>663</v>
      </c>
      <c r="Q331" s="213" t="s">
        <v>723</v>
      </c>
      <c r="R331" s="213" t="s">
        <v>4456</v>
      </c>
    </row>
    <row r="332" spans="1:18" s="205" customFormat="1" x14ac:dyDescent="0.2">
      <c r="A332" s="209" t="s">
        <v>5081</v>
      </c>
      <c r="B332" s="209" t="s">
        <v>5082</v>
      </c>
      <c r="C332" s="210">
        <v>45450</v>
      </c>
      <c r="D332" s="199" t="s">
        <v>152</v>
      </c>
      <c r="E332" s="211">
        <v>30055</v>
      </c>
      <c r="F332" s="211">
        <v>3006</v>
      </c>
      <c r="G332" s="211">
        <v>150</v>
      </c>
      <c r="H332" s="202">
        <f t="shared" si="5"/>
        <v>27199</v>
      </c>
      <c r="I332" s="209" t="s">
        <v>373</v>
      </c>
      <c r="J332" s="209" t="s">
        <v>23</v>
      </c>
      <c r="K332" s="201" t="s">
        <v>1058</v>
      </c>
      <c r="L332" s="209" t="s">
        <v>5083</v>
      </c>
      <c r="M332" s="201" t="s">
        <v>1030</v>
      </c>
      <c r="N332" s="209" t="s">
        <v>652</v>
      </c>
      <c r="O332" s="209" t="s">
        <v>652</v>
      </c>
      <c r="P332" s="213" t="s">
        <v>2191</v>
      </c>
      <c r="Q332" s="213" t="s">
        <v>2192</v>
      </c>
      <c r="R332" s="213" t="s">
        <v>4456</v>
      </c>
    </row>
    <row r="333" spans="1:18" s="205" customFormat="1" x14ac:dyDescent="0.2">
      <c r="A333" s="205" t="s">
        <v>337</v>
      </c>
      <c r="B333" s="205" t="s">
        <v>5084</v>
      </c>
      <c r="C333" s="200">
        <v>45450</v>
      </c>
      <c r="D333" s="199" t="s">
        <v>152</v>
      </c>
      <c r="E333" s="206">
        <v>1890684</v>
      </c>
      <c r="F333" s="206">
        <v>189068</v>
      </c>
      <c r="G333" s="206">
        <v>9453</v>
      </c>
      <c r="H333" s="202">
        <f t="shared" si="5"/>
        <v>1711069</v>
      </c>
      <c r="I333" s="205" t="s">
        <v>52</v>
      </c>
      <c r="J333" s="205" t="s">
        <v>23</v>
      </c>
      <c r="K333" s="201" t="s">
        <v>1028</v>
      </c>
      <c r="L333" s="205" t="s">
        <v>5085</v>
      </c>
      <c r="M333" s="201" t="s">
        <v>1030</v>
      </c>
      <c r="N333" s="205" t="s">
        <v>652</v>
      </c>
      <c r="O333" s="205" t="s">
        <v>652</v>
      </c>
      <c r="P333" s="208" t="s">
        <v>4456</v>
      </c>
      <c r="Q333" s="208" t="s">
        <v>5086</v>
      </c>
      <c r="R333" s="208" t="s">
        <v>3035</v>
      </c>
    </row>
    <row r="334" spans="1:18" s="205" customFormat="1" x14ac:dyDescent="0.2">
      <c r="A334" s="205" t="s">
        <v>5087</v>
      </c>
      <c r="B334" s="205" t="s">
        <v>5088</v>
      </c>
      <c r="C334" s="200">
        <v>45450</v>
      </c>
      <c r="D334" s="199" t="s">
        <v>152</v>
      </c>
      <c r="E334" s="206">
        <v>62645</v>
      </c>
      <c r="F334" s="206">
        <v>6265</v>
      </c>
      <c r="G334" s="206">
        <v>313</v>
      </c>
      <c r="H334" s="202">
        <f t="shared" si="5"/>
        <v>56693</v>
      </c>
      <c r="I334" s="205" t="s">
        <v>74</v>
      </c>
      <c r="J334" s="205" t="s">
        <v>23</v>
      </c>
      <c r="K334" s="201" t="s">
        <v>1058</v>
      </c>
      <c r="L334" s="205" t="s">
        <v>5089</v>
      </c>
      <c r="M334" s="201" t="s">
        <v>1030</v>
      </c>
      <c r="N334" s="205" t="s">
        <v>652</v>
      </c>
      <c r="O334" s="205" t="s">
        <v>652</v>
      </c>
      <c r="P334" s="208" t="s">
        <v>2191</v>
      </c>
      <c r="Q334" s="208" t="s">
        <v>2192</v>
      </c>
      <c r="R334" s="208" t="s">
        <v>3035</v>
      </c>
    </row>
    <row r="335" spans="1:18" s="205" customFormat="1" x14ac:dyDescent="0.2">
      <c r="A335" s="205" t="s">
        <v>5090</v>
      </c>
      <c r="B335" s="205" t="s">
        <v>5091</v>
      </c>
      <c r="C335" s="200">
        <v>45450</v>
      </c>
      <c r="D335" s="199" t="s">
        <v>152</v>
      </c>
      <c r="E335" s="206">
        <v>36066</v>
      </c>
      <c r="F335" s="206">
        <v>3607</v>
      </c>
      <c r="G335" s="206">
        <v>180</v>
      </c>
      <c r="H335" s="202">
        <f t="shared" si="5"/>
        <v>32639</v>
      </c>
      <c r="I335" s="205" t="s">
        <v>74</v>
      </c>
      <c r="J335" s="205" t="s">
        <v>23</v>
      </c>
      <c r="K335" s="201" t="s">
        <v>1058</v>
      </c>
      <c r="L335" s="205" t="s">
        <v>5092</v>
      </c>
      <c r="M335" s="201" t="s">
        <v>1030</v>
      </c>
      <c r="N335" s="205" t="s">
        <v>652</v>
      </c>
      <c r="O335" s="205" t="s">
        <v>652</v>
      </c>
      <c r="P335" s="208" t="s">
        <v>2191</v>
      </c>
      <c r="Q335" s="208" t="s">
        <v>2192</v>
      </c>
      <c r="R335" s="208" t="s">
        <v>3035</v>
      </c>
    </row>
    <row r="336" spans="1:18" s="205" customFormat="1" x14ac:dyDescent="0.2">
      <c r="A336" s="205" t="s">
        <v>5093</v>
      </c>
      <c r="B336" s="205" t="s">
        <v>5094</v>
      </c>
      <c r="C336" s="200">
        <v>45450</v>
      </c>
      <c r="D336" s="199" t="s">
        <v>152</v>
      </c>
      <c r="E336" s="206">
        <v>67877</v>
      </c>
      <c r="F336" s="206">
        <v>6788</v>
      </c>
      <c r="G336" s="206">
        <v>339</v>
      </c>
      <c r="H336" s="202">
        <f t="shared" si="5"/>
        <v>61428</v>
      </c>
      <c r="I336" s="205" t="s">
        <v>373</v>
      </c>
      <c r="J336" s="205" t="s">
        <v>23</v>
      </c>
      <c r="K336" s="201" t="s">
        <v>1058</v>
      </c>
      <c r="L336" s="205" t="s">
        <v>5095</v>
      </c>
      <c r="M336" s="201" t="s">
        <v>1030</v>
      </c>
      <c r="N336" s="205" t="s">
        <v>652</v>
      </c>
      <c r="O336" s="205" t="s">
        <v>652</v>
      </c>
      <c r="P336" s="208" t="s">
        <v>2191</v>
      </c>
      <c r="Q336" s="208" t="s">
        <v>2192</v>
      </c>
      <c r="R336" s="208" t="s">
        <v>3035</v>
      </c>
    </row>
    <row r="337" spans="1:18" s="205" customFormat="1" x14ac:dyDescent="0.2">
      <c r="A337" s="205" t="s">
        <v>5096</v>
      </c>
      <c r="B337" s="205" t="s">
        <v>5097</v>
      </c>
      <c r="C337" s="200">
        <v>45450</v>
      </c>
      <c r="D337" s="199" t="s">
        <v>152</v>
      </c>
      <c r="E337" s="206">
        <v>52204</v>
      </c>
      <c r="F337" s="206">
        <v>5220</v>
      </c>
      <c r="G337" s="206">
        <v>261</v>
      </c>
      <c r="H337" s="202">
        <f t="shared" si="5"/>
        <v>47245</v>
      </c>
      <c r="I337" s="205" t="s">
        <v>373</v>
      </c>
      <c r="J337" s="205" t="s">
        <v>23</v>
      </c>
      <c r="K337" s="201" t="s">
        <v>1058</v>
      </c>
      <c r="L337" s="205" t="s">
        <v>5098</v>
      </c>
      <c r="M337" s="201" t="s">
        <v>1030</v>
      </c>
      <c r="N337" s="205" t="s">
        <v>652</v>
      </c>
      <c r="O337" s="205" t="s">
        <v>652</v>
      </c>
      <c r="P337" s="208" t="s">
        <v>1534</v>
      </c>
      <c r="Q337" s="208" t="s">
        <v>3748</v>
      </c>
      <c r="R337" s="208" t="s">
        <v>3035</v>
      </c>
    </row>
    <row r="338" spans="1:18" s="205" customFormat="1" x14ac:dyDescent="0.2">
      <c r="A338" s="205" t="s">
        <v>5099</v>
      </c>
      <c r="B338" s="205" t="s">
        <v>250</v>
      </c>
      <c r="C338" s="200">
        <v>45450</v>
      </c>
      <c r="D338" s="199" t="s">
        <v>152</v>
      </c>
      <c r="E338" s="206">
        <v>85607</v>
      </c>
      <c r="F338" s="206">
        <v>8561</v>
      </c>
      <c r="G338" s="206">
        <v>428</v>
      </c>
      <c r="H338" s="202">
        <f t="shared" si="5"/>
        <v>77474</v>
      </c>
      <c r="I338" s="205" t="s">
        <v>193</v>
      </c>
      <c r="J338" s="205" t="s">
        <v>23</v>
      </c>
      <c r="K338" s="201" t="s">
        <v>1042</v>
      </c>
      <c r="L338" s="205" t="s">
        <v>5100</v>
      </c>
      <c r="M338" s="201" t="s">
        <v>1030</v>
      </c>
      <c r="N338" s="205" t="s">
        <v>652</v>
      </c>
      <c r="O338" s="205" t="s">
        <v>652</v>
      </c>
      <c r="P338" s="208" t="s">
        <v>987</v>
      </c>
      <c r="Q338" s="208" t="s">
        <v>988</v>
      </c>
      <c r="R338" s="208" t="s">
        <v>3035</v>
      </c>
    </row>
    <row r="339" spans="1:18" s="205" customFormat="1" x14ac:dyDescent="0.2">
      <c r="A339" s="205" t="s">
        <v>5099</v>
      </c>
      <c r="B339" s="205" t="s">
        <v>132</v>
      </c>
      <c r="C339" s="200">
        <v>45450</v>
      </c>
      <c r="D339" s="199" t="s">
        <v>152</v>
      </c>
      <c r="E339" s="206">
        <v>77634</v>
      </c>
      <c r="F339" s="206">
        <v>7763</v>
      </c>
      <c r="G339" s="206">
        <v>388</v>
      </c>
      <c r="H339" s="202">
        <f t="shared" si="5"/>
        <v>70259</v>
      </c>
      <c r="I339" s="205" t="s">
        <v>193</v>
      </c>
      <c r="J339" s="205" t="s">
        <v>23</v>
      </c>
      <c r="K339" s="201" t="s">
        <v>1058</v>
      </c>
      <c r="L339" s="205" t="s">
        <v>5101</v>
      </c>
      <c r="M339" s="201" t="s">
        <v>1030</v>
      </c>
      <c r="N339" s="205" t="s">
        <v>652</v>
      </c>
      <c r="O339" s="205" t="s">
        <v>652</v>
      </c>
      <c r="P339" s="208" t="s">
        <v>664</v>
      </c>
      <c r="Q339" s="208" t="s">
        <v>665</v>
      </c>
      <c r="R339" s="208" t="s">
        <v>3035</v>
      </c>
    </row>
    <row r="340" spans="1:18" s="205" customFormat="1" x14ac:dyDescent="0.2">
      <c r="A340" s="205" t="s">
        <v>5102</v>
      </c>
      <c r="B340" s="205" t="s">
        <v>123</v>
      </c>
      <c r="C340" s="200">
        <v>45450</v>
      </c>
      <c r="D340" s="199" t="s">
        <v>152</v>
      </c>
      <c r="E340" s="206">
        <v>20459</v>
      </c>
      <c r="F340" s="206">
        <v>2046</v>
      </c>
      <c r="G340" s="206">
        <v>102</v>
      </c>
      <c r="H340" s="202">
        <f t="shared" si="5"/>
        <v>18515</v>
      </c>
      <c r="I340" s="205" t="s">
        <v>193</v>
      </c>
      <c r="J340" s="205" t="s">
        <v>23</v>
      </c>
      <c r="K340" s="199" t="s">
        <v>1058</v>
      </c>
      <c r="L340" s="205" t="s">
        <v>5103</v>
      </c>
      <c r="M340" s="201" t="s">
        <v>1030</v>
      </c>
      <c r="N340" s="205" t="s">
        <v>652</v>
      </c>
      <c r="O340" s="205" t="s">
        <v>652</v>
      </c>
      <c r="P340" s="208" t="s">
        <v>664</v>
      </c>
      <c r="Q340" s="208" t="s">
        <v>665</v>
      </c>
      <c r="R340" s="208" t="s">
        <v>3035</v>
      </c>
    </row>
    <row r="341" spans="1:18" s="205" customFormat="1" x14ac:dyDescent="0.2">
      <c r="A341" s="205" t="s">
        <v>5102</v>
      </c>
      <c r="B341" s="205" t="s">
        <v>246</v>
      </c>
      <c r="C341" s="200">
        <v>45450</v>
      </c>
      <c r="D341" s="199" t="s">
        <v>152</v>
      </c>
      <c r="E341" s="206">
        <v>22716</v>
      </c>
      <c r="F341" s="206">
        <v>2272</v>
      </c>
      <c r="G341" s="206">
        <v>114</v>
      </c>
      <c r="H341" s="202">
        <f t="shared" si="5"/>
        <v>20558</v>
      </c>
      <c r="I341" s="205" t="s">
        <v>193</v>
      </c>
      <c r="J341" s="205" t="s">
        <v>23</v>
      </c>
      <c r="K341" s="199" t="s">
        <v>1042</v>
      </c>
      <c r="L341" s="205" t="s">
        <v>5104</v>
      </c>
      <c r="M341" s="201" t="s">
        <v>1030</v>
      </c>
      <c r="N341" s="205" t="s">
        <v>652</v>
      </c>
      <c r="O341" s="205" t="s">
        <v>652</v>
      </c>
      <c r="P341" s="208" t="s">
        <v>987</v>
      </c>
      <c r="Q341" s="208" t="s">
        <v>988</v>
      </c>
      <c r="R341" s="208" t="s">
        <v>3035</v>
      </c>
    </row>
    <row r="342" spans="1:18" s="205" customFormat="1" x14ac:dyDescent="0.2">
      <c r="A342" s="205" t="s">
        <v>5105</v>
      </c>
      <c r="B342" s="205" t="s">
        <v>5106</v>
      </c>
      <c r="C342" s="200">
        <v>45450</v>
      </c>
      <c r="D342" s="199" t="s">
        <v>152</v>
      </c>
      <c r="E342" s="206">
        <v>38660</v>
      </c>
      <c r="F342" s="206">
        <v>3866</v>
      </c>
      <c r="G342" s="206">
        <v>193</v>
      </c>
      <c r="H342" s="202">
        <f t="shared" si="5"/>
        <v>34987</v>
      </c>
      <c r="I342" s="205" t="s">
        <v>373</v>
      </c>
      <c r="J342" s="205" t="s">
        <v>23</v>
      </c>
      <c r="K342" s="199" t="s">
        <v>1058</v>
      </c>
      <c r="L342" s="205" t="s">
        <v>5107</v>
      </c>
      <c r="M342" s="201" t="s">
        <v>1030</v>
      </c>
      <c r="N342" s="205" t="s">
        <v>652</v>
      </c>
      <c r="O342" s="205" t="s">
        <v>652</v>
      </c>
      <c r="P342" s="208" t="s">
        <v>1534</v>
      </c>
      <c r="Q342" s="208" t="s">
        <v>3748</v>
      </c>
      <c r="R342" s="208" t="s">
        <v>3035</v>
      </c>
    </row>
    <row r="343" spans="1:18" s="205" customFormat="1" x14ac:dyDescent="0.2">
      <c r="A343" s="209" t="s">
        <v>5108</v>
      </c>
      <c r="B343" s="209" t="s">
        <v>246</v>
      </c>
      <c r="C343" s="210">
        <v>45450</v>
      </c>
      <c r="D343" s="199" t="s">
        <v>152</v>
      </c>
      <c r="E343" s="211">
        <v>22716</v>
      </c>
      <c r="F343" s="211">
        <v>2272</v>
      </c>
      <c r="G343" s="211">
        <v>114</v>
      </c>
      <c r="H343" s="202">
        <f t="shared" si="5"/>
        <v>20558</v>
      </c>
      <c r="I343" s="209" t="s">
        <v>193</v>
      </c>
      <c r="J343" s="209" t="s">
        <v>23</v>
      </c>
      <c r="K343" s="201" t="s">
        <v>1042</v>
      </c>
      <c r="L343" s="209" t="s">
        <v>5109</v>
      </c>
      <c r="M343" s="201" t="s">
        <v>1030</v>
      </c>
      <c r="N343" s="209" t="s">
        <v>652</v>
      </c>
      <c r="O343" s="209" t="s">
        <v>652</v>
      </c>
      <c r="P343" s="213" t="s">
        <v>987</v>
      </c>
      <c r="Q343" s="213" t="s">
        <v>988</v>
      </c>
      <c r="R343" s="213" t="s">
        <v>3035</v>
      </c>
    </row>
    <row r="344" spans="1:18" s="205" customFormat="1" x14ac:dyDescent="0.2">
      <c r="A344" s="209" t="s">
        <v>5110</v>
      </c>
      <c r="B344" s="209" t="s">
        <v>5111</v>
      </c>
      <c r="C344" s="210">
        <v>45450</v>
      </c>
      <c r="D344" s="199" t="s">
        <v>152</v>
      </c>
      <c r="E344" s="211">
        <v>69813</v>
      </c>
      <c r="F344" s="211">
        <v>6981</v>
      </c>
      <c r="G344" s="211">
        <v>349</v>
      </c>
      <c r="H344" s="202">
        <f t="shared" si="5"/>
        <v>63181</v>
      </c>
      <c r="I344" s="209" t="s">
        <v>104</v>
      </c>
      <c r="J344" s="209" t="s">
        <v>23</v>
      </c>
      <c r="K344" s="201" t="s">
        <v>1058</v>
      </c>
      <c r="L344" s="209" t="s">
        <v>5112</v>
      </c>
      <c r="M344" s="201" t="s">
        <v>1072</v>
      </c>
      <c r="N344" s="209" t="s">
        <v>652</v>
      </c>
      <c r="O344" s="209" t="s">
        <v>652</v>
      </c>
      <c r="P344" s="213" t="s">
        <v>3890</v>
      </c>
      <c r="Q344" s="213" t="s">
        <v>4049</v>
      </c>
      <c r="R344" s="213" t="s">
        <v>3035</v>
      </c>
    </row>
    <row r="345" spans="1:18" s="205" customFormat="1" x14ac:dyDescent="0.2">
      <c r="A345" s="209" t="s">
        <v>5113</v>
      </c>
      <c r="B345" s="209" t="s">
        <v>282</v>
      </c>
      <c r="C345" s="210">
        <v>45450</v>
      </c>
      <c r="D345" s="199" t="s">
        <v>152</v>
      </c>
      <c r="E345" s="211">
        <v>147776</v>
      </c>
      <c r="F345" s="211">
        <v>14778</v>
      </c>
      <c r="G345" s="211">
        <v>739</v>
      </c>
      <c r="H345" s="202">
        <f t="shared" si="5"/>
        <v>133737</v>
      </c>
      <c r="I345" s="209" t="s">
        <v>193</v>
      </c>
      <c r="J345" s="209" t="s">
        <v>23</v>
      </c>
      <c r="K345" s="201" t="s">
        <v>1028</v>
      </c>
      <c r="L345" s="209" t="s">
        <v>5114</v>
      </c>
      <c r="M345" s="201" t="s">
        <v>1030</v>
      </c>
      <c r="N345" s="209" t="s">
        <v>652</v>
      </c>
      <c r="O345" s="209" t="s">
        <v>652</v>
      </c>
      <c r="P345" s="213" t="s">
        <v>2191</v>
      </c>
      <c r="Q345" s="213" t="s">
        <v>2192</v>
      </c>
      <c r="R345" s="213" t="s">
        <v>3035</v>
      </c>
    </row>
    <row r="346" spans="1:18" s="205" customFormat="1" x14ac:dyDescent="0.2">
      <c r="A346" s="209" t="s">
        <v>5115</v>
      </c>
      <c r="B346" s="209" t="s">
        <v>282</v>
      </c>
      <c r="C346" s="210">
        <v>45450</v>
      </c>
      <c r="D346" s="199" t="s">
        <v>152</v>
      </c>
      <c r="E346" s="211">
        <v>177551</v>
      </c>
      <c r="F346" s="211">
        <v>17755</v>
      </c>
      <c r="G346" s="211">
        <v>888</v>
      </c>
      <c r="H346" s="202">
        <f t="shared" si="5"/>
        <v>160684</v>
      </c>
      <c r="I346" s="209" t="s">
        <v>193</v>
      </c>
      <c r="J346" s="209" t="s">
        <v>23</v>
      </c>
      <c r="K346" s="201" t="s">
        <v>1028</v>
      </c>
      <c r="L346" s="209" t="s">
        <v>5116</v>
      </c>
      <c r="M346" s="201" t="s">
        <v>1030</v>
      </c>
      <c r="N346" s="209" t="s">
        <v>652</v>
      </c>
      <c r="O346" s="209" t="s">
        <v>652</v>
      </c>
      <c r="P346" s="213" t="s">
        <v>2191</v>
      </c>
      <c r="Q346" s="213" t="s">
        <v>2192</v>
      </c>
      <c r="R346" s="213" t="s">
        <v>3035</v>
      </c>
    </row>
    <row r="347" spans="1:18" s="205" customFormat="1" x14ac:dyDescent="0.2">
      <c r="A347" s="205" t="s">
        <v>5117</v>
      </c>
      <c r="B347" s="205" t="s">
        <v>282</v>
      </c>
      <c r="C347" s="200">
        <v>45450</v>
      </c>
      <c r="D347" s="199" t="s">
        <v>152</v>
      </c>
      <c r="E347" s="206">
        <v>66901</v>
      </c>
      <c r="F347" s="206">
        <v>6690</v>
      </c>
      <c r="G347" s="206">
        <v>335</v>
      </c>
      <c r="H347" s="202">
        <f t="shared" si="5"/>
        <v>60546</v>
      </c>
      <c r="I347" s="205" t="s">
        <v>193</v>
      </c>
      <c r="J347" s="205" t="s">
        <v>23</v>
      </c>
      <c r="K347" s="201" t="s">
        <v>1028</v>
      </c>
      <c r="L347" s="205" t="s">
        <v>5118</v>
      </c>
      <c r="M347" s="201" t="s">
        <v>1030</v>
      </c>
      <c r="N347" s="205" t="s">
        <v>652</v>
      </c>
      <c r="O347" s="205" t="s">
        <v>652</v>
      </c>
      <c r="P347" s="208" t="s">
        <v>2191</v>
      </c>
      <c r="Q347" s="208" t="s">
        <v>2192</v>
      </c>
      <c r="R347" s="208" t="s">
        <v>3035</v>
      </c>
    </row>
    <row r="348" spans="1:18" s="205" customFormat="1" x14ac:dyDescent="0.2">
      <c r="A348" s="205" t="s">
        <v>5119</v>
      </c>
      <c r="B348" s="205" t="s">
        <v>246</v>
      </c>
      <c r="C348" s="200">
        <v>45450</v>
      </c>
      <c r="D348" s="199" t="s">
        <v>152</v>
      </c>
      <c r="E348" s="206">
        <v>22716</v>
      </c>
      <c r="F348" s="206">
        <v>2272</v>
      </c>
      <c r="G348" s="206">
        <v>114</v>
      </c>
      <c r="H348" s="202">
        <f t="shared" si="5"/>
        <v>20558</v>
      </c>
      <c r="I348" s="205" t="s">
        <v>193</v>
      </c>
      <c r="J348" s="205" t="s">
        <v>23</v>
      </c>
      <c r="K348" s="201" t="s">
        <v>1042</v>
      </c>
      <c r="L348" s="205" t="s">
        <v>5120</v>
      </c>
      <c r="M348" s="201" t="s">
        <v>1030</v>
      </c>
      <c r="N348" s="205" t="s">
        <v>652</v>
      </c>
      <c r="O348" s="205" t="s">
        <v>652</v>
      </c>
      <c r="P348" s="208" t="s">
        <v>987</v>
      </c>
      <c r="Q348" s="208" t="s">
        <v>988</v>
      </c>
      <c r="R348" s="208" t="s">
        <v>3035</v>
      </c>
    </row>
    <row r="349" spans="1:18" s="205" customFormat="1" x14ac:dyDescent="0.2">
      <c r="A349" s="205" t="s">
        <v>5121</v>
      </c>
      <c r="B349" s="205" t="s">
        <v>246</v>
      </c>
      <c r="C349" s="200">
        <v>45450</v>
      </c>
      <c r="D349" s="199" t="s">
        <v>152</v>
      </c>
      <c r="E349" s="206">
        <v>22716</v>
      </c>
      <c r="F349" s="206">
        <v>2272</v>
      </c>
      <c r="G349" s="206">
        <v>114</v>
      </c>
      <c r="H349" s="202">
        <f t="shared" si="5"/>
        <v>20558</v>
      </c>
      <c r="I349" s="205" t="s">
        <v>193</v>
      </c>
      <c r="J349" s="205" t="s">
        <v>23</v>
      </c>
      <c r="K349" s="201" t="s">
        <v>1042</v>
      </c>
      <c r="L349" s="205" t="s">
        <v>5122</v>
      </c>
      <c r="M349" s="201" t="s">
        <v>1030</v>
      </c>
      <c r="N349" s="205" t="s">
        <v>652</v>
      </c>
      <c r="O349" s="205" t="s">
        <v>652</v>
      </c>
      <c r="P349" s="208" t="s">
        <v>987</v>
      </c>
      <c r="Q349" s="208" t="s">
        <v>988</v>
      </c>
      <c r="R349" s="208" t="s">
        <v>3035</v>
      </c>
    </row>
    <row r="350" spans="1:18" s="205" customFormat="1" x14ac:dyDescent="0.2">
      <c r="A350" s="205" t="s">
        <v>5123</v>
      </c>
      <c r="B350" s="205" t="s">
        <v>5124</v>
      </c>
      <c r="C350" s="200">
        <v>45450</v>
      </c>
      <c r="D350" s="199" t="s">
        <v>152</v>
      </c>
      <c r="E350" s="206">
        <v>74872</v>
      </c>
      <c r="F350" s="206">
        <v>7487</v>
      </c>
      <c r="G350" s="206">
        <v>374</v>
      </c>
      <c r="H350" s="202">
        <f t="shared" si="5"/>
        <v>67759</v>
      </c>
      <c r="I350" s="205" t="s">
        <v>373</v>
      </c>
      <c r="J350" s="205" t="s">
        <v>23</v>
      </c>
      <c r="K350" s="201" t="s">
        <v>1058</v>
      </c>
      <c r="L350" s="205" t="s">
        <v>5125</v>
      </c>
      <c r="M350" s="201" t="s">
        <v>1030</v>
      </c>
      <c r="N350" s="205" t="s">
        <v>652</v>
      </c>
      <c r="O350" s="205" t="s">
        <v>652</v>
      </c>
      <c r="P350" s="208" t="s">
        <v>1534</v>
      </c>
      <c r="Q350" s="208" t="s">
        <v>3748</v>
      </c>
      <c r="R350" s="208" t="s">
        <v>3035</v>
      </c>
    </row>
    <row r="351" spans="1:18" s="205" customFormat="1" x14ac:dyDescent="0.2">
      <c r="A351" s="205" t="s">
        <v>5126</v>
      </c>
      <c r="B351" s="205" t="s">
        <v>248</v>
      </c>
      <c r="C351" s="200">
        <v>45450</v>
      </c>
      <c r="D351" s="199" t="s">
        <v>152</v>
      </c>
      <c r="E351" s="206">
        <v>42459</v>
      </c>
      <c r="F351" s="206">
        <v>4246</v>
      </c>
      <c r="G351" s="206">
        <v>212</v>
      </c>
      <c r="H351" s="202">
        <f t="shared" si="5"/>
        <v>38425</v>
      </c>
      <c r="I351" s="205" t="s">
        <v>193</v>
      </c>
      <c r="J351" s="205" t="s">
        <v>23</v>
      </c>
      <c r="K351" s="201" t="s">
        <v>1058</v>
      </c>
      <c r="L351" s="205" t="s">
        <v>5127</v>
      </c>
      <c r="M351" s="201" t="s">
        <v>1030</v>
      </c>
      <c r="N351" s="205" t="s">
        <v>652</v>
      </c>
      <c r="O351" s="205" t="s">
        <v>652</v>
      </c>
      <c r="P351" s="208" t="s">
        <v>987</v>
      </c>
      <c r="Q351" s="208" t="s">
        <v>988</v>
      </c>
      <c r="R351" s="208" t="s">
        <v>3035</v>
      </c>
    </row>
    <row r="352" spans="1:18" s="205" customFormat="1" x14ac:dyDescent="0.2">
      <c r="A352" s="205" t="s">
        <v>5128</v>
      </c>
      <c r="B352" s="205" t="s">
        <v>284</v>
      </c>
      <c r="C352" s="200">
        <v>45450</v>
      </c>
      <c r="D352" s="199" t="s">
        <v>152</v>
      </c>
      <c r="E352" s="206">
        <v>127646</v>
      </c>
      <c r="F352" s="206">
        <v>12765</v>
      </c>
      <c r="G352" s="206">
        <v>638</v>
      </c>
      <c r="H352" s="202">
        <f t="shared" si="5"/>
        <v>115519</v>
      </c>
      <c r="I352" s="205" t="s">
        <v>193</v>
      </c>
      <c r="J352" s="205" t="s">
        <v>23</v>
      </c>
      <c r="K352" s="201" t="s">
        <v>1058</v>
      </c>
      <c r="L352" s="205" t="s">
        <v>5129</v>
      </c>
      <c r="M352" s="201" t="s">
        <v>1030</v>
      </c>
      <c r="N352" s="205" t="s">
        <v>652</v>
      </c>
      <c r="O352" s="205" t="s">
        <v>652</v>
      </c>
      <c r="P352" s="208" t="s">
        <v>987</v>
      </c>
      <c r="Q352" s="208" t="s">
        <v>988</v>
      </c>
      <c r="R352" s="208" t="s">
        <v>3035</v>
      </c>
    </row>
    <row r="353" spans="1:18" s="205" customFormat="1" x14ac:dyDescent="0.2">
      <c r="A353" s="205" t="s">
        <v>5130</v>
      </c>
      <c r="B353" s="205" t="s">
        <v>1837</v>
      </c>
      <c r="C353" s="200">
        <v>45450</v>
      </c>
      <c r="D353" s="199" t="s">
        <v>152</v>
      </c>
      <c r="E353" s="206">
        <v>55394</v>
      </c>
      <c r="F353" s="206">
        <v>5539</v>
      </c>
      <c r="G353" s="206">
        <v>277</v>
      </c>
      <c r="H353" s="202">
        <f t="shared" si="5"/>
        <v>50132</v>
      </c>
      <c r="I353" s="205" t="s">
        <v>193</v>
      </c>
      <c r="J353" s="205" t="s">
        <v>23</v>
      </c>
      <c r="K353" s="201" t="s">
        <v>1058</v>
      </c>
      <c r="L353" s="205" t="s">
        <v>5131</v>
      </c>
      <c r="M353" s="201" t="s">
        <v>1030</v>
      </c>
      <c r="N353" s="205" t="s">
        <v>652</v>
      </c>
      <c r="O353" s="205" t="s">
        <v>652</v>
      </c>
      <c r="P353" s="208" t="s">
        <v>677</v>
      </c>
      <c r="Q353" s="208" t="s">
        <v>678</v>
      </c>
      <c r="R353" s="208" t="s">
        <v>3035</v>
      </c>
    </row>
    <row r="354" spans="1:18" s="205" customFormat="1" x14ac:dyDescent="0.2">
      <c r="A354" s="205" t="s">
        <v>5132</v>
      </c>
      <c r="B354" s="205" t="s">
        <v>282</v>
      </c>
      <c r="C354" s="200">
        <v>45450</v>
      </c>
      <c r="D354" s="199" t="s">
        <v>152</v>
      </c>
      <c r="E354" s="206">
        <v>90553</v>
      </c>
      <c r="F354" s="206">
        <v>9055</v>
      </c>
      <c r="G354" s="206">
        <v>453</v>
      </c>
      <c r="H354" s="202">
        <f t="shared" si="5"/>
        <v>81951</v>
      </c>
      <c r="I354" s="205" t="s">
        <v>193</v>
      </c>
      <c r="J354" s="205" t="s">
        <v>23</v>
      </c>
      <c r="K354" s="201" t="s">
        <v>1028</v>
      </c>
      <c r="L354" s="205" t="s">
        <v>5133</v>
      </c>
      <c r="M354" s="201" t="s">
        <v>1030</v>
      </c>
      <c r="N354" s="205" t="s">
        <v>652</v>
      </c>
      <c r="O354" s="205" t="s">
        <v>652</v>
      </c>
      <c r="P354" s="208" t="s">
        <v>2191</v>
      </c>
      <c r="Q354" s="208" t="s">
        <v>2192</v>
      </c>
      <c r="R354" s="208" t="s">
        <v>3035</v>
      </c>
    </row>
    <row r="355" spans="1:18" s="205" customFormat="1" x14ac:dyDescent="0.2">
      <c r="A355" s="205" t="s">
        <v>5134</v>
      </c>
      <c r="B355" s="205" t="s">
        <v>282</v>
      </c>
      <c r="C355" s="200">
        <v>45450</v>
      </c>
      <c r="D355" s="199" t="s">
        <v>152</v>
      </c>
      <c r="E355" s="206">
        <v>66901</v>
      </c>
      <c r="F355" s="206">
        <v>6690</v>
      </c>
      <c r="G355" s="206">
        <v>335</v>
      </c>
      <c r="H355" s="202">
        <f t="shared" si="5"/>
        <v>60546</v>
      </c>
      <c r="I355" s="205" t="s">
        <v>193</v>
      </c>
      <c r="J355" s="205" t="s">
        <v>23</v>
      </c>
      <c r="K355" s="201" t="s">
        <v>1028</v>
      </c>
      <c r="L355" s="205" t="s">
        <v>5135</v>
      </c>
      <c r="M355" s="201" t="s">
        <v>1030</v>
      </c>
      <c r="N355" s="205" t="s">
        <v>652</v>
      </c>
      <c r="O355" s="205" t="s">
        <v>652</v>
      </c>
      <c r="P355" s="208" t="s">
        <v>2191</v>
      </c>
      <c r="Q355" s="208" t="s">
        <v>2192</v>
      </c>
      <c r="R355" s="208" t="s">
        <v>3035</v>
      </c>
    </row>
    <row r="356" spans="1:18" s="205" customFormat="1" x14ac:dyDescent="0.2">
      <c r="A356" s="205" t="s">
        <v>5136</v>
      </c>
      <c r="B356" s="205" t="s">
        <v>282</v>
      </c>
      <c r="C356" s="200">
        <v>45450</v>
      </c>
      <c r="D356" s="199" t="s">
        <v>152</v>
      </c>
      <c r="E356" s="206">
        <v>66901</v>
      </c>
      <c r="F356" s="206">
        <v>6690</v>
      </c>
      <c r="G356" s="206">
        <v>335</v>
      </c>
      <c r="H356" s="202">
        <f t="shared" si="5"/>
        <v>60546</v>
      </c>
      <c r="I356" s="205" t="s">
        <v>193</v>
      </c>
      <c r="J356" s="205" t="s">
        <v>23</v>
      </c>
      <c r="K356" s="201" t="s">
        <v>1028</v>
      </c>
      <c r="L356" s="205" t="s">
        <v>5137</v>
      </c>
      <c r="M356" s="201" t="s">
        <v>1030</v>
      </c>
      <c r="N356" s="205" t="s">
        <v>652</v>
      </c>
      <c r="O356" s="205" t="s">
        <v>652</v>
      </c>
      <c r="P356" s="208" t="s">
        <v>2191</v>
      </c>
      <c r="Q356" s="208" t="s">
        <v>2192</v>
      </c>
      <c r="R356" s="208" t="s">
        <v>3035</v>
      </c>
    </row>
    <row r="357" spans="1:18" s="205" customFormat="1" x14ac:dyDescent="0.2">
      <c r="A357" s="205" t="s">
        <v>5138</v>
      </c>
      <c r="B357" s="205" t="s">
        <v>246</v>
      </c>
      <c r="C357" s="200">
        <v>45450</v>
      </c>
      <c r="D357" s="199" t="s">
        <v>152</v>
      </c>
      <c r="E357" s="206">
        <v>31332</v>
      </c>
      <c r="F357" s="206">
        <v>3133</v>
      </c>
      <c r="G357" s="206">
        <v>157</v>
      </c>
      <c r="H357" s="202">
        <f t="shared" si="5"/>
        <v>28356</v>
      </c>
      <c r="I357" s="205" t="s">
        <v>193</v>
      </c>
      <c r="J357" s="205" t="s">
        <v>23</v>
      </c>
      <c r="K357" s="201" t="s">
        <v>1042</v>
      </c>
      <c r="L357" s="205" t="s">
        <v>5139</v>
      </c>
      <c r="M357" s="201" t="s">
        <v>1030</v>
      </c>
      <c r="N357" s="205" t="s">
        <v>652</v>
      </c>
      <c r="O357" s="205" t="s">
        <v>652</v>
      </c>
      <c r="P357" s="208" t="s">
        <v>987</v>
      </c>
      <c r="Q357" s="208" t="s">
        <v>988</v>
      </c>
      <c r="R357" s="208" t="s">
        <v>3035</v>
      </c>
    </row>
    <row r="358" spans="1:18" s="205" customFormat="1" x14ac:dyDescent="0.2">
      <c r="A358" s="205" t="s">
        <v>5140</v>
      </c>
      <c r="B358" s="205" t="s">
        <v>246</v>
      </c>
      <c r="C358" s="200">
        <v>45450</v>
      </c>
      <c r="D358" s="199" t="s">
        <v>152</v>
      </c>
      <c r="E358" s="206">
        <v>22716</v>
      </c>
      <c r="F358" s="206">
        <v>2272</v>
      </c>
      <c r="G358" s="206">
        <v>114</v>
      </c>
      <c r="H358" s="202">
        <f t="shared" si="5"/>
        <v>20558</v>
      </c>
      <c r="I358" s="205" t="s">
        <v>193</v>
      </c>
      <c r="J358" s="205" t="s">
        <v>23</v>
      </c>
      <c r="K358" s="201" t="s">
        <v>1042</v>
      </c>
      <c r="L358" s="205" t="s">
        <v>5141</v>
      </c>
      <c r="M358" s="201" t="s">
        <v>1030</v>
      </c>
      <c r="N358" s="205" t="s">
        <v>652</v>
      </c>
      <c r="O358" s="205" t="s">
        <v>652</v>
      </c>
      <c r="P358" s="208" t="s">
        <v>987</v>
      </c>
      <c r="Q358" s="208" t="s">
        <v>988</v>
      </c>
      <c r="R358" s="208" t="s">
        <v>3035</v>
      </c>
    </row>
    <row r="359" spans="1:18" s="205" customFormat="1" x14ac:dyDescent="0.2">
      <c r="A359" s="205" t="s">
        <v>5140</v>
      </c>
      <c r="B359" s="205" t="s">
        <v>123</v>
      </c>
      <c r="C359" s="200">
        <v>45450</v>
      </c>
      <c r="D359" s="199" t="s">
        <v>152</v>
      </c>
      <c r="E359" s="206">
        <v>20459</v>
      </c>
      <c r="F359" s="206">
        <v>2046</v>
      </c>
      <c r="G359" s="206">
        <v>102</v>
      </c>
      <c r="H359" s="202">
        <f t="shared" si="5"/>
        <v>18515</v>
      </c>
      <c r="I359" s="205" t="s">
        <v>193</v>
      </c>
      <c r="J359" s="205" t="s">
        <v>23</v>
      </c>
      <c r="K359" s="201" t="s">
        <v>1058</v>
      </c>
      <c r="L359" s="205" t="s">
        <v>5142</v>
      </c>
      <c r="M359" s="201" t="s">
        <v>1030</v>
      </c>
      <c r="N359" s="205" t="s">
        <v>652</v>
      </c>
      <c r="O359" s="205" t="s">
        <v>652</v>
      </c>
      <c r="P359" s="208" t="s">
        <v>664</v>
      </c>
      <c r="Q359" s="208" t="s">
        <v>665</v>
      </c>
      <c r="R359" s="208" t="s">
        <v>3035</v>
      </c>
    </row>
    <row r="360" spans="1:18" s="205" customFormat="1" x14ac:dyDescent="0.2">
      <c r="A360" s="205" t="s">
        <v>5138</v>
      </c>
      <c r="B360" s="205" t="s">
        <v>123</v>
      </c>
      <c r="C360" s="200">
        <v>45450</v>
      </c>
      <c r="D360" s="199" t="s">
        <v>152</v>
      </c>
      <c r="E360" s="206">
        <v>28248</v>
      </c>
      <c r="F360" s="206">
        <v>2825</v>
      </c>
      <c r="G360" s="206">
        <v>141</v>
      </c>
      <c r="H360" s="202">
        <f t="shared" si="5"/>
        <v>25564</v>
      </c>
      <c r="I360" s="205" t="s">
        <v>193</v>
      </c>
      <c r="J360" s="205" t="s">
        <v>23</v>
      </c>
      <c r="K360" s="201" t="s">
        <v>1058</v>
      </c>
      <c r="L360" s="205" t="s">
        <v>5143</v>
      </c>
      <c r="M360" s="201" t="s">
        <v>1030</v>
      </c>
      <c r="N360" s="205" t="s">
        <v>652</v>
      </c>
      <c r="O360" s="205" t="s">
        <v>652</v>
      </c>
      <c r="P360" s="208" t="s">
        <v>664</v>
      </c>
      <c r="Q360" s="208" t="s">
        <v>665</v>
      </c>
      <c r="R360" s="208" t="s">
        <v>3035</v>
      </c>
    </row>
    <row r="361" spans="1:18" s="205" customFormat="1" x14ac:dyDescent="0.2">
      <c r="A361" s="205" t="s">
        <v>5144</v>
      </c>
      <c r="B361" s="205" t="s">
        <v>282</v>
      </c>
      <c r="C361" s="200">
        <v>45450</v>
      </c>
      <c r="D361" s="199" t="s">
        <v>152</v>
      </c>
      <c r="E361" s="206">
        <v>60628</v>
      </c>
      <c r="F361" s="206">
        <v>6063</v>
      </c>
      <c r="G361" s="206">
        <v>303</v>
      </c>
      <c r="H361" s="202">
        <f t="shared" si="5"/>
        <v>54868</v>
      </c>
      <c r="I361" s="205" t="s">
        <v>193</v>
      </c>
      <c r="J361" s="205" t="s">
        <v>23</v>
      </c>
      <c r="K361" s="201" t="s">
        <v>1028</v>
      </c>
      <c r="L361" s="205" t="s">
        <v>5145</v>
      </c>
      <c r="M361" s="201" t="s">
        <v>1030</v>
      </c>
      <c r="N361" s="205" t="s">
        <v>652</v>
      </c>
      <c r="O361" s="205" t="s">
        <v>652</v>
      </c>
      <c r="P361" s="208" t="s">
        <v>2191</v>
      </c>
      <c r="Q361" s="208" t="s">
        <v>2192</v>
      </c>
      <c r="R361" s="208" t="s">
        <v>3035</v>
      </c>
    </row>
    <row r="362" spans="1:18" s="205" customFormat="1" x14ac:dyDescent="0.2">
      <c r="A362" s="205" t="s">
        <v>5146</v>
      </c>
      <c r="B362" s="205" t="s">
        <v>282</v>
      </c>
      <c r="C362" s="200">
        <v>45450</v>
      </c>
      <c r="D362" s="199" t="s">
        <v>152</v>
      </c>
      <c r="E362" s="206">
        <v>60628</v>
      </c>
      <c r="F362" s="206">
        <v>6063</v>
      </c>
      <c r="G362" s="206">
        <v>303</v>
      </c>
      <c r="H362" s="202">
        <f t="shared" si="5"/>
        <v>54868</v>
      </c>
      <c r="I362" s="205" t="s">
        <v>193</v>
      </c>
      <c r="J362" s="205" t="s">
        <v>23</v>
      </c>
      <c r="K362" s="201" t="s">
        <v>1028</v>
      </c>
      <c r="L362" s="205" t="s">
        <v>5147</v>
      </c>
      <c r="M362" s="201" t="s">
        <v>1030</v>
      </c>
      <c r="N362" s="205" t="s">
        <v>652</v>
      </c>
      <c r="O362" s="205" t="s">
        <v>652</v>
      </c>
      <c r="P362" s="208" t="s">
        <v>2191</v>
      </c>
      <c r="Q362" s="208" t="s">
        <v>2192</v>
      </c>
      <c r="R362" s="208" t="s">
        <v>3035</v>
      </c>
    </row>
    <row r="363" spans="1:18" s="205" customFormat="1" x14ac:dyDescent="0.2">
      <c r="A363" s="205" t="s">
        <v>5148</v>
      </c>
      <c r="B363" s="205" t="s">
        <v>282</v>
      </c>
      <c r="C363" s="200">
        <v>45450</v>
      </c>
      <c r="D363" s="199" t="s">
        <v>152</v>
      </c>
      <c r="E363" s="206">
        <v>60628</v>
      </c>
      <c r="F363" s="206">
        <v>6063</v>
      </c>
      <c r="G363" s="206">
        <v>303</v>
      </c>
      <c r="H363" s="202">
        <f t="shared" si="5"/>
        <v>54868</v>
      </c>
      <c r="I363" s="205" t="s">
        <v>193</v>
      </c>
      <c r="J363" s="205" t="s">
        <v>23</v>
      </c>
      <c r="K363" s="201" t="s">
        <v>1028</v>
      </c>
      <c r="L363" s="205" t="s">
        <v>5149</v>
      </c>
      <c r="M363" s="201" t="s">
        <v>1030</v>
      </c>
      <c r="N363" s="205" t="s">
        <v>652</v>
      </c>
      <c r="O363" s="205" t="s">
        <v>652</v>
      </c>
      <c r="P363" s="208" t="s">
        <v>2191</v>
      </c>
      <c r="Q363" s="208" t="s">
        <v>2192</v>
      </c>
      <c r="R363" s="208" t="s">
        <v>3035</v>
      </c>
    </row>
    <row r="364" spans="1:18" s="205" customFormat="1" x14ac:dyDescent="0.2">
      <c r="A364" s="205" t="s">
        <v>5150</v>
      </c>
      <c r="B364" s="205" t="s">
        <v>282</v>
      </c>
      <c r="C364" s="200">
        <v>45450</v>
      </c>
      <c r="D364" s="199" t="s">
        <v>152</v>
      </c>
      <c r="E364" s="206">
        <v>60628</v>
      </c>
      <c r="F364" s="206">
        <v>6063</v>
      </c>
      <c r="G364" s="206">
        <v>303</v>
      </c>
      <c r="H364" s="202">
        <f t="shared" si="5"/>
        <v>54868</v>
      </c>
      <c r="I364" s="205" t="s">
        <v>193</v>
      </c>
      <c r="J364" s="205" t="s">
        <v>23</v>
      </c>
      <c r="K364" s="201" t="s">
        <v>1028</v>
      </c>
      <c r="L364" s="205" t="s">
        <v>5151</v>
      </c>
      <c r="M364" s="201" t="s">
        <v>1030</v>
      </c>
      <c r="N364" s="205" t="s">
        <v>652</v>
      </c>
      <c r="O364" s="205" t="s">
        <v>652</v>
      </c>
      <c r="P364" s="208" t="s">
        <v>2191</v>
      </c>
      <c r="Q364" s="208" t="s">
        <v>2192</v>
      </c>
      <c r="R364" s="208" t="s">
        <v>3035</v>
      </c>
    </row>
    <row r="365" spans="1:18" s="205" customFormat="1" x14ac:dyDescent="0.2">
      <c r="A365" s="205" t="s">
        <v>5119</v>
      </c>
      <c r="B365" s="205" t="s">
        <v>123</v>
      </c>
      <c r="C365" s="200">
        <v>45450</v>
      </c>
      <c r="D365" s="199" t="s">
        <v>152</v>
      </c>
      <c r="E365" s="206">
        <v>28248</v>
      </c>
      <c r="F365" s="206">
        <v>2825</v>
      </c>
      <c r="G365" s="206">
        <v>141</v>
      </c>
      <c r="H365" s="202">
        <f t="shared" si="5"/>
        <v>25564</v>
      </c>
      <c r="I365" s="205" t="s">
        <v>193</v>
      </c>
      <c r="J365" s="205" t="s">
        <v>23</v>
      </c>
      <c r="K365" s="199" t="s">
        <v>1058</v>
      </c>
      <c r="L365" s="205" t="s">
        <v>5152</v>
      </c>
      <c r="M365" s="201" t="s">
        <v>1030</v>
      </c>
      <c r="N365" s="205" t="s">
        <v>652</v>
      </c>
      <c r="O365" s="205" t="s">
        <v>652</v>
      </c>
      <c r="P365" s="208" t="s">
        <v>664</v>
      </c>
      <c r="Q365" s="208" t="s">
        <v>665</v>
      </c>
      <c r="R365" s="208" t="s">
        <v>3035</v>
      </c>
    </row>
    <row r="366" spans="1:18" s="205" customFormat="1" x14ac:dyDescent="0.2">
      <c r="A366" s="205" t="s">
        <v>5153</v>
      </c>
      <c r="B366" s="205" t="s">
        <v>246</v>
      </c>
      <c r="C366" s="200">
        <v>45450</v>
      </c>
      <c r="D366" s="199" t="s">
        <v>152</v>
      </c>
      <c r="E366" s="206">
        <v>38001</v>
      </c>
      <c r="F366" s="206">
        <v>3800</v>
      </c>
      <c r="G366" s="206">
        <v>190</v>
      </c>
      <c r="H366" s="202">
        <f t="shared" si="5"/>
        <v>34391</v>
      </c>
      <c r="I366" s="205" t="s">
        <v>193</v>
      </c>
      <c r="J366" s="205" t="s">
        <v>23</v>
      </c>
      <c r="K366" s="199" t="s">
        <v>1042</v>
      </c>
      <c r="L366" s="205" t="s">
        <v>5154</v>
      </c>
      <c r="M366" s="201" t="s">
        <v>1030</v>
      </c>
      <c r="N366" s="205" t="s">
        <v>652</v>
      </c>
      <c r="O366" s="205" t="s">
        <v>652</v>
      </c>
      <c r="P366" s="208" t="s">
        <v>987</v>
      </c>
      <c r="Q366" s="208" t="s">
        <v>988</v>
      </c>
      <c r="R366" s="208" t="s">
        <v>3035</v>
      </c>
    </row>
    <row r="367" spans="1:18" s="205" customFormat="1" x14ac:dyDescent="0.2">
      <c r="A367" s="205" t="s">
        <v>5153</v>
      </c>
      <c r="B367" s="205" t="s">
        <v>123</v>
      </c>
      <c r="C367" s="200">
        <v>45450</v>
      </c>
      <c r="D367" s="199" t="s">
        <v>152</v>
      </c>
      <c r="E367" s="206">
        <v>34265</v>
      </c>
      <c r="F367" s="206">
        <v>3427</v>
      </c>
      <c r="G367" s="206">
        <v>171</v>
      </c>
      <c r="H367" s="202">
        <f t="shared" si="5"/>
        <v>31009</v>
      </c>
      <c r="I367" s="205" t="s">
        <v>193</v>
      </c>
      <c r="J367" s="205" t="s">
        <v>23</v>
      </c>
      <c r="K367" s="199" t="s">
        <v>1058</v>
      </c>
      <c r="L367" s="205" t="s">
        <v>5155</v>
      </c>
      <c r="M367" s="201" t="s">
        <v>1030</v>
      </c>
      <c r="N367" s="205" t="s">
        <v>652</v>
      </c>
      <c r="O367" s="205" t="s">
        <v>652</v>
      </c>
      <c r="P367" s="208" t="s">
        <v>664</v>
      </c>
      <c r="Q367" s="208" t="s">
        <v>665</v>
      </c>
      <c r="R367" s="208" t="s">
        <v>3035</v>
      </c>
    </row>
    <row r="368" spans="1:18" s="205" customFormat="1" x14ac:dyDescent="0.2">
      <c r="A368" s="205" t="s">
        <v>5156</v>
      </c>
      <c r="B368" s="205" t="s">
        <v>250</v>
      </c>
      <c r="C368" s="200">
        <v>45450</v>
      </c>
      <c r="D368" s="199" t="s">
        <v>152</v>
      </c>
      <c r="E368" s="206">
        <v>120957</v>
      </c>
      <c r="F368" s="206">
        <v>12096</v>
      </c>
      <c r="G368" s="206">
        <v>605</v>
      </c>
      <c r="H368" s="202">
        <f t="shared" si="5"/>
        <v>109466</v>
      </c>
      <c r="I368" s="205" t="s">
        <v>193</v>
      </c>
      <c r="J368" s="205" t="s">
        <v>23</v>
      </c>
      <c r="K368" s="199" t="s">
        <v>1042</v>
      </c>
      <c r="L368" s="205" t="s">
        <v>5157</v>
      </c>
      <c r="M368" s="201" t="s">
        <v>1030</v>
      </c>
      <c r="N368" s="205" t="s">
        <v>652</v>
      </c>
      <c r="O368" s="205" t="s">
        <v>652</v>
      </c>
      <c r="P368" s="208" t="s">
        <v>987</v>
      </c>
      <c r="Q368" s="208" t="s">
        <v>988</v>
      </c>
      <c r="R368" s="208" t="s">
        <v>3035</v>
      </c>
    </row>
    <row r="369" spans="1:18" s="205" customFormat="1" x14ac:dyDescent="0.2">
      <c r="A369" s="205" t="s">
        <v>4980</v>
      </c>
      <c r="B369" s="205" t="s">
        <v>4973</v>
      </c>
      <c r="C369" s="200">
        <v>45450</v>
      </c>
      <c r="D369" s="199" t="s">
        <v>152</v>
      </c>
      <c r="E369" s="206">
        <v>63493</v>
      </c>
      <c r="F369" s="206">
        <v>6349</v>
      </c>
      <c r="G369" s="206">
        <v>317</v>
      </c>
      <c r="H369" s="202">
        <f t="shared" si="5"/>
        <v>57461</v>
      </c>
      <c r="I369" s="205" t="s">
        <v>193</v>
      </c>
      <c r="J369" s="205" t="s">
        <v>23</v>
      </c>
      <c r="K369" s="199" t="s">
        <v>1058</v>
      </c>
      <c r="L369" s="205" t="s">
        <v>5158</v>
      </c>
      <c r="M369" s="201" t="s">
        <v>1030</v>
      </c>
      <c r="N369" s="205" t="s">
        <v>652</v>
      </c>
      <c r="O369" s="205" t="s">
        <v>652</v>
      </c>
      <c r="P369" s="208" t="s">
        <v>728</v>
      </c>
      <c r="Q369" s="208" t="s">
        <v>729</v>
      </c>
      <c r="R369" s="208" t="s">
        <v>3035</v>
      </c>
    </row>
    <row r="370" spans="1:18" s="205" customFormat="1" x14ac:dyDescent="0.2">
      <c r="A370" s="205" t="s">
        <v>5159</v>
      </c>
      <c r="B370" s="205" t="s">
        <v>248</v>
      </c>
      <c r="C370" s="200">
        <v>45450</v>
      </c>
      <c r="D370" s="199" t="s">
        <v>152</v>
      </c>
      <c r="E370" s="206">
        <v>57986</v>
      </c>
      <c r="F370" s="206">
        <v>5799</v>
      </c>
      <c r="G370" s="206">
        <v>290</v>
      </c>
      <c r="H370" s="202">
        <f t="shared" si="5"/>
        <v>52477</v>
      </c>
      <c r="I370" s="205" t="s">
        <v>193</v>
      </c>
      <c r="J370" s="205" t="s">
        <v>23</v>
      </c>
      <c r="K370" s="199" t="s">
        <v>1028</v>
      </c>
      <c r="L370" s="205" t="s">
        <v>5160</v>
      </c>
      <c r="M370" s="201" t="s">
        <v>1030</v>
      </c>
      <c r="N370" s="205" t="s">
        <v>652</v>
      </c>
      <c r="O370" s="205" t="s">
        <v>652</v>
      </c>
      <c r="P370" s="208" t="s">
        <v>2191</v>
      </c>
      <c r="Q370" s="208" t="s">
        <v>2192</v>
      </c>
      <c r="R370" s="208" t="s">
        <v>3035</v>
      </c>
    </row>
    <row r="371" spans="1:18" s="205" customFormat="1" x14ac:dyDescent="0.2">
      <c r="A371" s="205" t="s">
        <v>5161</v>
      </c>
      <c r="B371" s="205" t="s">
        <v>248</v>
      </c>
      <c r="C371" s="200">
        <v>45450</v>
      </c>
      <c r="D371" s="199" t="s">
        <v>152</v>
      </c>
      <c r="E371" s="206">
        <v>46915</v>
      </c>
      <c r="F371" s="206">
        <v>4692</v>
      </c>
      <c r="G371" s="206">
        <v>235</v>
      </c>
      <c r="H371" s="202">
        <f t="shared" si="5"/>
        <v>42458</v>
      </c>
      <c r="I371" s="205" t="s">
        <v>193</v>
      </c>
      <c r="J371" s="205" t="s">
        <v>23</v>
      </c>
      <c r="K371" s="199" t="s">
        <v>1028</v>
      </c>
      <c r="L371" s="205" t="s">
        <v>5162</v>
      </c>
      <c r="M371" s="201" t="s">
        <v>1030</v>
      </c>
      <c r="N371" s="205" t="s">
        <v>652</v>
      </c>
      <c r="O371" s="205" t="s">
        <v>652</v>
      </c>
      <c r="P371" s="208" t="s">
        <v>2191</v>
      </c>
      <c r="Q371" s="208" t="s">
        <v>2192</v>
      </c>
      <c r="R371" s="208" t="s">
        <v>3035</v>
      </c>
    </row>
    <row r="372" spans="1:18" s="205" customFormat="1" x14ac:dyDescent="0.2">
      <c r="A372" s="205" t="s">
        <v>5163</v>
      </c>
      <c r="B372" s="205" t="s">
        <v>248</v>
      </c>
      <c r="C372" s="200">
        <v>45450</v>
      </c>
      <c r="D372" s="199" t="s">
        <v>152</v>
      </c>
      <c r="E372" s="206">
        <v>42459</v>
      </c>
      <c r="F372" s="206">
        <v>4246</v>
      </c>
      <c r="G372" s="206">
        <v>212</v>
      </c>
      <c r="H372" s="202">
        <f t="shared" si="5"/>
        <v>38425</v>
      </c>
      <c r="I372" s="205" t="s">
        <v>193</v>
      </c>
      <c r="J372" s="205" t="s">
        <v>23</v>
      </c>
      <c r="K372" s="199" t="s">
        <v>1028</v>
      </c>
      <c r="L372" s="205" t="s">
        <v>5164</v>
      </c>
      <c r="M372" s="199" t="s">
        <v>1030</v>
      </c>
      <c r="N372" s="205" t="s">
        <v>652</v>
      </c>
      <c r="O372" s="205" t="s">
        <v>652</v>
      </c>
      <c r="P372" s="208" t="s">
        <v>2191</v>
      </c>
      <c r="Q372" s="208" t="s">
        <v>2192</v>
      </c>
      <c r="R372" s="208" t="s">
        <v>3035</v>
      </c>
    </row>
    <row r="373" spans="1:18" s="205" customFormat="1" x14ac:dyDescent="0.2">
      <c r="A373" s="209" t="s">
        <v>5165</v>
      </c>
      <c r="B373" s="209" t="s">
        <v>248</v>
      </c>
      <c r="C373" s="210">
        <v>45450</v>
      </c>
      <c r="D373" s="199" t="s">
        <v>152</v>
      </c>
      <c r="E373" s="211">
        <v>57986</v>
      </c>
      <c r="F373" s="211">
        <v>5799</v>
      </c>
      <c r="G373" s="211">
        <v>290</v>
      </c>
      <c r="H373" s="202">
        <f t="shared" si="5"/>
        <v>52477</v>
      </c>
      <c r="I373" s="209" t="s">
        <v>193</v>
      </c>
      <c r="J373" s="209" t="s">
        <v>23</v>
      </c>
      <c r="K373" s="201" t="s">
        <v>1028</v>
      </c>
      <c r="L373" s="209" t="s">
        <v>5166</v>
      </c>
      <c r="M373" s="201" t="s">
        <v>1030</v>
      </c>
      <c r="N373" s="209" t="s">
        <v>652</v>
      </c>
      <c r="O373" s="209" t="s">
        <v>652</v>
      </c>
      <c r="P373" s="213" t="s">
        <v>2191</v>
      </c>
      <c r="Q373" s="213" t="s">
        <v>2192</v>
      </c>
      <c r="R373" s="213" t="s">
        <v>3035</v>
      </c>
    </row>
    <row r="374" spans="1:18" s="205" customFormat="1" x14ac:dyDescent="0.2">
      <c r="A374" s="209" t="s">
        <v>5167</v>
      </c>
      <c r="B374" s="209" t="s">
        <v>248</v>
      </c>
      <c r="C374" s="210">
        <v>45450</v>
      </c>
      <c r="D374" s="199" t="s">
        <v>152</v>
      </c>
      <c r="E374" s="211">
        <v>42459</v>
      </c>
      <c r="F374" s="211">
        <v>4246</v>
      </c>
      <c r="G374" s="211">
        <v>212</v>
      </c>
      <c r="H374" s="202">
        <f t="shared" si="5"/>
        <v>38425</v>
      </c>
      <c r="I374" s="209" t="s">
        <v>193</v>
      </c>
      <c r="J374" s="209" t="s">
        <v>23</v>
      </c>
      <c r="K374" s="201" t="s">
        <v>1028</v>
      </c>
      <c r="L374" s="209" t="s">
        <v>5168</v>
      </c>
      <c r="M374" s="201" t="s">
        <v>1030</v>
      </c>
      <c r="N374" s="209" t="s">
        <v>652</v>
      </c>
      <c r="O374" s="209" t="s">
        <v>652</v>
      </c>
      <c r="P374" s="213" t="s">
        <v>2191</v>
      </c>
      <c r="Q374" s="213" t="s">
        <v>2192</v>
      </c>
      <c r="R374" s="213" t="s">
        <v>3035</v>
      </c>
    </row>
    <row r="375" spans="1:18" s="205" customFormat="1" x14ac:dyDescent="0.2">
      <c r="A375" s="205" t="s">
        <v>5169</v>
      </c>
      <c r="B375" s="205" t="s">
        <v>248</v>
      </c>
      <c r="C375" s="200">
        <v>45450</v>
      </c>
      <c r="D375" s="199" t="s">
        <v>152</v>
      </c>
      <c r="E375" s="206">
        <v>42459</v>
      </c>
      <c r="F375" s="206">
        <v>4246</v>
      </c>
      <c r="G375" s="206">
        <v>212</v>
      </c>
      <c r="H375" s="202">
        <f t="shared" si="5"/>
        <v>38425</v>
      </c>
      <c r="I375" s="205" t="s">
        <v>193</v>
      </c>
      <c r="J375" s="205" t="s">
        <v>23</v>
      </c>
      <c r="K375" s="201" t="s">
        <v>1028</v>
      </c>
      <c r="L375" s="205" t="s">
        <v>5170</v>
      </c>
      <c r="M375" s="201" t="s">
        <v>1030</v>
      </c>
      <c r="N375" s="205" t="s">
        <v>652</v>
      </c>
      <c r="O375" s="205" t="s">
        <v>652</v>
      </c>
      <c r="P375" s="216" t="s">
        <v>2191</v>
      </c>
      <c r="Q375" s="216" t="s">
        <v>2192</v>
      </c>
      <c r="R375" s="216" t="s">
        <v>3035</v>
      </c>
    </row>
    <row r="376" spans="1:18" s="205" customFormat="1" x14ac:dyDescent="0.2">
      <c r="A376" s="205" t="s">
        <v>5171</v>
      </c>
      <c r="B376" s="205" t="s">
        <v>248</v>
      </c>
      <c r="C376" s="200">
        <v>45450</v>
      </c>
      <c r="D376" s="199" t="s">
        <v>152</v>
      </c>
      <c r="E376" s="206">
        <v>57986</v>
      </c>
      <c r="F376" s="206">
        <v>5799</v>
      </c>
      <c r="G376" s="206">
        <v>290</v>
      </c>
      <c r="H376" s="202">
        <f t="shared" si="5"/>
        <v>52477</v>
      </c>
      <c r="I376" s="205" t="s">
        <v>193</v>
      </c>
      <c r="J376" s="205" t="s">
        <v>23</v>
      </c>
      <c r="K376" s="201" t="s">
        <v>1028</v>
      </c>
      <c r="L376" s="205" t="s">
        <v>5172</v>
      </c>
      <c r="M376" s="201" t="s">
        <v>1030</v>
      </c>
      <c r="N376" s="205" t="s">
        <v>652</v>
      </c>
      <c r="O376" s="205" t="s">
        <v>652</v>
      </c>
      <c r="P376" s="208" t="s">
        <v>2191</v>
      </c>
      <c r="Q376" s="208" t="s">
        <v>2192</v>
      </c>
      <c r="R376" s="208" t="s">
        <v>3035</v>
      </c>
    </row>
    <row r="377" spans="1:18" s="205" customFormat="1" x14ac:dyDescent="0.2">
      <c r="A377" s="205" t="s">
        <v>5173</v>
      </c>
      <c r="B377" s="205" t="s">
        <v>248</v>
      </c>
      <c r="C377" s="200">
        <v>45450</v>
      </c>
      <c r="D377" s="199" t="s">
        <v>152</v>
      </c>
      <c r="E377" s="206">
        <v>57986</v>
      </c>
      <c r="F377" s="206">
        <v>5799</v>
      </c>
      <c r="G377" s="206">
        <v>290</v>
      </c>
      <c r="H377" s="202">
        <f t="shared" si="5"/>
        <v>52477</v>
      </c>
      <c r="I377" s="205" t="s">
        <v>193</v>
      </c>
      <c r="J377" s="205" t="s">
        <v>23</v>
      </c>
      <c r="K377" s="201" t="s">
        <v>1028</v>
      </c>
      <c r="L377" s="205" t="s">
        <v>5174</v>
      </c>
      <c r="M377" s="201" t="s">
        <v>1030</v>
      </c>
      <c r="N377" s="205" t="s">
        <v>652</v>
      </c>
      <c r="O377" s="205" t="s">
        <v>652</v>
      </c>
      <c r="P377" s="208" t="s">
        <v>2191</v>
      </c>
      <c r="Q377" s="208" t="s">
        <v>2192</v>
      </c>
      <c r="R377" s="208" t="s">
        <v>3035</v>
      </c>
    </row>
    <row r="378" spans="1:18" s="205" customFormat="1" x14ac:dyDescent="0.2">
      <c r="A378" s="205" t="s">
        <v>5175</v>
      </c>
      <c r="B378" s="205" t="s">
        <v>248</v>
      </c>
      <c r="C378" s="200">
        <v>45450</v>
      </c>
      <c r="D378" s="199" t="s">
        <v>152</v>
      </c>
      <c r="E378" s="206">
        <v>42459</v>
      </c>
      <c r="F378" s="206">
        <v>4246</v>
      </c>
      <c r="G378" s="206">
        <v>212</v>
      </c>
      <c r="H378" s="202">
        <f t="shared" si="5"/>
        <v>38425</v>
      </c>
      <c r="I378" s="205" t="s">
        <v>193</v>
      </c>
      <c r="J378" s="205" t="s">
        <v>23</v>
      </c>
      <c r="K378" s="201" t="s">
        <v>1028</v>
      </c>
      <c r="L378" s="205" t="s">
        <v>5176</v>
      </c>
      <c r="M378" s="201" t="s">
        <v>1030</v>
      </c>
      <c r="N378" s="205" t="s">
        <v>652</v>
      </c>
      <c r="O378" s="205" t="s">
        <v>652</v>
      </c>
      <c r="P378" s="208" t="s">
        <v>2191</v>
      </c>
      <c r="Q378" s="208" t="s">
        <v>2192</v>
      </c>
      <c r="R378" s="208" t="s">
        <v>3035</v>
      </c>
    </row>
    <row r="379" spans="1:18" s="205" customFormat="1" x14ac:dyDescent="0.2">
      <c r="A379" s="205" t="s">
        <v>5177</v>
      </c>
      <c r="B379" s="205" t="s">
        <v>248</v>
      </c>
      <c r="C379" s="200">
        <v>45450</v>
      </c>
      <c r="D379" s="199" t="s">
        <v>152</v>
      </c>
      <c r="E379" s="206">
        <v>42459</v>
      </c>
      <c r="F379" s="206">
        <v>4246</v>
      </c>
      <c r="G379" s="206">
        <v>212</v>
      </c>
      <c r="H379" s="202">
        <f t="shared" si="5"/>
        <v>38425</v>
      </c>
      <c r="I379" s="205" t="s">
        <v>193</v>
      </c>
      <c r="J379" s="205" t="s">
        <v>23</v>
      </c>
      <c r="K379" s="201" t="s">
        <v>1028</v>
      </c>
      <c r="L379" s="205" t="s">
        <v>5178</v>
      </c>
      <c r="M379" s="201" t="s">
        <v>1030</v>
      </c>
      <c r="N379" s="205" t="s">
        <v>652</v>
      </c>
      <c r="O379" s="205" t="s">
        <v>652</v>
      </c>
      <c r="P379" s="208" t="s">
        <v>2191</v>
      </c>
      <c r="Q379" s="208" t="s">
        <v>2192</v>
      </c>
      <c r="R379" s="208" t="s">
        <v>3035</v>
      </c>
    </row>
    <row r="380" spans="1:18" s="205" customFormat="1" x14ac:dyDescent="0.2">
      <c r="A380" s="205" t="s">
        <v>5179</v>
      </c>
      <c r="B380" s="205" t="s">
        <v>248</v>
      </c>
      <c r="C380" s="200">
        <v>45450</v>
      </c>
      <c r="D380" s="199" t="s">
        <v>152</v>
      </c>
      <c r="E380" s="206">
        <v>57986</v>
      </c>
      <c r="F380" s="206">
        <v>5799</v>
      </c>
      <c r="G380" s="206">
        <v>290</v>
      </c>
      <c r="H380" s="202">
        <f t="shared" si="5"/>
        <v>52477</v>
      </c>
      <c r="I380" s="205" t="s">
        <v>193</v>
      </c>
      <c r="J380" s="205" t="s">
        <v>23</v>
      </c>
      <c r="K380" s="201" t="s">
        <v>1028</v>
      </c>
      <c r="L380" s="205" t="s">
        <v>5180</v>
      </c>
      <c r="M380" s="201" t="s">
        <v>1030</v>
      </c>
      <c r="N380" s="205" t="s">
        <v>652</v>
      </c>
      <c r="O380" s="205" t="s">
        <v>652</v>
      </c>
      <c r="P380" s="208" t="s">
        <v>2191</v>
      </c>
      <c r="Q380" s="208" t="s">
        <v>2192</v>
      </c>
      <c r="R380" s="208" t="s">
        <v>3035</v>
      </c>
    </row>
    <row r="381" spans="1:18" s="205" customFormat="1" x14ac:dyDescent="0.2">
      <c r="A381" s="205" t="s">
        <v>5181</v>
      </c>
      <c r="B381" s="205" t="s">
        <v>248</v>
      </c>
      <c r="C381" s="200">
        <v>45450</v>
      </c>
      <c r="D381" s="199" t="s">
        <v>152</v>
      </c>
      <c r="E381" s="206">
        <v>57986</v>
      </c>
      <c r="F381" s="206">
        <v>5799</v>
      </c>
      <c r="G381" s="206">
        <v>290</v>
      </c>
      <c r="H381" s="202">
        <f t="shared" si="5"/>
        <v>52477</v>
      </c>
      <c r="I381" s="205" t="s">
        <v>193</v>
      </c>
      <c r="J381" s="205" t="s">
        <v>23</v>
      </c>
      <c r="K381" s="199" t="s">
        <v>1028</v>
      </c>
      <c r="L381" s="205" t="s">
        <v>5182</v>
      </c>
      <c r="M381" s="201" t="s">
        <v>1030</v>
      </c>
      <c r="N381" s="205" t="s">
        <v>652</v>
      </c>
      <c r="O381" s="205" t="s">
        <v>652</v>
      </c>
      <c r="P381" s="208" t="s">
        <v>2191</v>
      </c>
      <c r="Q381" s="208" t="s">
        <v>2192</v>
      </c>
      <c r="R381" s="216" t="s">
        <v>3035</v>
      </c>
    </row>
    <row r="382" spans="1:18" s="205" customFormat="1" x14ac:dyDescent="0.2">
      <c r="A382" s="205" t="s">
        <v>5183</v>
      </c>
      <c r="B382" s="205" t="s">
        <v>248</v>
      </c>
      <c r="C382" s="200">
        <v>45450</v>
      </c>
      <c r="D382" s="199" t="s">
        <v>152</v>
      </c>
      <c r="E382" s="206">
        <v>57986</v>
      </c>
      <c r="F382" s="206">
        <v>5799</v>
      </c>
      <c r="G382" s="206">
        <v>290</v>
      </c>
      <c r="H382" s="202">
        <f t="shared" si="5"/>
        <v>52477</v>
      </c>
      <c r="I382" s="205" t="s">
        <v>193</v>
      </c>
      <c r="J382" s="205" t="s">
        <v>23</v>
      </c>
      <c r="K382" s="199" t="s">
        <v>1028</v>
      </c>
      <c r="L382" s="205" t="s">
        <v>5184</v>
      </c>
      <c r="M382" s="201" t="s">
        <v>1030</v>
      </c>
      <c r="N382" s="205" t="s">
        <v>652</v>
      </c>
      <c r="O382" s="205" t="s">
        <v>652</v>
      </c>
      <c r="P382" s="208" t="s">
        <v>2191</v>
      </c>
      <c r="Q382" s="208" t="s">
        <v>2192</v>
      </c>
      <c r="R382" s="208" t="s">
        <v>3035</v>
      </c>
    </row>
    <row r="383" spans="1:18" s="205" customFormat="1" x14ac:dyDescent="0.2">
      <c r="A383" s="205" t="s">
        <v>5185</v>
      </c>
      <c r="B383" s="205" t="s">
        <v>248</v>
      </c>
      <c r="C383" s="200">
        <v>45450</v>
      </c>
      <c r="D383" s="199" t="s">
        <v>152</v>
      </c>
      <c r="E383" s="206">
        <v>57986</v>
      </c>
      <c r="F383" s="206">
        <v>5799</v>
      </c>
      <c r="G383" s="206">
        <v>290</v>
      </c>
      <c r="H383" s="202">
        <f t="shared" si="5"/>
        <v>52477</v>
      </c>
      <c r="I383" s="205" t="s">
        <v>193</v>
      </c>
      <c r="J383" s="205" t="s">
        <v>23</v>
      </c>
      <c r="K383" s="199" t="s">
        <v>1028</v>
      </c>
      <c r="L383" s="205" t="s">
        <v>5186</v>
      </c>
      <c r="M383" s="201" t="s">
        <v>1030</v>
      </c>
      <c r="N383" s="205" t="s">
        <v>652</v>
      </c>
      <c r="O383" s="205" t="s">
        <v>652</v>
      </c>
      <c r="P383" s="208" t="s">
        <v>2191</v>
      </c>
      <c r="Q383" s="208" t="s">
        <v>2192</v>
      </c>
      <c r="R383" s="208" t="s">
        <v>3035</v>
      </c>
    </row>
    <row r="384" spans="1:18" s="205" customFormat="1" x14ac:dyDescent="0.2">
      <c r="A384" s="205" t="s">
        <v>5187</v>
      </c>
      <c r="B384" s="205" t="s">
        <v>248</v>
      </c>
      <c r="C384" s="200">
        <v>45450</v>
      </c>
      <c r="D384" s="199" t="s">
        <v>152</v>
      </c>
      <c r="E384" s="206">
        <v>57986</v>
      </c>
      <c r="F384" s="206">
        <v>5799</v>
      </c>
      <c r="G384" s="206">
        <v>290</v>
      </c>
      <c r="H384" s="202">
        <f t="shared" si="5"/>
        <v>52477</v>
      </c>
      <c r="I384" s="205" t="s">
        <v>193</v>
      </c>
      <c r="J384" s="205" t="s">
        <v>23</v>
      </c>
      <c r="K384" s="199" t="s">
        <v>1028</v>
      </c>
      <c r="L384" s="205" t="s">
        <v>5188</v>
      </c>
      <c r="M384" s="201" t="s">
        <v>1030</v>
      </c>
      <c r="N384" s="205" t="s">
        <v>652</v>
      </c>
      <c r="O384" s="205" t="s">
        <v>652</v>
      </c>
      <c r="P384" s="214" t="s">
        <v>2191</v>
      </c>
      <c r="Q384" s="214" t="s">
        <v>2192</v>
      </c>
      <c r="R384" s="214" t="s">
        <v>3035</v>
      </c>
    </row>
    <row r="385" spans="1:18" s="205" customFormat="1" x14ac:dyDescent="0.2">
      <c r="A385" s="209" t="s">
        <v>5189</v>
      </c>
      <c r="B385" s="209" t="s">
        <v>1837</v>
      </c>
      <c r="C385" s="210">
        <v>45450</v>
      </c>
      <c r="D385" s="199" t="s">
        <v>152</v>
      </c>
      <c r="E385" s="211">
        <v>55394</v>
      </c>
      <c r="F385" s="211">
        <v>5539</v>
      </c>
      <c r="G385" s="211">
        <v>277</v>
      </c>
      <c r="H385" s="202">
        <f t="shared" si="5"/>
        <v>50132</v>
      </c>
      <c r="I385" s="209" t="s">
        <v>193</v>
      </c>
      <c r="J385" s="209" t="s">
        <v>23</v>
      </c>
      <c r="K385" s="201" t="s">
        <v>1058</v>
      </c>
      <c r="L385" s="209" t="s">
        <v>5190</v>
      </c>
      <c r="M385" s="201" t="s">
        <v>1030</v>
      </c>
      <c r="N385" s="209" t="s">
        <v>652</v>
      </c>
      <c r="O385" s="209" t="s">
        <v>652</v>
      </c>
      <c r="P385" s="213" t="s">
        <v>987</v>
      </c>
      <c r="Q385" s="213" t="s">
        <v>988</v>
      </c>
      <c r="R385" s="213" t="s">
        <v>3035</v>
      </c>
    </row>
    <row r="386" spans="1:18" s="205" customFormat="1" x14ac:dyDescent="0.2">
      <c r="A386" s="209" t="s">
        <v>5191</v>
      </c>
      <c r="B386" s="209" t="s">
        <v>250</v>
      </c>
      <c r="C386" s="210">
        <v>45450</v>
      </c>
      <c r="D386" s="199" t="s">
        <v>152</v>
      </c>
      <c r="E386" s="211">
        <v>85607</v>
      </c>
      <c r="F386" s="211">
        <v>8561</v>
      </c>
      <c r="G386" s="211">
        <v>428</v>
      </c>
      <c r="H386" s="202">
        <f t="shared" ref="H386:H449" si="6">E386+G386-F386</f>
        <v>77474</v>
      </c>
      <c r="I386" s="209" t="s">
        <v>193</v>
      </c>
      <c r="J386" s="209" t="s">
        <v>23</v>
      </c>
      <c r="K386" s="201" t="s">
        <v>1042</v>
      </c>
      <c r="L386" s="209" t="s">
        <v>5192</v>
      </c>
      <c r="M386" s="201" t="s">
        <v>1030</v>
      </c>
      <c r="N386" s="209" t="s">
        <v>652</v>
      </c>
      <c r="O386" s="209" t="s">
        <v>652</v>
      </c>
      <c r="P386" s="213" t="s">
        <v>987</v>
      </c>
      <c r="Q386" s="213" t="s">
        <v>988</v>
      </c>
      <c r="R386" s="213" t="s">
        <v>3035</v>
      </c>
    </row>
    <row r="387" spans="1:18" s="205" customFormat="1" x14ac:dyDescent="0.2">
      <c r="A387" s="209" t="s">
        <v>5193</v>
      </c>
      <c r="B387" s="209" t="s">
        <v>246</v>
      </c>
      <c r="C387" s="210">
        <v>45450</v>
      </c>
      <c r="D387" s="199" t="s">
        <v>152</v>
      </c>
      <c r="E387" s="211">
        <v>31332</v>
      </c>
      <c r="F387" s="211">
        <v>3133</v>
      </c>
      <c r="G387" s="211">
        <v>157</v>
      </c>
      <c r="H387" s="202">
        <f t="shared" si="6"/>
        <v>28356</v>
      </c>
      <c r="I387" s="209" t="s">
        <v>193</v>
      </c>
      <c r="J387" s="209" t="s">
        <v>23</v>
      </c>
      <c r="K387" s="201" t="s">
        <v>1042</v>
      </c>
      <c r="L387" s="209" t="s">
        <v>5194</v>
      </c>
      <c r="M387" s="201" t="s">
        <v>1030</v>
      </c>
      <c r="N387" s="209" t="s">
        <v>652</v>
      </c>
      <c r="O387" s="209" t="s">
        <v>652</v>
      </c>
      <c r="P387" s="213" t="s">
        <v>987</v>
      </c>
      <c r="Q387" s="213" t="s">
        <v>988</v>
      </c>
      <c r="R387" s="213" t="s">
        <v>3035</v>
      </c>
    </row>
    <row r="388" spans="1:18" s="205" customFormat="1" x14ac:dyDescent="0.2">
      <c r="A388" s="209" t="s">
        <v>5195</v>
      </c>
      <c r="B388" s="209" t="s">
        <v>246</v>
      </c>
      <c r="C388" s="210">
        <v>45450</v>
      </c>
      <c r="D388" s="199" t="s">
        <v>152</v>
      </c>
      <c r="E388" s="211">
        <v>22716</v>
      </c>
      <c r="F388" s="211">
        <v>2272</v>
      </c>
      <c r="G388" s="211">
        <v>114</v>
      </c>
      <c r="H388" s="202">
        <f t="shared" si="6"/>
        <v>20558</v>
      </c>
      <c r="I388" s="209" t="s">
        <v>193</v>
      </c>
      <c r="J388" s="209" t="s">
        <v>23</v>
      </c>
      <c r="K388" s="201" t="s">
        <v>1042</v>
      </c>
      <c r="L388" s="209" t="s">
        <v>5196</v>
      </c>
      <c r="M388" s="201" t="s">
        <v>1030</v>
      </c>
      <c r="N388" s="209" t="s">
        <v>652</v>
      </c>
      <c r="O388" s="209" t="s">
        <v>652</v>
      </c>
      <c r="P388" s="213" t="s">
        <v>987</v>
      </c>
      <c r="Q388" s="213" t="s">
        <v>988</v>
      </c>
      <c r="R388" s="213" t="s">
        <v>3035</v>
      </c>
    </row>
    <row r="389" spans="1:18" s="205" customFormat="1" x14ac:dyDescent="0.2">
      <c r="A389" s="209" t="s">
        <v>5197</v>
      </c>
      <c r="B389" s="209" t="s">
        <v>248</v>
      </c>
      <c r="C389" s="210">
        <v>45450</v>
      </c>
      <c r="D389" s="199" t="s">
        <v>152</v>
      </c>
      <c r="E389" s="211">
        <v>42459</v>
      </c>
      <c r="F389" s="211">
        <v>4246</v>
      </c>
      <c r="G389" s="211">
        <v>212</v>
      </c>
      <c r="H389" s="202">
        <f t="shared" si="6"/>
        <v>38425</v>
      </c>
      <c r="I389" s="209" t="s">
        <v>193</v>
      </c>
      <c r="J389" s="209" t="s">
        <v>23</v>
      </c>
      <c r="K389" s="201" t="s">
        <v>1058</v>
      </c>
      <c r="L389" s="209" t="s">
        <v>5198</v>
      </c>
      <c r="M389" s="201" t="s">
        <v>1030</v>
      </c>
      <c r="N389" s="209" t="s">
        <v>652</v>
      </c>
      <c r="O389" s="209" t="s">
        <v>652</v>
      </c>
      <c r="P389" s="213" t="s">
        <v>987</v>
      </c>
      <c r="Q389" s="213" t="s">
        <v>988</v>
      </c>
      <c r="R389" s="213" t="s">
        <v>3035</v>
      </c>
    </row>
    <row r="390" spans="1:18" s="205" customFormat="1" x14ac:dyDescent="0.2">
      <c r="A390" s="209" t="s">
        <v>5197</v>
      </c>
      <c r="B390" s="209" t="s">
        <v>4973</v>
      </c>
      <c r="C390" s="210">
        <v>45450</v>
      </c>
      <c r="D390" s="199" t="s">
        <v>152</v>
      </c>
      <c r="E390" s="211">
        <v>38408</v>
      </c>
      <c r="F390" s="211">
        <v>3841</v>
      </c>
      <c r="G390" s="211">
        <v>192</v>
      </c>
      <c r="H390" s="202">
        <f t="shared" si="6"/>
        <v>34759</v>
      </c>
      <c r="I390" s="209" t="s">
        <v>193</v>
      </c>
      <c r="J390" s="209" t="s">
        <v>23</v>
      </c>
      <c r="K390" s="201" t="s">
        <v>1058</v>
      </c>
      <c r="L390" s="209" t="s">
        <v>5199</v>
      </c>
      <c r="M390" s="201" t="s">
        <v>1030</v>
      </c>
      <c r="N390" s="209" t="s">
        <v>652</v>
      </c>
      <c r="O390" s="209" t="s">
        <v>652</v>
      </c>
      <c r="P390" s="213" t="s">
        <v>664</v>
      </c>
      <c r="Q390" s="213" t="s">
        <v>665</v>
      </c>
      <c r="R390" s="213" t="s">
        <v>3035</v>
      </c>
    </row>
    <row r="391" spans="1:18" s="205" customFormat="1" x14ac:dyDescent="0.2">
      <c r="A391" s="205" t="s">
        <v>5200</v>
      </c>
      <c r="B391" s="205" t="s">
        <v>246</v>
      </c>
      <c r="C391" s="200">
        <v>45450</v>
      </c>
      <c r="D391" s="199" t="s">
        <v>152</v>
      </c>
      <c r="E391" s="206">
        <v>22716</v>
      </c>
      <c r="F391" s="206">
        <v>2272</v>
      </c>
      <c r="G391" s="206">
        <v>114</v>
      </c>
      <c r="H391" s="202">
        <f t="shared" si="6"/>
        <v>20558</v>
      </c>
      <c r="I391" s="205" t="s">
        <v>193</v>
      </c>
      <c r="J391" s="205" t="s">
        <v>23</v>
      </c>
      <c r="K391" s="201" t="s">
        <v>1042</v>
      </c>
      <c r="L391" s="205" t="s">
        <v>5201</v>
      </c>
      <c r="M391" s="201" t="s">
        <v>1030</v>
      </c>
      <c r="N391" s="205" t="s">
        <v>652</v>
      </c>
      <c r="O391" s="205" t="s">
        <v>652</v>
      </c>
      <c r="P391" s="208" t="s">
        <v>987</v>
      </c>
      <c r="Q391" s="208" t="s">
        <v>988</v>
      </c>
      <c r="R391" s="208" t="s">
        <v>3035</v>
      </c>
    </row>
    <row r="392" spans="1:18" s="205" customFormat="1" x14ac:dyDescent="0.2">
      <c r="A392" s="205" t="s">
        <v>5200</v>
      </c>
      <c r="B392" s="205" t="s">
        <v>123</v>
      </c>
      <c r="C392" s="200">
        <v>45450</v>
      </c>
      <c r="D392" s="199" t="s">
        <v>152</v>
      </c>
      <c r="E392" s="206">
        <v>20459</v>
      </c>
      <c r="F392" s="206">
        <v>2046</v>
      </c>
      <c r="G392" s="206">
        <v>102</v>
      </c>
      <c r="H392" s="202">
        <f t="shared" si="6"/>
        <v>18515</v>
      </c>
      <c r="I392" s="205" t="s">
        <v>193</v>
      </c>
      <c r="J392" s="205" t="s">
        <v>23</v>
      </c>
      <c r="K392" s="199" t="s">
        <v>1058</v>
      </c>
      <c r="L392" s="205" t="s">
        <v>5202</v>
      </c>
      <c r="M392" s="201" t="s">
        <v>1030</v>
      </c>
      <c r="N392" s="205" t="s">
        <v>652</v>
      </c>
      <c r="O392" s="205" t="s">
        <v>652</v>
      </c>
      <c r="P392" s="208" t="s">
        <v>664</v>
      </c>
      <c r="Q392" s="208" t="s">
        <v>665</v>
      </c>
      <c r="R392" s="208" t="s">
        <v>3035</v>
      </c>
    </row>
    <row r="393" spans="1:18" s="205" customFormat="1" x14ac:dyDescent="0.2">
      <c r="A393" s="205" t="s">
        <v>5203</v>
      </c>
      <c r="B393" s="205" t="s">
        <v>246</v>
      </c>
      <c r="C393" s="200">
        <v>45450</v>
      </c>
      <c r="D393" s="199" t="s">
        <v>152</v>
      </c>
      <c r="E393" s="206">
        <v>22716</v>
      </c>
      <c r="F393" s="206">
        <v>2272</v>
      </c>
      <c r="G393" s="206">
        <v>114</v>
      </c>
      <c r="H393" s="202">
        <f t="shared" si="6"/>
        <v>20558</v>
      </c>
      <c r="I393" s="205" t="s">
        <v>193</v>
      </c>
      <c r="J393" s="205" t="s">
        <v>23</v>
      </c>
      <c r="K393" s="199" t="s">
        <v>1042</v>
      </c>
      <c r="L393" s="205" t="s">
        <v>5204</v>
      </c>
      <c r="M393" s="201" t="s">
        <v>1030</v>
      </c>
      <c r="N393" s="205" t="s">
        <v>652</v>
      </c>
      <c r="O393" s="205" t="s">
        <v>652</v>
      </c>
      <c r="P393" s="208" t="s">
        <v>987</v>
      </c>
      <c r="Q393" s="208" t="s">
        <v>988</v>
      </c>
      <c r="R393" s="208" t="s">
        <v>3035</v>
      </c>
    </row>
    <row r="394" spans="1:18" s="205" customFormat="1" x14ac:dyDescent="0.2">
      <c r="A394" s="205" t="s">
        <v>5205</v>
      </c>
      <c r="B394" s="205" t="s">
        <v>250</v>
      </c>
      <c r="C394" s="200">
        <v>45450</v>
      </c>
      <c r="D394" s="199" t="s">
        <v>152</v>
      </c>
      <c r="E394" s="206">
        <v>85607</v>
      </c>
      <c r="F394" s="206">
        <v>8561</v>
      </c>
      <c r="G394" s="206">
        <v>428</v>
      </c>
      <c r="H394" s="202">
        <f t="shared" si="6"/>
        <v>77474</v>
      </c>
      <c r="I394" s="205" t="s">
        <v>193</v>
      </c>
      <c r="J394" s="205" t="s">
        <v>23</v>
      </c>
      <c r="K394" s="199" t="s">
        <v>1042</v>
      </c>
      <c r="L394" s="205" t="s">
        <v>5206</v>
      </c>
      <c r="M394" s="201" t="s">
        <v>1030</v>
      </c>
      <c r="N394" s="205" t="s">
        <v>652</v>
      </c>
      <c r="O394" s="205" t="s">
        <v>652</v>
      </c>
      <c r="P394" s="208" t="s">
        <v>987</v>
      </c>
      <c r="Q394" s="208" t="s">
        <v>988</v>
      </c>
      <c r="R394" s="208" t="s">
        <v>3035</v>
      </c>
    </row>
    <row r="395" spans="1:18" s="205" customFormat="1" x14ac:dyDescent="0.2">
      <c r="A395" s="205" t="s">
        <v>5207</v>
      </c>
      <c r="B395" s="205" t="s">
        <v>246</v>
      </c>
      <c r="C395" s="200">
        <v>45450</v>
      </c>
      <c r="D395" s="199" t="s">
        <v>152</v>
      </c>
      <c r="E395" s="206">
        <v>22716</v>
      </c>
      <c r="F395" s="206">
        <v>2272</v>
      </c>
      <c r="G395" s="206">
        <v>114</v>
      </c>
      <c r="H395" s="202">
        <f t="shared" si="6"/>
        <v>20558</v>
      </c>
      <c r="I395" s="205" t="s">
        <v>193</v>
      </c>
      <c r="J395" s="205" t="s">
        <v>23</v>
      </c>
      <c r="K395" s="199" t="s">
        <v>1042</v>
      </c>
      <c r="L395" s="205" t="s">
        <v>5208</v>
      </c>
      <c r="M395" s="201" t="s">
        <v>1030</v>
      </c>
      <c r="N395" s="205" t="s">
        <v>652</v>
      </c>
      <c r="O395" s="205" t="s">
        <v>652</v>
      </c>
      <c r="P395" s="208" t="s">
        <v>987</v>
      </c>
      <c r="Q395" s="208" t="s">
        <v>988</v>
      </c>
      <c r="R395" s="208" t="s">
        <v>3035</v>
      </c>
    </row>
    <row r="396" spans="1:18" s="205" customFormat="1" x14ac:dyDescent="0.2">
      <c r="A396" s="205" t="s">
        <v>5209</v>
      </c>
      <c r="B396" s="205" t="s">
        <v>246</v>
      </c>
      <c r="C396" s="200">
        <v>45450</v>
      </c>
      <c r="D396" s="199" t="s">
        <v>152</v>
      </c>
      <c r="E396" s="206">
        <v>22716</v>
      </c>
      <c r="F396" s="206">
        <v>2272</v>
      </c>
      <c r="G396" s="206">
        <v>114</v>
      </c>
      <c r="H396" s="202">
        <f t="shared" si="6"/>
        <v>20558</v>
      </c>
      <c r="I396" s="205" t="s">
        <v>193</v>
      </c>
      <c r="J396" s="205" t="s">
        <v>23</v>
      </c>
      <c r="K396" s="199" t="s">
        <v>1042</v>
      </c>
      <c r="L396" s="205" t="s">
        <v>5210</v>
      </c>
      <c r="M396" s="201" t="s">
        <v>1030</v>
      </c>
      <c r="N396" s="205" t="s">
        <v>652</v>
      </c>
      <c r="O396" s="205" t="s">
        <v>652</v>
      </c>
      <c r="P396" s="208" t="s">
        <v>987</v>
      </c>
      <c r="Q396" s="208" t="s">
        <v>988</v>
      </c>
      <c r="R396" s="208" t="s">
        <v>3035</v>
      </c>
    </row>
    <row r="397" spans="1:18" s="205" customFormat="1" x14ac:dyDescent="0.2">
      <c r="A397" s="205" t="s">
        <v>5203</v>
      </c>
      <c r="B397" s="205" t="s">
        <v>123</v>
      </c>
      <c r="C397" s="200">
        <v>45450</v>
      </c>
      <c r="D397" s="199" t="s">
        <v>152</v>
      </c>
      <c r="E397" s="206">
        <v>20459</v>
      </c>
      <c r="F397" s="206">
        <v>2046</v>
      </c>
      <c r="G397" s="206">
        <v>102</v>
      </c>
      <c r="H397" s="202">
        <f t="shared" si="6"/>
        <v>18515</v>
      </c>
      <c r="I397" s="205" t="s">
        <v>193</v>
      </c>
      <c r="J397" s="205" t="s">
        <v>23</v>
      </c>
      <c r="K397" s="199" t="s">
        <v>1058</v>
      </c>
      <c r="L397" s="205" t="s">
        <v>5211</v>
      </c>
      <c r="M397" s="201" t="s">
        <v>1030</v>
      </c>
      <c r="N397" s="205" t="s">
        <v>652</v>
      </c>
      <c r="O397" s="205" t="s">
        <v>652</v>
      </c>
      <c r="P397" s="208" t="s">
        <v>664</v>
      </c>
      <c r="Q397" s="208" t="s">
        <v>665</v>
      </c>
      <c r="R397" s="208" t="s">
        <v>3035</v>
      </c>
    </row>
    <row r="398" spans="1:18" s="205" customFormat="1" x14ac:dyDescent="0.2">
      <c r="A398" s="205" t="s">
        <v>5205</v>
      </c>
      <c r="B398" s="205" t="s">
        <v>132</v>
      </c>
      <c r="C398" s="200">
        <v>45450</v>
      </c>
      <c r="D398" s="199" t="s">
        <v>152</v>
      </c>
      <c r="E398" s="206">
        <v>77634</v>
      </c>
      <c r="F398" s="206">
        <v>7763</v>
      </c>
      <c r="G398" s="206">
        <v>388</v>
      </c>
      <c r="H398" s="202">
        <f t="shared" si="6"/>
        <v>70259</v>
      </c>
      <c r="I398" s="205" t="s">
        <v>193</v>
      </c>
      <c r="J398" s="205" t="s">
        <v>23</v>
      </c>
      <c r="K398" s="199" t="s">
        <v>1058</v>
      </c>
      <c r="L398" s="205" t="s">
        <v>5212</v>
      </c>
      <c r="M398" s="201" t="s">
        <v>1030</v>
      </c>
      <c r="N398" s="205" t="s">
        <v>652</v>
      </c>
      <c r="O398" s="205" t="s">
        <v>652</v>
      </c>
      <c r="P398" s="208" t="s">
        <v>664</v>
      </c>
      <c r="Q398" s="208" t="s">
        <v>665</v>
      </c>
      <c r="R398" s="208" t="s">
        <v>3035</v>
      </c>
    </row>
    <row r="399" spans="1:18" s="205" customFormat="1" x14ac:dyDescent="0.2">
      <c r="A399" s="205" t="s">
        <v>5209</v>
      </c>
      <c r="B399" s="205" t="s">
        <v>123</v>
      </c>
      <c r="C399" s="200">
        <v>45450</v>
      </c>
      <c r="D399" s="199" t="s">
        <v>152</v>
      </c>
      <c r="E399" s="206">
        <v>20459</v>
      </c>
      <c r="F399" s="206">
        <v>2046</v>
      </c>
      <c r="G399" s="206">
        <v>102</v>
      </c>
      <c r="H399" s="202">
        <f t="shared" si="6"/>
        <v>18515</v>
      </c>
      <c r="I399" s="205" t="s">
        <v>193</v>
      </c>
      <c r="J399" s="205" t="s">
        <v>23</v>
      </c>
      <c r="K399" s="199" t="s">
        <v>1058</v>
      </c>
      <c r="L399" s="205" t="s">
        <v>5213</v>
      </c>
      <c r="M399" s="201" t="s">
        <v>1030</v>
      </c>
      <c r="N399" s="205" t="s">
        <v>652</v>
      </c>
      <c r="O399" s="205" t="s">
        <v>652</v>
      </c>
      <c r="P399" s="208" t="s">
        <v>664</v>
      </c>
      <c r="Q399" s="208" t="s">
        <v>665</v>
      </c>
      <c r="R399" s="208" t="s">
        <v>3035</v>
      </c>
    </row>
    <row r="400" spans="1:18" s="205" customFormat="1" x14ac:dyDescent="0.2">
      <c r="A400" s="205" t="s">
        <v>5207</v>
      </c>
      <c r="B400" s="205" t="s">
        <v>123</v>
      </c>
      <c r="C400" s="200">
        <v>45450</v>
      </c>
      <c r="D400" s="199" t="s">
        <v>152</v>
      </c>
      <c r="E400" s="206">
        <v>20459</v>
      </c>
      <c r="F400" s="206">
        <v>2046</v>
      </c>
      <c r="G400" s="206">
        <v>102</v>
      </c>
      <c r="H400" s="202">
        <f t="shared" si="6"/>
        <v>18515</v>
      </c>
      <c r="I400" s="205" t="s">
        <v>193</v>
      </c>
      <c r="J400" s="205" t="s">
        <v>23</v>
      </c>
      <c r="K400" s="199" t="s">
        <v>1058</v>
      </c>
      <c r="L400" s="205" t="s">
        <v>5214</v>
      </c>
      <c r="M400" s="201" t="s">
        <v>1030</v>
      </c>
      <c r="N400" s="205" t="s">
        <v>652</v>
      </c>
      <c r="O400" s="205" t="s">
        <v>652</v>
      </c>
      <c r="P400" s="208" t="s">
        <v>664</v>
      </c>
      <c r="Q400" s="208" t="s">
        <v>665</v>
      </c>
      <c r="R400" s="208" t="s">
        <v>3035</v>
      </c>
    </row>
    <row r="401" spans="1:18" s="205" customFormat="1" x14ac:dyDescent="0.2">
      <c r="A401" s="205" t="s">
        <v>5215</v>
      </c>
      <c r="B401" s="205" t="s">
        <v>5216</v>
      </c>
      <c r="C401" s="200">
        <v>45450</v>
      </c>
      <c r="D401" s="199" t="s">
        <v>152</v>
      </c>
      <c r="E401" s="206">
        <v>20459</v>
      </c>
      <c r="F401" s="206">
        <v>2046</v>
      </c>
      <c r="G401" s="206">
        <v>102</v>
      </c>
      <c r="H401" s="202">
        <f t="shared" si="6"/>
        <v>18515</v>
      </c>
      <c r="I401" s="205" t="s">
        <v>193</v>
      </c>
      <c r="J401" s="205" t="s">
        <v>23</v>
      </c>
      <c r="K401" s="199" t="s">
        <v>1042</v>
      </c>
      <c r="L401" s="205" t="s">
        <v>5217</v>
      </c>
      <c r="M401" s="201" t="s">
        <v>1030</v>
      </c>
      <c r="N401" s="205" t="s">
        <v>652</v>
      </c>
      <c r="O401" s="205" t="s">
        <v>652</v>
      </c>
      <c r="P401" s="208" t="s">
        <v>5218</v>
      </c>
      <c r="Q401" s="208" t="s">
        <v>5219</v>
      </c>
      <c r="R401" s="208" t="s">
        <v>3035</v>
      </c>
    </row>
    <row r="402" spans="1:18" s="205" customFormat="1" x14ac:dyDescent="0.2">
      <c r="A402" s="205" t="s">
        <v>5220</v>
      </c>
      <c r="B402" s="205" t="s">
        <v>246</v>
      </c>
      <c r="C402" s="200">
        <v>45450</v>
      </c>
      <c r="D402" s="199" t="s">
        <v>152</v>
      </c>
      <c r="E402" s="206">
        <v>44011</v>
      </c>
      <c r="F402" s="206">
        <v>4401</v>
      </c>
      <c r="G402" s="206">
        <v>220</v>
      </c>
      <c r="H402" s="202">
        <f t="shared" si="6"/>
        <v>39830</v>
      </c>
      <c r="I402" s="205" t="s">
        <v>193</v>
      </c>
      <c r="J402" s="205" t="s">
        <v>23</v>
      </c>
      <c r="K402" s="199" t="s">
        <v>1042</v>
      </c>
      <c r="L402" s="205" t="s">
        <v>5221</v>
      </c>
      <c r="M402" s="201" t="s">
        <v>1030</v>
      </c>
      <c r="N402" s="205" t="s">
        <v>652</v>
      </c>
      <c r="O402" s="205" t="s">
        <v>652</v>
      </c>
      <c r="P402" s="208" t="s">
        <v>987</v>
      </c>
      <c r="Q402" s="208" t="s">
        <v>988</v>
      </c>
      <c r="R402" s="208" t="s">
        <v>3035</v>
      </c>
    </row>
    <row r="403" spans="1:18" s="205" customFormat="1" x14ac:dyDescent="0.2">
      <c r="A403" s="205" t="s">
        <v>5220</v>
      </c>
      <c r="B403" s="205" t="s">
        <v>123</v>
      </c>
      <c r="C403" s="200">
        <v>45450</v>
      </c>
      <c r="D403" s="199" t="s">
        <v>152</v>
      </c>
      <c r="E403" s="206">
        <v>39684</v>
      </c>
      <c r="F403" s="206">
        <v>3968</v>
      </c>
      <c r="G403" s="206">
        <v>198</v>
      </c>
      <c r="H403" s="202">
        <f t="shared" si="6"/>
        <v>35914</v>
      </c>
      <c r="I403" s="205" t="s">
        <v>193</v>
      </c>
      <c r="J403" s="205" t="s">
        <v>23</v>
      </c>
      <c r="K403" s="199" t="s">
        <v>1058</v>
      </c>
      <c r="L403" s="205" t="s">
        <v>5222</v>
      </c>
      <c r="M403" s="201" t="s">
        <v>1030</v>
      </c>
      <c r="N403" s="205" t="s">
        <v>652</v>
      </c>
      <c r="O403" s="205" t="s">
        <v>652</v>
      </c>
      <c r="P403" s="208" t="s">
        <v>664</v>
      </c>
      <c r="Q403" s="208" t="s">
        <v>665</v>
      </c>
      <c r="R403" s="208" t="s">
        <v>3035</v>
      </c>
    </row>
    <row r="404" spans="1:18" s="205" customFormat="1" x14ac:dyDescent="0.2">
      <c r="A404" s="205" t="s">
        <v>5223</v>
      </c>
      <c r="B404" s="205" t="s">
        <v>284</v>
      </c>
      <c r="C404" s="200">
        <v>45450</v>
      </c>
      <c r="D404" s="199" t="s">
        <v>152</v>
      </c>
      <c r="E404" s="206">
        <v>127646</v>
      </c>
      <c r="F404" s="206">
        <v>12765</v>
      </c>
      <c r="G404" s="206">
        <v>638</v>
      </c>
      <c r="H404" s="202">
        <f t="shared" si="6"/>
        <v>115519</v>
      </c>
      <c r="I404" s="205" t="s">
        <v>193</v>
      </c>
      <c r="J404" s="205" t="s">
        <v>23</v>
      </c>
      <c r="K404" s="199" t="s">
        <v>1058</v>
      </c>
      <c r="L404" s="205" t="s">
        <v>5224</v>
      </c>
      <c r="M404" s="201" t="s">
        <v>1030</v>
      </c>
      <c r="N404" s="205" t="s">
        <v>652</v>
      </c>
      <c r="O404" s="205" t="s">
        <v>652</v>
      </c>
      <c r="P404" s="214" t="s">
        <v>987</v>
      </c>
      <c r="Q404" s="214" t="s">
        <v>988</v>
      </c>
      <c r="R404" s="214" t="s">
        <v>3035</v>
      </c>
    </row>
    <row r="405" spans="1:18" s="205" customFormat="1" x14ac:dyDescent="0.2">
      <c r="A405" s="205" t="s">
        <v>5225</v>
      </c>
      <c r="B405" s="205" t="s">
        <v>284</v>
      </c>
      <c r="C405" s="200">
        <v>45450</v>
      </c>
      <c r="D405" s="199" t="s">
        <v>152</v>
      </c>
      <c r="E405" s="206">
        <v>127646</v>
      </c>
      <c r="F405" s="206">
        <v>12765</v>
      </c>
      <c r="G405" s="206">
        <v>638</v>
      </c>
      <c r="H405" s="202">
        <f t="shared" si="6"/>
        <v>115519</v>
      </c>
      <c r="I405" s="205" t="s">
        <v>193</v>
      </c>
      <c r="J405" s="205" t="s">
        <v>23</v>
      </c>
      <c r="K405" s="199" t="s">
        <v>1058</v>
      </c>
      <c r="L405" s="205" t="s">
        <v>5226</v>
      </c>
      <c r="M405" s="201" t="s">
        <v>1030</v>
      </c>
      <c r="N405" s="205" t="s">
        <v>652</v>
      </c>
      <c r="O405" s="205" t="s">
        <v>652</v>
      </c>
      <c r="P405" s="214" t="s">
        <v>987</v>
      </c>
      <c r="Q405" s="214" t="s">
        <v>988</v>
      </c>
      <c r="R405" s="214" t="s">
        <v>3035</v>
      </c>
    </row>
    <row r="406" spans="1:18" s="205" customFormat="1" x14ac:dyDescent="0.2">
      <c r="A406" s="205" t="s">
        <v>5227</v>
      </c>
      <c r="B406" s="205" t="s">
        <v>248</v>
      </c>
      <c r="C406" s="200">
        <v>45450</v>
      </c>
      <c r="D406" s="199" t="s">
        <v>152</v>
      </c>
      <c r="E406" s="206">
        <v>57986</v>
      </c>
      <c r="F406" s="206">
        <v>5799</v>
      </c>
      <c r="G406" s="206">
        <v>290</v>
      </c>
      <c r="H406" s="202">
        <f t="shared" si="6"/>
        <v>52477</v>
      </c>
      <c r="I406" s="205" t="s">
        <v>193</v>
      </c>
      <c r="J406" s="205" t="s">
        <v>23</v>
      </c>
      <c r="K406" s="201" t="s">
        <v>1058</v>
      </c>
      <c r="L406" s="205" t="s">
        <v>5228</v>
      </c>
      <c r="M406" s="201" t="s">
        <v>1030</v>
      </c>
      <c r="N406" s="205" t="s">
        <v>652</v>
      </c>
      <c r="O406" s="205" t="s">
        <v>652</v>
      </c>
      <c r="P406" s="208" t="s">
        <v>677</v>
      </c>
      <c r="Q406" s="208" t="s">
        <v>678</v>
      </c>
      <c r="R406" s="208" t="s">
        <v>3035</v>
      </c>
    </row>
    <row r="407" spans="1:18" s="205" customFormat="1" x14ac:dyDescent="0.2">
      <c r="A407" s="205" t="s">
        <v>5229</v>
      </c>
      <c r="B407" s="205" t="s">
        <v>248</v>
      </c>
      <c r="C407" s="200">
        <v>45450</v>
      </c>
      <c r="D407" s="199" t="s">
        <v>152</v>
      </c>
      <c r="E407" s="206">
        <v>57986</v>
      </c>
      <c r="F407" s="206">
        <v>5799</v>
      </c>
      <c r="G407" s="206">
        <v>290</v>
      </c>
      <c r="H407" s="202">
        <f t="shared" si="6"/>
        <v>52477</v>
      </c>
      <c r="I407" s="205" t="s">
        <v>193</v>
      </c>
      <c r="J407" s="205" t="s">
        <v>23</v>
      </c>
      <c r="K407" s="201" t="s">
        <v>1028</v>
      </c>
      <c r="L407" s="205" t="s">
        <v>5230</v>
      </c>
      <c r="M407" s="201" t="s">
        <v>1030</v>
      </c>
      <c r="N407" s="205" t="s">
        <v>652</v>
      </c>
      <c r="O407" s="205" t="s">
        <v>652</v>
      </c>
      <c r="P407" s="208" t="s">
        <v>2191</v>
      </c>
      <c r="Q407" s="208" t="s">
        <v>2192</v>
      </c>
      <c r="R407" s="208" t="s">
        <v>3035</v>
      </c>
    </row>
    <row r="408" spans="1:18" s="205" customFormat="1" x14ac:dyDescent="0.2">
      <c r="A408" s="205" t="s">
        <v>5231</v>
      </c>
      <c r="B408" s="205" t="s">
        <v>250</v>
      </c>
      <c r="C408" s="200">
        <v>45450</v>
      </c>
      <c r="D408" s="199" t="s">
        <v>152</v>
      </c>
      <c r="E408" s="206">
        <v>85607</v>
      </c>
      <c r="F408" s="206">
        <v>8561</v>
      </c>
      <c r="G408" s="206">
        <v>428</v>
      </c>
      <c r="H408" s="202">
        <f t="shared" si="6"/>
        <v>77474</v>
      </c>
      <c r="I408" s="205" t="s">
        <v>193</v>
      </c>
      <c r="J408" s="205" t="s">
        <v>23</v>
      </c>
      <c r="K408" s="201" t="s">
        <v>1028</v>
      </c>
      <c r="L408" s="205" t="s">
        <v>5232</v>
      </c>
      <c r="M408" s="201" t="s">
        <v>1030</v>
      </c>
      <c r="N408" s="205" t="s">
        <v>652</v>
      </c>
      <c r="O408" s="205" t="s">
        <v>652</v>
      </c>
      <c r="P408" s="208" t="s">
        <v>2191</v>
      </c>
      <c r="Q408" s="208" t="s">
        <v>2192</v>
      </c>
      <c r="R408" s="208" t="s">
        <v>3035</v>
      </c>
    </row>
    <row r="409" spans="1:18" s="205" customFormat="1" x14ac:dyDescent="0.2">
      <c r="A409" s="205" t="s">
        <v>5233</v>
      </c>
      <c r="B409" s="205" t="s">
        <v>250</v>
      </c>
      <c r="C409" s="200">
        <v>45450</v>
      </c>
      <c r="D409" s="199" t="s">
        <v>152</v>
      </c>
      <c r="E409" s="206">
        <v>85607</v>
      </c>
      <c r="F409" s="206">
        <v>8561</v>
      </c>
      <c r="G409" s="206">
        <v>428</v>
      </c>
      <c r="H409" s="202">
        <f t="shared" si="6"/>
        <v>77474</v>
      </c>
      <c r="I409" s="205" t="s">
        <v>193</v>
      </c>
      <c r="J409" s="205" t="s">
        <v>23</v>
      </c>
      <c r="K409" s="201" t="s">
        <v>1028</v>
      </c>
      <c r="L409" s="205" t="s">
        <v>5234</v>
      </c>
      <c r="M409" s="201" t="s">
        <v>1030</v>
      </c>
      <c r="N409" s="205" t="s">
        <v>652</v>
      </c>
      <c r="O409" s="205" t="s">
        <v>652</v>
      </c>
      <c r="P409" s="208" t="s">
        <v>2191</v>
      </c>
      <c r="Q409" s="208" t="s">
        <v>2192</v>
      </c>
      <c r="R409" s="208" t="s">
        <v>3035</v>
      </c>
    </row>
    <row r="410" spans="1:18" s="205" customFormat="1" x14ac:dyDescent="0.2">
      <c r="A410" s="205" t="s">
        <v>5235</v>
      </c>
      <c r="B410" s="205" t="s">
        <v>250</v>
      </c>
      <c r="C410" s="200">
        <v>45450</v>
      </c>
      <c r="D410" s="199" t="s">
        <v>152</v>
      </c>
      <c r="E410" s="206">
        <v>85607</v>
      </c>
      <c r="F410" s="206">
        <v>8561</v>
      </c>
      <c r="G410" s="206">
        <v>428</v>
      </c>
      <c r="H410" s="202">
        <f t="shared" si="6"/>
        <v>77474</v>
      </c>
      <c r="I410" s="205" t="s">
        <v>193</v>
      </c>
      <c r="J410" s="205" t="s">
        <v>23</v>
      </c>
      <c r="K410" s="201" t="s">
        <v>1028</v>
      </c>
      <c r="L410" s="205" t="s">
        <v>5236</v>
      </c>
      <c r="M410" s="201" t="s">
        <v>1030</v>
      </c>
      <c r="N410" s="205" t="s">
        <v>652</v>
      </c>
      <c r="O410" s="205" t="s">
        <v>652</v>
      </c>
      <c r="P410" s="208" t="s">
        <v>2191</v>
      </c>
      <c r="Q410" s="208" t="s">
        <v>2192</v>
      </c>
      <c r="R410" s="208" t="s">
        <v>3035</v>
      </c>
    </row>
    <row r="411" spans="1:18" s="205" customFormat="1" x14ac:dyDescent="0.2">
      <c r="A411" s="205" t="s">
        <v>5237</v>
      </c>
      <c r="B411" s="205" t="s">
        <v>250</v>
      </c>
      <c r="C411" s="200">
        <v>45450</v>
      </c>
      <c r="D411" s="199" t="s">
        <v>152</v>
      </c>
      <c r="E411" s="206">
        <v>85607</v>
      </c>
      <c r="F411" s="206">
        <v>8561</v>
      </c>
      <c r="G411" s="206">
        <v>428</v>
      </c>
      <c r="H411" s="202">
        <f t="shared" si="6"/>
        <v>77474</v>
      </c>
      <c r="I411" s="205" t="s">
        <v>193</v>
      </c>
      <c r="J411" s="205" t="s">
        <v>23</v>
      </c>
      <c r="K411" s="201" t="s">
        <v>1042</v>
      </c>
      <c r="L411" s="205" t="s">
        <v>5238</v>
      </c>
      <c r="M411" s="201" t="s">
        <v>1030</v>
      </c>
      <c r="N411" s="205" t="s">
        <v>652</v>
      </c>
      <c r="O411" s="205" t="s">
        <v>652</v>
      </c>
      <c r="P411" s="208" t="s">
        <v>987</v>
      </c>
      <c r="Q411" s="208" t="s">
        <v>988</v>
      </c>
      <c r="R411" s="216" t="s">
        <v>3035</v>
      </c>
    </row>
    <row r="412" spans="1:18" s="205" customFormat="1" x14ac:dyDescent="0.2">
      <c r="A412" s="205" t="s">
        <v>5239</v>
      </c>
      <c r="B412" s="205" t="s">
        <v>250</v>
      </c>
      <c r="C412" s="200">
        <v>45450</v>
      </c>
      <c r="D412" s="199" t="s">
        <v>152</v>
      </c>
      <c r="E412" s="206">
        <v>85607</v>
      </c>
      <c r="F412" s="206">
        <v>8561</v>
      </c>
      <c r="G412" s="206">
        <v>428</v>
      </c>
      <c r="H412" s="202">
        <f t="shared" si="6"/>
        <v>77474</v>
      </c>
      <c r="I412" s="205" t="s">
        <v>193</v>
      </c>
      <c r="J412" s="205" t="s">
        <v>23</v>
      </c>
      <c r="K412" s="201" t="s">
        <v>1042</v>
      </c>
      <c r="L412" s="205" t="s">
        <v>5240</v>
      </c>
      <c r="M412" s="201" t="s">
        <v>1030</v>
      </c>
      <c r="N412" s="205" t="s">
        <v>652</v>
      </c>
      <c r="O412" s="205" t="s">
        <v>652</v>
      </c>
      <c r="P412" s="208" t="s">
        <v>987</v>
      </c>
      <c r="Q412" s="208" t="s">
        <v>988</v>
      </c>
      <c r="R412" s="208" t="s">
        <v>3035</v>
      </c>
    </row>
    <row r="413" spans="1:18" s="205" customFormat="1" x14ac:dyDescent="0.2">
      <c r="A413" s="205" t="s">
        <v>5241</v>
      </c>
      <c r="B413" s="205" t="s">
        <v>246</v>
      </c>
      <c r="C413" s="200">
        <v>45450</v>
      </c>
      <c r="D413" s="199" t="s">
        <v>152</v>
      </c>
      <c r="E413" s="206">
        <v>22716</v>
      </c>
      <c r="F413" s="206">
        <v>2272</v>
      </c>
      <c r="G413" s="206">
        <v>114</v>
      </c>
      <c r="H413" s="202">
        <f t="shared" si="6"/>
        <v>20558</v>
      </c>
      <c r="I413" s="205" t="s">
        <v>193</v>
      </c>
      <c r="J413" s="205" t="s">
        <v>23</v>
      </c>
      <c r="K413" s="199" t="s">
        <v>1042</v>
      </c>
      <c r="L413" s="205" t="s">
        <v>5242</v>
      </c>
      <c r="M413" s="201" t="s">
        <v>1030</v>
      </c>
      <c r="N413" s="205" t="s">
        <v>652</v>
      </c>
      <c r="O413" s="205" t="s">
        <v>652</v>
      </c>
      <c r="P413" s="208" t="s">
        <v>987</v>
      </c>
      <c r="Q413" s="208" t="s">
        <v>988</v>
      </c>
      <c r="R413" s="208" t="s">
        <v>3035</v>
      </c>
    </row>
    <row r="414" spans="1:18" s="205" customFormat="1" x14ac:dyDescent="0.2">
      <c r="A414" s="205" t="s">
        <v>5243</v>
      </c>
      <c r="B414" s="205" t="s">
        <v>246</v>
      </c>
      <c r="C414" s="200">
        <v>45450</v>
      </c>
      <c r="D414" s="199" t="s">
        <v>152</v>
      </c>
      <c r="E414" s="206">
        <v>22716</v>
      </c>
      <c r="F414" s="206">
        <v>2272</v>
      </c>
      <c r="G414" s="206">
        <v>114</v>
      </c>
      <c r="H414" s="202">
        <f t="shared" si="6"/>
        <v>20558</v>
      </c>
      <c r="I414" s="205" t="s">
        <v>193</v>
      </c>
      <c r="J414" s="205" t="s">
        <v>23</v>
      </c>
      <c r="K414" s="199" t="s">
        <v>1042</v>
      </c>
      <c r="L414" s="205" t="s">
        <v>5244</v>
      </c>
      <c r="M414" s="201" t="s">
        <v>1030</v>
      </c>
      <c r="N414" s="205" t="s">
        <v>652</v>
      </c>
      <c r="O414" s="205" t="s">
        <v>652</v>
      </c>
      <c r="P414" s="208" t="s">
        <v>987</v>
      </c>
      <c r="Q414" s="208" t="s">
        <v>988</v>
      </c>
      <c r="R414" s="208" t="s">
        <v>3035</v>
      </c>
    </row>
    <row r="415" spans="1:18" s="205" customFormat="1" x14ac:dyDescent="0.2">
      <c r="A415" s="205" t="s">
        <v>5237</v>
      </c>
      <c r="B415" s="205" t="s">
        <v>132</v>
      </c>
      <c r="C415" s="200">
        <v>45450</v>
      </c>
      <c r="D415" s="199" t="s">
        <v>152</v>
      </c>
      <c r="E415" s="206">
        <v>77634</v>
      </c>
      <c r="F415" s="206">
        <v>7763</v>
      </c>
      <c r="G415" s="206">
        <v>388</v>
      </c>
      <c r="H415" s="202">
        <f t="shared" si="6"/>
        <v>70259</v>
      </c>
      <c r="I415" s="205" t="s">
        <v>193</v>
      </c>
      <c r="J415" s="205" t="s">
        <v>23</v>
      </c>
      <c r="K415" s="199" t="s">
        <v>1058</v>
      </c>
      <c r="L415" s="205" t="s">
        <v>5245</v>
      </c>
      <c r="M415" s="201" t="s">
        <v>1030</v>
      </c>
      <c r="N415" s="205" t="s">
        <v>652</v>
      </c>
      <c r="O415" s="205" t="s">
        <v>652</v>
      </c>
      <c r="P415" s="208" t="s">
        <v>664</v>
      </c>
      <c r="Q415" s="208" t="s">
        <v>665</v>
      </c>
      <c r="R415" s="208" t="s">
        <v>3035</v>
      </c>
    </row>
    <row r="416" spans="1:18" s="205" customFormat="1" x14ac:dyDescent="0.2">
      <c r="A416" s="205" t="s">
        <v>5239</v>
      </c>
      <c r="B416" s="205" t="s">
        <v>132</v>
      </c>
      <c r="C416" s="200">
        <v>45450</v>
      </c>
      <c r="D416" s="199" t="s">
        <v>152</v>
      </c>
      <c r="E416" s="206">
        <v>77634</v>
      </c>
      <c r="F416" s="206">
        <v>7763</v>
      </c>
      <c r="G416" s="206">
        <v>388</v>
      </c>
      <c r="H416" s="202">
        <f t="shared" si="6"/>
        <v>70259</v>
      </c>
      <c r="I416" s="205" t="s">
        <v>193</v>
      </c>
      <c r="J416" s="205" t="s">
        <v>23</v>
      </c>
      <c r="K416" s="199" t="s">
        <v>1058</v>
      </c>
      <c r="L416" s="205" t="s">
        <v>5246</v>
      </c>
      <c r="M416" s="201" t="s">
        <v>1030</v>
      </c>
      <c r="N416" s="205" t="s">
        <v>652</v>
      </c>
      <c r="O416" s="205" t="s">
        <v>652</v>
      </c>
      <c r="P416" s="208" t="s">
        <v>664</v>
      </c>
      <c r="Q416" s="208" t="s">
        <v>665</v>
      </c>
      <c r="R416" s="208" t="s">
        <v>3035</v>
      </c>
    </row>
    <row r="417" spans="1:18" s="205" customFormat="1" x14ac:dyDescent="0.2">
      <c r="A417" s="205" t="s">
        <v>5243</v>
      </c>
      <c r="B417" s="205" t="s">
        <v>123</v>
      </c>
      <c r="C417" s="200">
        <v>45450</v>
      </c>
      <c r="D417" s="199" t="s">
        <v>152</v>
      </c>
      <c r="E417" s="206">
        <v>20459</v>
      </c>
      <c r="F417" s="206">
        <v>2046</v>
      </c>
      <c r="G417" s="206">
        <v>102</v>
      </c>
      <c r="H417" s="202">
        <f t="shared" si="6"/>
        <v>18515</v>
      </c>
      <c r="I417" s="205" t="s">
        <v>193</v>
      </c>
      <c r="J417" s="205" t="s">
        <v>23</v>
      </c>
      <c r="K417" s="199" t="s">
        <v>1058</v>
      </c>
      <c r="L417" s="205" t="s">
        <v>5247</v>
      </c>
      <c r="M417" s="201" t="s">
        <v>1030</v>
      </c>
      <c r="N417" s="205" t="s">
        <v>652</v>
      </c>
      <c r="O417" s="205" t="s">
        <v>652</v>
      </c>
      <c r="P417" s="208" t="s">
        <v>664</v>
      </c>
      <c r="Q417" s="208" t="s">
        <v>665</v>
      </c>
      <c r="R417" s="208" t="s">
        <v>3035</v>
      </c>
    </row>
    <row r="418" spans="1:18" s="205" customFormat="1" x14ac:dyDescent="0.2">
      <c r="A418" s="205" t="s">
        <v>5241</v>
      </c>
      <c r="B418" s="205" t="s">
        <v>123</v>
      </c>
      <c r="C418" s="200">
        <v>45450</v>
      </c>
      <c r="D418" s="199" t="s">
        <v>152</v>
      </c>
      <c r="E418" s="206">
        <v>20459</v>
      </c>
      <c r="F418" s="206">
        <v>2046</v>
      </c>
      <c r="G418" s="206">
        <v>102</v>
      </c>
      <c r="H418" s="202">
        <f t="shared" si="6"/>
        <v>18515</v>
      </c>
      <c r="I418" s="205" t="s">
        <v>193</v>
      </c>
      <c r="J418" s="205" t="s">
        <v>23</v>
      </c>
      <c r="K418" s="199" t="s">
        <v>1058</v>
      </c>
      <c r="L418" s="205" t="s">
        <v>5248</v>
      </c>
      <c r="M418" s="201" t="s">
        <v>1030</v>
      </c>
      <c r="N418" s="205" t="s">
        <v>652</v>
      </c>
      <c r="O418" s="205" t="s">
        <v>652</v>
      </c>
      <c r="P418" s="208" t="s">
        <v>664</v>
      </c>
      <c r="Q418" s="208" t="s">
        <v>665</v>
      </c>
      <c r="R418" s="208" t="s">
        <v>3035</v>
      </c>
    </row>
    <row r="419" spans="1:18" s="205" customFormat="1" x14ac:dyDescent="0.2">
      <c r="A419" s="205" t="s">
        <v>5249</v>
      </c>
      <c r="B419" s="205" t="s">
        <v>250</v>
      </c>
      <c r="C419" s="200">
        <v>45450</v>
      </c>
      <c r="D419" s="199" t="s">
        <v>152</v>
      </c>
      <c r="E419" s="206">
        <v>85607</v>
      </c>
      <c r="F419" s="206">
        <v>8561</v>
      </c>
      <c r="G419" s="206">
        <v>428</v>
      </c>
      <c r="H419" s="202">
        <f t="shared" si="6"/>
        <v>77474</v>
      </c>
      <c r="I419" s="205" t="s">
        <v>193</v>
      </c>
      <c r="J419" s="205" t="s">
        <v>23</v>
      </c>
      <c r="K419" s="199" t="s">
        <v>1028</v>
      </c>
      <c r="L419" s="205" t="s">
        <v>5250</v>
      </c>
      <c r="M419" s="201" t="s">
        <v>1030</v>
      </c>
      <c r="N419" s="205" t="s">
        <v>652</v>
      </c>
      <c r="O419" s="205" t="s">
        <v>652</v>
      </c>
      <c r="P419" s="208" t="s">
        <v>2191</v>
      </c>
      <c r="Q419" s="208" t="s">
        <v>2192</v>
      </c>
      <c r="R419" s="208" t="s">
        <v>3035</v>
      </c>
    </row>
    <row r="420" spans="1:18" s="205" customFormat="1" x14ac:dyDescent="0.2">
      <c r="A420" s="205" t="s">
        <v>5251</v>
      </c>
      <c r="B420" s="205" t="s">
        <v>250</v>
      </c>
      <c r="C420" s="200">
        <v>45450</v>
      </c>
      <c r="D420" s="199" t="s">
        <v>152</v>
      </c>
      <c r="E420" s="206">
        <v>120957</v>
      </c>
      <c r="F420" s="206">
        <v>12096</v>
      </c>
      <c r="G420" s="206">
        <v>605</v>
      </c>
      <c r="H420" s="202">
        <f t="shared" si="6"/>
        <v>109466</v>
      </c>
      <c r="I420" s="205" t="s">
        <v>193</v>
      </c>
      <c r="J420" s="205" t="s">
        <v>23</v>
      </c>
      <c r="K420" s="199" t="s">
        <v>1028</v>
      </c>
      <c r="L420" s="205" t="s">
        <v>5252</v>
      </c>
      <c r="M420" s="201" t="s">
        <v>1030</v>
      </c>
      <c r="N420" s="205" t="s">
        <v>652</v>
      </c>
      <c r="O420" s="205" t="s">
        <v>652</v>
      </c>
      <c r="P420" s="214" t="s">
        <v>2191</v>
      </c>
      <c r="Q420" s="214" t="s">
        <v>2192</v>
      </c>
      <c r="R420" s="214" t="s">
        <v>3035</v>
      </c>
    </row>
    <row r="421" spans="1:18" s="205" customFormat="1" x14ac:dyDescent="0.2">
      <c r="A421" s="209" t="s">
        <v>5253</v>
      </c>
      <c r="B421" s="209" t="s">
        <v>250</v>
      </c>
      <c r="C421" s="210">
        <v>45450</v>
      </c>
      <c r="D421" s="199" t="s">
        <v>152</v>
      </c>
      <c r="E421" s="211">
        <v>120957</v>
      </c>
      <c r="F421" s="211">
        <v>12096</v>
      </c>
      <c r="G421" s="211">
        <v>605</v>
      </c>
      <c r="H421" s="202">
        <f t="shared" si="6"/>
        <v>109466</v>
      </c>
      <c r="I421" s="209" t="s">
        <v>193</v>
      </c>
      <c r="J421" s="209" t="s">
        <v>23</v>
      </c>
      <c r="K421" s="201" t="s">
        <v>1028</v>
      </c>
      <c r="L421" s="209" t="s">
        <v>5254</v>
      </c>
      <c r="M421" s="201" t="s">
        <v>1030</v>
      </c>
      <c r="N421" s="209" t="s">
        <v>652</v>
      </c>
      <c r="O421" s="209" t="s">
        <v>652</v>
      </c>
      <c r="P421" s="213" t="s">
        <v>2191</v>
      </c>
      <c r="Q421" s="213" t="s">
        <v>2192</v>
      </c>
      <c r="R421" s="213" t="s">
        <v>3035</v>
      </c>
    </row>
    <row r="422" spans="1:18" s="205" customFormat="1" x14ac:dyDescent="0.2">
      <c r="A422" s="209" t="s">
        <v>222</v>
      </c>
      <c r="B422" s="209" t="s">
        <v>826</v>
      </c>
      <c r="C422" s="210">
        <v>45450</v>
      </c>
      <c r="D422" s="199" t="s">
        <v>152</v>
      </c>
      <c r="E422" s="211">
        <v>29217</v>
      </c>
      <c r="F422" s="211">
        <v>2922</v>
      </c>
      <c r="G422" s="211">
        <v>146</v>
      </c>
      <c r="H422" s="202">
        <f t="shared" si="6"/>
        <v>26441</v>
      </c>
      <c r="I422" s="209" t="s">
        <v>44</v>
      </c>
      <c r="J422" s="209" t="s">
        <v>23</v>
      </c>
      <c r="K422" s="201" t="s">
        <v>1042</v>
      </c>
      <c r="L422" s="209" t="s">
        <v>5255</v>
      </c>
      <c r="M422" s="201" t="s">
        <v>1030</v>
      </c>
      <c r="N422" s="209" t="s">
        <v>652</v>
      </c>
      <c r="O422" s="209" t="s">
        <v>652</v>
      </c>
      <c r="P422" s="213" t="s">
        <v>683</v>
      </c>
      <c r="Q422" s="213" t="s">
        <v>827</v>
      </c>
      <c r="R422" s="213" t="s">
        <v>3035</v>
      </c>
    </row>
    <row r="423" spans="1:18" s="205" customFormat="1" x14ac:dyDescent="0.2">
      <c r="A423" s="205" t="s">
        <v>5256</v>
      </c>
      <c r="B423" s="205" t="s">
        <v>250</v>
      </c>
      <c r="C423" s="200">
        <v>45451</v>
      </c>
      <c r="D423" s="199" t="s">
        <v>152</v>
      </c>
      <c r="E423" s="206">
        <v>120957</v>
      </c>
      <c r="F423" s="206">
        <v>12096</v>
      </c>
      <c r="G423" s="206">
        <v>605</v>
      </c>
      <c r="H423" s="202">
        <f t="shared" si="6"/>
        <v>109466</v>
      </c>
      <c r="I423" s="205" t="s">
        <v>193</v>
      </c>
      <c r="J423" s="205" t="s">
        <v>23</v>
      </c>
      <c r="K423" s="201" t="s">
        <v>1028</v>
      </c>
      <c r="L423" s="205" t="s">
        <v>5257</v>
      </c>
      <c r="M423" s="201" t="s">
        <v>1030</v>
      </c>
      <c r="N423" s="205" t="s">
        <v>652</v>
      </c>
      <c r="O423" s="205" t="s">
        <v>652</v>
      </c>
      <c r="P423" s="208" t="s">
        <v>2191</v>
      </c>
      <c r="Q423" s="208" t="s">
        <v>2192</v>
      </c>
      <c r="R423" s="208" t="s">
        <v>4875</v>
      </c>
    </row>
    <row r="424" spans="1:18" s="205" customFormat="1" x14ac:dyDescent="0.2">
      <c r="A424" s="209" t="s">
        <v>5258</v>
      </c>
      <c r="B424" s="209" t="s">
        <v>250</v>
      </c>
      <c r="C424" s="210">
        <v>45451</v>
      </c>
      <c r="D424" s="199" t="s">
        <v>152</v>
      </c>
      <c r="E424" s="211">
        <v>85607</v>
      </c>
      <c r="F424" s="211">
        <v>8561</v>
      </c>
      <c r="G424" s="211">
        <v>428</v>
      </c>
      <c r="H424" s="202">
        <f t="shared" si="6"/>
        <v>77474</v>
      </c>
      <c r="I424" s="209" t="s">
        <v>193</v>
      </c>
      <c r="J424" s="209" t="s">
        <v>23</v>
      </c>
      <c r="K424" s="201" t="s">
        <v>1028</v>
      </c>
      <c r="L424" s="209" t="s">
        <v>5259</v>
      </c>
      <c r="M424" s="201" t="s">
        <v>1030</v>
      </c>
      <c r="N424" s="209" t="s">
        <v>652</v>
      </c>
      <c r="O424" s="209" t="s">
        <v>652</v>
      </c>
      <c r="P424" s="213" t="s">
        <v>2191</v>
      </c>
      <c r="Q424" s="213" t="s">
        <v>2192</v>
      </c>
      <c r="R424" s="213" t="s">
        <v>4875</v>
      </c>
    </row>
    <row r="425" spans="1:18" s="205" customFormat="1" x14ac:dyDescent="0.2">
      <c r="A425" s="205" t="s">
        <v>5260</v>
      </c>
      <c r="B425" s="205" t="s">
        <v>250</v>
      </c>
      <c r="C425" s="200">
        <v>45451</v>
      </c>
      <c r="D425" s="199" t="s">
        <v>152</v>
      </c>
      <c r="E425" s="206">
        <v>94377</v>
      </c>
      <c r="F425" s="206">
        <v>9438</v>
      </c>
      <c r="G425" s="206">
        <v>472</v>
      </c>
      <c r="H425" s="202">
        <f t="shared" si="6"/>
        <v>85411</v>
      </c>
      <c r="I425" s="205" t="s">
        <v>193</v>
      </c>
      <c r="J425" s="205" t="s">
        <v>23</v>
      </c>
      <c r="K425" s="201" t="s">
        <v>1028</v>
      </c>
      <c r="L425" s="205" t="s">
        <v>5261</v>
      </c>
      <c r="M425" s="201" t="s">
        <v>1030</v>
      </c>
      <c r="N425" s="205" t="s">
        <v>652</v>
      </c>
      <c r="O425" s="205" t="s">
        <v>652</v>
      </c>
      <c r="P425" s="208" t="s">
        <v>2191</v>
      </c>
      <c r="Q425" s="208" t="s">
        <v>2192</v>
      </c>
      <c r="R425" s="208" t="s">
        <v>4875</v>
      </c>
    </row>
    <row r="426" spans="1:18" s="205" customFormat="1" x14ac:dyDescent="0.2">
      <c r="A426" s="205" t="s">
        <v>5262</v>
      </c>
      <c r="B426" s="205" t="s">
        <v>250</v>
      </c>
      <c r="C426" s="200">
        <v>45451</v>
      </c>
      <c r="D426" s="199" t="s">
        <v>152</v>
      </c>
      <c r="E426" s="206">
        <v>120957</v>
      </c>
      <c r="F426" s="206">
        <v>12096</v>
      </c>
      <c r="G426" s="206">
        <v>605</v>
      </c>
      <c r="H426" s="202">
        <f t="shared" si="6"/>
        <v>109466</v>
      </c>
      <c r="I426" s="205" t="s">
        <v>193</v>
      </c>
      <c r="J426" s="205" t="s">
        <v>23</v>
      </c>
      <c r="K426" s="201" t="s">
        <v>1028</v>
      </c>
      <c r="L426" s="205" t="s">
        <v>5263</v>
      </c>
      <c r="M426" s="201" t="s">
        <v>1030</v>
      </c>
      <c r="N426" s="205" t="s">
        <v>652</v>
      </c>
      <c r="O426" s="205" t="s">
        <v>652</v>
      </c>
      <c r="P426" s="208" t="s">
        <v>2191</v>
      </c>
      <c r="Q426" s="208" t="s">
        <v>2192</v>
      </c>
      <c r="R426" s="208" t="s">
        <v>4875</v>
      </c>
    </row>
    <row r="427" spans="1:18" s="205" customFormat="1" x14ac:dyDescent="0.2">
      <c r="A427" s="205" t="s">
        <v>5264</v>
      </c>
      <c r="B427" s="205" t="s">
        <v>250</v>
      </c>
      <c r="C427" s="200">
        <v>45451</v>
      </c>
      <c r="D427" s="199" t="s">
        <v>152</v>
      </c>
      <c r="E427" s="206">
        <v>120957</v>
      </c>
      <c r="F427" s="206">
        <v>12096</v>
      </c>
      <c r="G427" s="206">
        <v>605</v>
      </c>
      <c r="H427" s="202">
        <f t="shared" si="6"/>
        <v>109466</v>
      </c>
      <c r="I427" s="205" t="s">
        <v>193</v>
      </c>
      <c r="J427" s="205" t="s">
        <v>23</v>
      </c>
      <c r="K427" s="201" t="s">
        <v>1028</v>
      </c>
      <c r="L427" s="205" t="s">
        <v>5265</v>
      </c>
      <c r="M427" s="201" t="s">
        <v>1030</v>
      </c>
      <c r="N427" s="205" t="s">
        <v>652</v>
      </c>
      <c r="O427" s="205" t="s">
        <v>652</v>
      </c>
      <c r="P427" s="208" t="s">
        <v>2191</v>
      </c>
      <c r="Q427" s="208" t="s">
        <v>2192</v>
      </c>
      <c r="R427" s="208" t="s">
        <v>4875</v>
      </c>
    </row>
    <row r="428" spans="1:18" s="205" customFormat="1" x14ac:dyDescent="0.2">
      <c r="A428" s="205" t="s">
        <v>5266</v>
      </c>
      <c r="B428" s="205" t="s">
        <v>250</v>
      </c>
      <c r="C428" s="200">
        <v>45451</v>
      </c>
      <c r="D428" s="199" t="s">
        <v>152</v>
      </c>
      <c r="E428" s="206">
        <v>94377</v>
      </c>
      <c r="F428" s="206">
        <v>9438</v>
      </c>
      <c r="G428" s="206">
        <v>472</v>
      </c>
      <c r="H428" s="202">
        <f t="shared" si="6"/>
        <v>85411</v>
      </c>
      <c r="I428" s="205" t="s">
        <v>193</v>
      </c>
      <c r="J428" s="205" t="s">
        <v>23</v>
      </c>
      <c r="K428" s="201" t="s">
        <v>1028</v>
      </c>
      <c r="L428" s="205" t="s">
        <v>5267</v>
      </c>
      <c r="M428" s="201" t="s">
        <v>1030</v>
      </c>
      <c r="N428" s="205" t="s">
        <v>652</v>
      </c>
      <c r="O428" s="205" t="s">
        <v>652</v>
      </c>
      <c r="P428" s="208" t="s">
        <v>2191</v>
      </c>
      <c r="Q428" s="208" t="s">
        <v>2192</v>
      </c>
      <c r="R428" s="208" t="s">
        <v>4875</v>
      </c>
    </row>
    <row r="429" spans="1:18" s="205" customFormat="1" x14ac:dyDescent="0.2">
      <c r="A429" s="205" t="s">
        <v>5268</v>
      </c>
      <c r="B429" s="205" t="s">
        <v>250</v>
      </c>
      <c r="C429" s="200">
        <v>45451</v>
      </c>
      <c r="D429" s="199" t="s">
        <v>152</v>
      </c>
      <c r="E429" s="206">
        <v>85607</v>
      </c>
      <c r="F429" s="206">
        <v>8561</v>
      </c>
      <c r="G429" s="206">
        <v>428</v>
      </c>
      <c r="H429" s="202">
        <f t="shared" si="6"/>
        <v>77474</v>
      </c>
      <c r="I429" s="205" t="s">
        <v>193</v>
      </c>
      <c r="J429" s="205" t="s">
        <v>23</v>
      </c>
      <c r="K429" s="201" t="s">
        <v>1028</v>
      </c>
      <c r="L429" s="205" t="s">
        <v>5269</v>
      </c>
      <c r="M429" s="201" t="s">
        <v>1030</v>
      </c>
      <c r="N429" s="205" t="s">
        <v>652</v>
      </c>
      <c r="O429" s="205" t="s">
        <v>652</v>
      </c>
      <c r="P429" s="208" t="s">
        <v>2191</v>
      </c>
      <c r="Q429" s="208" t="s">
        <v>2192</v>
      </c>
      <c r="R429" s="208" t="s">
        <v>4875</v>
      </c>
    </row>
    <row r="430" spans="1:18" s="205" customFormat="1" x14ac:dyDescent="0.2">
      <c r="A430" s="205" t="s">
        <v>5270</v>
      </c>
      <c r="B430" s="205" t="s">
        <v>246</v>
      </c>
      <c r="C430" s="200">
        <v>45451</v>
      </c>
      <c r="D430" s="199" t="s">
        <v>152</v>
      </c>
      <c r="E430" s="206">
        <v>22716</v>
      </c>
      <c r="F430" s="206">
        <v>2272</v>
      </c>
      <c r="G430" s="206">
        <v>114</v>
      </c>
      <c r="H430" s="202">
        <f t="shared" si="6"/>
        <v>20558</v>
      </c>
      <c r="I430" s="205" t="s">
        <v>193</v>
      </c>
      <c r="J430" s="205" t="s">
        <v>23</v>
      </c>
      <c r="K430" s="201" t="s">
        <v>1042</v>
      </c>
      <c r="L430" s="205" t="s">
        <v>5271</v>
      </c>
      <c r="M430" s="201" t="s">
        <v>1030</v>
      </c>
      <c r="N430" s="205" t="s">
        <v>652</v>
      </c>
      <c r="O430" s="205" t="s">
        <v>652</v>
      </c>
      <c r="P430" s="208" t="s">
        <v>987</v>
      </c>
      <c r="Q430" s="208" t="s">
        <v>988</v>
      </c>
      <c r="R430" s="208" t="s">
        <v>4875</v>
      </c>
    </row>
    <row r="431" spans="1:18" s="205" customFormat="1" x14ac:dyDescent="0.2">
      <c r="A431" s="205" t="s">
        <v>5272</v>
      </c>
      <c r="B431" s="205" t="s">
        <v>250</v>
      </c>
      <c r="C431" s="200">
        <v>45451</v>
      </c>
      <c r="D431" s="199" t="s">
        <v>152</v>
      </c>
      <c r="E431" s="206">
        <v>85607</v>
      </c>
      <c r="F431" s="206">
        <v>8561</v>
      </c>
      <c r="G431" s="206">
        <v>428</v>
      </c>
      <c r="H431" s="202">
        <f t="shared" si="6"/>
        <v>77474</v>
      </c>
      <c r="I431" s="205" t="s">
        <v>193</v>
      </c>
      <c r="J431" s="205" t="s">
        <v>23</v>
      </c>
      <c r="K431" s="199" t="s">
        <v>1028</v>
      </c>
      <c r="L431" s="205" t="s">
        <v>5273</v>
      </c>
      <c r="M431" s="201" t="s">
        <v>1030</v>
      </c>
      <c r="N431" s="205" t="s">
        <v>652</v>
      </c>
      <c r="O431" s="205" t="s">
        <v>652</v>
      </c>
      <c r="P431" s="208" t="s">
        <v>2191</v>
      </c>
      <c r="Q431" s="208" t="s">
        <v>2192</v>
      </c>
      <c r="R431" s="208" t="s">
        <v>4875</v>
      </c>
    </row>
    <row r="432" spans="1:18" s="205" customFormat="1" x14ac:dyDescent="0.2">
      <c r="A432" s="205" t="s">
        <v>5270</v>
      </c>
      <c r="B432" s="205" t="s">
        <v>123</v>
      </c>
      <c r="C432" s="200">
        <v>45451</v>
      </c>
      <c r="D432" s="199" t="s">
        <v>152</v>
      </c>
      <c r="E432" s="206">
        <v>28248</v>
      </c>
      <c r="F432" s="206">
        <v>2825</v>
      </c>
      <c r="G432" s="206">
        <v>141</v>
      </c>
      <c r="H432" s="202">
        <f t="shared" si="6"/>
        <v>25564</v>
      </c>
      <c r="I432" s="205" t="s">
        <v>193</v>
      </c>
      <c r="J432" s="205" t="s">
        <v>23</v>
      </c>
      <c r="K432" s="199" t="s">
        <v>1058</v>
      </c>
      <c r="L432" s="205" t="s">
        <v>5274</v>
      </c>
      <c r="M432" s="201" t="s">
        <v>1030</v>
      </c>
      <c r="N432" s="205" t="s">
        <v>652</v>
      </c>
      <c r="O432" s="205" t="s">
        <v>652</v>
      </c>
      <c r="P432" s="214" t="s">
        <v>664</v>
      </c>
      <c r="Q432" s="214" t="s">
        <v>665</v>
      </c>
      <c r="R432" s="214" t="s">
        <v>4875</v>
      </c>
    </row>
    <row r="433" spans="1:18" s="205" customFormat="1" x14ac:dyDescent="0.2">
      <c r="A433" s="209" t="s">
        <v>5275</v>
      </c>
      <c r="B433" s="209" t="s">
        <v>250</v>
      </c>
      <c r="C433" s="210">
        <v>45451</v>
      </c>
      <c r="D433" s="199" t="s">
        <v>152</v>
      </c>
      <c r="E433" s="211">
        <v>85607</v>
      </c>
      <c r="F433" s="211">
        <v>8561</v>
      </c>
      <c r="G433" s="211">
        <v>428</v>
      </c>
      <c r="H433" s="202">
        <f t="shared" si="6"/>
        <v>77474</v>
      </c>
      <c r="I433" s="209" t="s">
        <v>193</v>
      </c>
      <c r="J433" s="209" t="s">
        <v>23</v>
      </c>
      <c r="K433" s="201" t="s">
        <v>1028</v>
      </c>
      <c r="L433" s="209" t="s">
        <v>5276</v>
      </c>
      <c r="M433" s="201" t="s">
        <v>1030</v>
      </c>
      <c r="N433" s="209" t="s">
        <v>652</v>
      </c>
      <c r="O433" s="209" t="s">
        <v>652</v>
      </c>
      <c r="P433" s="213" t="s">
        <v>2191</v>
      </c>
      <c r="Q433" s="213" t="s">
        <v>2192</v>
      </c>
      <c r="R433" s="213" t="s">
        <v>4875</v>
      </c>
    </row>
    <row r="434" spans="1:18" s="205" customFormat="1" x14ac:dyDescent="0.2">
      <c r="A434" s="209" t="s">
        <v>5277</v>
      </c>
      <c r="B434" s="209" t="s">
        <v>250</v>
      </c>
      <c r="C434" s="210">
        <v>45451</v>
      </c>
      <c r="D434" s="199" t="s">
        <v>152</v>
      </c>
      <c r="E434" s="211">
        <v>85607</v>
      </c>
      <c r="F434" s="211">
        <v>8561</v>
      </c>
      <c r="G434" s="211">
        <v>428</v>
      </c>
      <c r="H434" s="202">
        <f t="shared" si="6"/>
        <v>77474</v>
      </c>
      <c r="I434" s="209" t="s">
        <v>193</v>
      </c>
      <c r="J434" s="209" t="s">
        <v>23</v>
      </c>
      <c r="K434" s="201" t="s">
        <v>1028</v>
      </c>
      <c r="L434" s="209" t="s">
        <v>5278</v>
      </c>
      <c r="M434" s="201" t="s">
        <v>1030</v>
      </c>
      <c r="N434" s="209" t="s">
        <v>652</v>
      </c>
      <c r="O434" s="209" t="s">
        <v>652</v>
      </c>
      <c r="P434" s="213" t="s">
        <v>2191</v>
      </c>
      <c r="Q434" s="213" t="s">
        <v>2192</v>
      </c>
      <c r="R434" s="213" t="s">
        <v>4875</v>
      </c>
    </row>
    <row r="435" spans="1:18" s="205" customFormat="1" x14ac:dyDescent="0.2">
      <c r="A435" s="205" t="s">
        <v>5279</v>
      </c>
      <c r="B435" s="205" t="s">
        <v>250</v>
      </c>
      <c r="C435" s="200">
        <v>45451</v>
      </c>
      <c r="D435" s="199" t="s">
        <v>152</v>
      </c>
      <c r="E435" s="206">
        <v>85607</v>
      </c>
      <c r="F435" s="206">
        <v>8561</v>
      </c>
      <c r="G435" s="206">
        <v>428</v>
      </c>
      <c r="H435" s="202">
        <f t="shared" si="6"/>
        <v>77474</v>
      </c>
      <c r="I435" s="205" t="s">
        <v>193</v>
      </c>
      <c r="J435" s="205" t="s">
        <v>23</v>
      </c>
      <c r="K435" s="201" t="s">
        <v>1042</v>
      </c>
      <c r="L435" s="205" t="s">
        <v>5280</v>
      </c>
      <c r="M435" s="201" t="s">
        <v>1030</v>
      </c>
      <c r="N435" s="205" t="s">
        <v>652</v>
      </c>
      <c r="O435" s="205" t="s">
        <v>652</v>
      </c>
      <c r="P435" s="208" t="s">
        <v>987</v>
      </c>
      <c r="Q435" s="208" t="s">
        <v>988</v>
      </c>
      <c r="R435" s="208" t="s">
        <v>4875</v>
      </c>
    </row>
    <row r="436" spans="1:18" s="205" customFormat="1" x14ac:dyDescent="0.2">
      <c r="A436" s="205" t="s">
        <v>5279</v>
      </c>
      <c r="B436" s="205" t="s">
        <v>5281</v>
      </c>
      <c r="C436" s="200">
        <v>45451</v>
      </c>
      <c r="D436" s="199" t="s">
        <v>152</v>
      </c>
      <c r="E436" s="206">
        <v>54926</v>
      </c>
      <c r="F436" s="206">
        <v>5493</v>
      </c>
      <c r="G436" s="206">
        <v>275</v>
      </c>
      <c r="H436" s="202">
        <f t="shared" si="6"/>
        <v>49708</v>
      </c>
      <c r="I436" s="205" t="s">
        <v>193</v>
      </c>
      <c r="J436" s="205" t="s">
        <v>23</v>
      </c>
      <c r="K436" s="201" t="s">
        <v>1058</v>
      </c>
      <c r="L436" s="205" t="s">
        <v>5282</v>
      </c>
      <c r="M436" s="201" t="s">
        <v>1030</v>
      </c>
      <c r="N436" s="205" t="s">
        <v>652</v>
      </c>
      <c r="O436" s="205" t="s">
        <v>652</v>
      </c>
      <c r="P436" s="208" t="s">
        <v>664</v>
      </c>
      <c r="Q436" s="208" t="s">
        <v>665</v>
      </c>
      <c r="R436" s="208" t="s">
        <v>4875</v>
      </c>
    </row>
    <row r="437" spans="1:18" s="205" customFormat="1" x14ac:dyDescent="0.2">
      <c r="A437" s="205" t="s">
        <v>5283</v>
      </c>
      <c r="B437" s="205" t="s">
        <v>5284</v>
      </c>
      <c r="C437" s="200">
        <v>45453</v>
      </c>
      <c r="D437" s="199" t="s">
        <v>152</v>
      </c>
      <c r="E437" s="206">
        <v>84856</v>
      </c>
      <c r="F437" s="206">
        <v>8486</v>
      </c>
      <c r="G437" s="206">
        <v>424</v>
      </c>
      <c r="H437" s="202">
        <f t="shared" si="6"/>
        <v>76794</v>
      </c>
      <c r="I437" s="205" t="s">
        <v>373</v>
      </c>
      <c r="J437" s="205" t="s">
        <v>23</v>
      </c>
      <c r="K437" s="201" t="s">
        <v>1058</v>
      </c>
      <c r="L437" s="205" t="s">
        <v>5285</v>
      </c>
      <c r="M437" s="201" t="s">
        <v>1030</v>
      </c>
      <c r="N437" s="205" t="s">
        <v>652</v>
      </c>
      <c r="O437" s="205" t="s">
        <v>652</v>
      </c>
      <c r="P437" s="216" t="s">
        <v>1534</v>
      </c>
      <c r="Q437" s="216" t="s">
        <v>3748</v>
      </c>
      <c r="R437" s="216" t="s">
        <v>4438</v>
      </c>
    </row>
    <row r="438" spans="1:18" s="205" customFormat="1" x14ac:dyDescent="0.2">
      <c r="A438" s="205" t="s">
        <v>5286</v>
      </c>
      <c r="B438" s="205" t="s">
        <v>5287</v>
      </c>
      <c r="C438" s="200">
        <v>45453</v>
      </c>
      <c r="D438" s="199" t="s">
        <v>152</v>
      </c>
      <c r="E438" s="206">
        <v>14609</v>
      </c>
      <c r="F438" s="206">
        <v>1461</v>
      </c>
      <c r="G438" s="206">
        <v>73</v>
      </c>
      <c r="H438" s="202">
        <f t="shared" si="6"/>
        <v>13221</v>
      </c>
      <c r="I438" s="205" t="s">
        <v>373</v>
      </c>
      <c r="J438" s="205" t="s">
        <v>23</v>
      </c>
      <c r="K438" s="201" t="s">
        <v>1058</v>
      </c>
      <c r="L438" s="205" t="s">
        <v>5288</v>
      </c>
      <c r="M438" s="201" t="s">
        <v>1030</v>
      </c>
      <c r="N438" s="205" t="s">
        <v>652</v>
      </c>
      <c r="O438" s="205" t="s">
        <v>652</v>
      </c>
      <c r="P438" s="216" t="s">
        <v>1534</v>
      </c>
      <c r="Q438" s="216" t="s">
        <v>3748</v>
      </c>
      <c r="R438" s="216" t="s">
        <v>4438</v>
      </c>
    </row>
    <row r="439" spans="1:18" s="205" customFormat="1" x14ac:dyDescent="0.2">
      <c r="A439" s="205" t="s">
        <v>303</v>
      </c>
      <c r="B439" s="205" t="s">
        <v>5289</v>
      </c>
      <c r="C439" s="200">
        <v>45453</v>
      </c>
      <c r="D439" s="199" t="s">
        <v>152</v>
      </c>
      <c r="E439" s="206">
        <v>989568</v>
      </c>
      <c r="F439" s="206">
        <v>98957</v>
      </c>
      <c r="G439" s="206">
        <v>4948</v>
      </c>
      <c r="H439" s="202">
        <f t="shared" si="6"/>
        <v>895559</v>
      </c>
      <c r="I439" s="205" t="s">
        <v>22</v>
      </c>
      <c r="J439" s="205" t="s">
        <v>23</v>
      </c>
      <c r="K439" s="201" t="s">
        <v>1028</v>
      </c>
      <c r="L439" s="205" t="s">
        <v>5290</v>
      </c>
      <c r="M439" s="201" t="s">
        <v>1030</v>
      </c>
      <c r="N439" s="205" t="s">
        <v>652</v>
      </c>
      <c r="O439" s="205" t="s">
        <v>652</v>
      </c>
      <c r="P439" s="208" t="s">
        <v>1534</v>
      </c>
      <c r="Q439" s="208" t="s">
        <v>3748</v>
      </c>
      <c r="R439" s="208" t="s">
        <v>4481</v>
      </c>
    </row>
    <row r="440" spans="1:18" s="205" customFormat="1" x14ac:dyDescent="0.2">
      <c r="A440" s="205" t="s">
        <v>5291</v>
      </c>
      <c r="B440" s="205" t="s">
        <v>5292</v>
      </c>
      <c r="C440" s="200">
        <v>45453</v>
      </c>
      <c r="D440" s="199" t="s">
        <v>152</v>
      </c>
      <c r="E440" s="206">
        <v>67877</v>
      </c>
      <c r="F440" s="206">
        <v>6788</v>
      </c>
      <c r="G440" s="206">
        <v>339</v>
      </c>
      <c r="H440" s="202">
        <f t="shared" si="6"/>
        <v>61428</v>
      </c>
      <c r="I440" s="205" t="s">
        <v>66</v>
      </c>
      <c r="J440" s="205" t="s">
        <v>23</v>
      </c>
      <c r="K440" s="199" t="s">
        <v>1028</v>
      </c>
      <c r="L440" s="205" t="s">
        <v>5293</v>
      </c>
      <c r="M440" s="201" t="s">
        <v>1030</v>
      </c>
      <c r="N440" s="205" t="s">
        <v>652</v>
      </c>
      <c r="O440" s="205" t="s">
        <v>652</v>
      </c>
      <c r="P440" s="208" t="s">
        <v>3035</v>
      </c>
      <c r="Q440" s="208" t="s">
        <v>4490</v>
      </c>
      <c r="R440" s="208" t="s">
        <v>4481</v>
      </c>
    </row>
    <row r="441" spans="1:18" s="205" customFormat="1" x14ac:dyDescent="0.2">
      <c r="A441" s="205" t="s">
        <v>131</v>
      </c>
      <c r="B441" s="205" t="s">
        <v>603</v>
      </c>
      <c r="C441" s="200">
        <v>45453</v>
      </c>
      <c r="D441" s="199" t="s">
        <v>152</v>
      </c>
      <c r="E441" s="206">
        <v>12209</v>
      </c>
      <c r="F441" s="206">
        <v>1221</v>
      </c>
      <c r="G441" s="206">
        <v>61</v>
      </c>
      <c r="H441" s="202">
        <f t="shared" si="6"/>
        <v>11049</v>
      </c>
      <c r="I441" s="205" t="s">
        <v>44</v>
      </c>
      <c r="J441" s="205" t="s">
        <v>23</v>
      </c>
      <c r="K441" s="199" t="s">
        <v>1042</v>
      </c>
      <c r="L441" s="205" t="s">
        <v>5294</v>
      </c>
      <c r="M441" s="201" t="s">
        <v>1030</v>
      </c>
      <c r="N441" s="205" t="s">
        <v>652</v>
      </c>
      <c r="O441" s="205" t="s">
        <v>652</v>
      </c>
      <c r="P441" s="208" t="s">
        <v>653</v>
      </c>
      <c r="Q441" s="208" t="s">
        <v>654</v>
      </c>
      <c r="R441" s="208" t="s">
        <v>4481</v>
      </c>
    </row>
    <row r="442" spans="1:18" s="205" customFormat="1" x14ac:dyDescent="0.2">
      <c r="A442" s="209" t="s">
        <v>63</v>
      </c>
      <c r="B442" s="209" t="s">
        <v>555</v>
      </c>
      <c r="C442" s="210">
        <v>45453</v>
      </c>
      <c r="D442" s="199" t="s">
        <v>152</v>
      </c>
      <c r="E442" s="211">
        <v>310457</v>
      </c>
      <c r="F442" s="206">
        <v>31046</v>
      </c>
      <c r="G442" s="206">
        <v>1552</v>
      </c>
      <c r="H442" s="202">
        <f t="shared" si="6"/>
        <v>280963</v>
      </c>
      <c r="I442" s="209" t="s">
        <v>22</v>
      </c>
      <c r="J442" s="209" t="s">
        <v>23</v>
      </c>
      <c r="K442" s="201" t="s">
        <v>1042</v>
      </c>
      <c r="L442" s="209" t="s">
        <v>5295</v>
      </c>
      <c r="M442" s="201" t="s">
        <v>1030</v>
      </c>
      <c r="N442" s="209" t="s">
        <v>652</v>
      </c>
      <c r="O442" s="209" t="s">
        <v>652</v>
      </c>
      <c r="P442" s="213" t="s">
        <v>858</v>
      </c>
      <c r="Q442" s="213" t="s">
        <v>859</v>
      </c>
      <c r="R442" s="213" t="s">
        <v>4481</v>
      </c>
    </row>
    <row r="443" spans="1:18" s="205" customFormat="1" x14ac:dyDescent="0.2">
      <c r="A443" s="205" t="s">
        <v>1281</v>
      </c>
      <c r="B443" s="205" t="s">
        <v>1282</v>
      </c>
      <c r="C443" s="200">
        <v>45453</v>
      </c>
      <c r="D443" s="199" t="s">
        <v>152</v>
      </c>
      <c r="E443" s="206">
        <v>68873</v>
      </c>
      <c r="F443" s="206">
        <v>6887</v>
      </c>
      <c r="G443" s="206">
        <v>344</v>
      </c>
      <c r="H443" s="202">
        <f t="shared" si="6"/>
        <v>62330</v>
      </c>
      <c r="I443" s="205" t="s">
        <v>22</v>
      </c>
      <c r="J443" s="205" t="s">
        <v>23</v>
      </c>
      <c r="K443" s="201" t="s">
        <v>1042</v>
      </c>
      <c r="L443" s="205" t="s">
        <v>5296</v>
      </c>
      <c r="M443" s="201" t="s">
        <v>1284</v>
      </c>
      <c r="N443" s="205" t="s">
        <v>1285</v>
      </c>
      <c r="O443" s="205" t="s">
        <v>1286</v>
      </c>
      <c r="P443" s="208" t="s">
        <v>786</v>
      </c>
      <c r="Q443" s="208" t="s">
        <v>962</v>
      </c>
      <c r="R443" s="208" t="s">
        <v>4481</v>
      </c>
    </row>
    <row r="444" spans="1:18" s="205" customFormat="1" x14ac:dyDescent="0.2">
      <c r="A444" s="205" t="s">
        <v>197</v>
      </c>
      <c r="B444" s="205" t="s">
        <v>927</v>
      </c>
      <c r="C444" s="200">
        <v>45453</v>
      </c>
      <c r="D444" s="199" t="s">
        <v>152</v>
      </c>
      <c r="E444" s="206">
        <v>59715</v>
      </c>
      <c r="F444" s="206">
        <v>5972</v>
      </c>
      <c r="G444" s="206">
        <v>299</v>
      </c>
      <c r="H444" s="202">
        <f t="shared" si="6"/>
        <v>54042</v>
      </c>
      <c r="I444" s="205" t="s">
        <v>59</v>
      </c>
      <c r="J444" s="205" t="s">
        <v>23</v>
      </c>
      <c r="K444" s="201" t="s">
        <v>1151</v>
      </c>
      <c r="L444" s="205" t="s">
        <v>5297</v>
      </c>
      <c r="M444" s="201" t="s">
        <v>1030</v>
      </c>
      <c r="N444" s="205" t="s">
        <v>2719</v>
      </c>
      <c r="O444" s="205" t="s">
        <v>1187</v>
      </c>
      <c r="P444" s="208" t="s">
        <v>722</v>
      </c>
      <c r="Q444" s="208" t="s">
        <v>723</v>
      </c>
      <c r="R444" s="208" t="s">
        <v>4481</v>
      </c>
    </row>
    <row r="445" spans="1:18" s="205" customFormat="1" x14ac:dyDescent="0.2">
      <c r="A445" s="205" t="s">
        <v>376</v>
      </c>
      <c r="B445" s="205" t="s">
        <v>4957</v>
      </c>
      <c r="C445" s="200">
        <v>45453</v>
      </c>
      <c r="D445" s="199" t="s">
        <v>152</v>
      </c>
      <c r="E445" s="206">
        <v>28444</v>
      </c>
      <c r="F445" s="206">
        <v>2844</v>
      </c>
      <c r="G445" s="206">
        <v>142</v>
      </c>
      <c r="H445" s="202">
        <f t="shared" si="6"/>
        <v>25742</v>
      </c>
      <c r="I445" s="205" t="s">
        <v>38</v>
      </c>
      <c r="J445" s="205" t="s">
        <v>23</v>
      </c>
      <c r="K445" s="201" t="s">
        <v>1042</v>
      </c>
      <c r="L445" s="205" t="s">
        <v>5298</v>
      </c>
      <c r="M445" s="201" t="s">
        <v>1030</v>
      </c>
      <c r="N445" s="205" t="s">
        <v>4959</v>
      </c>
      <c r="O445" s="205" t="s">
        <v>1115</v>
      </c>
      <c r="P445" s="208" t="s">
        <v>501</v>
      </c>
      <c r="Q445" s="208" t="s">
        <v>698</v>
      </c>
      <c r="R445" s="208" t="s">
        <v>4481</v>
      </c>
    </row>
    <row r="446" spans="1:18" s="205" customFormat="1" x14ac:dyDescent="0.2">
      <c r="A446" s="205" t="s">
        <v>194</v>
      </c>
      <c r="B446" s="205" t="s">
        <v>548</v>
      </c>
      <c r="C446" s="200">
        <v>45453</v>
      </c>
      <c r="D446" s="199" t="s">
        <v>152</v>
      </c>
      <c r="E446" s="206">
        <v>20110</v>
      </c>
      <c r="F446" s="206">
        <v>2011</v>
      </c>
      <c r="G446" s="206">
        <v>101</v>
      </c>
      <c r="H446" s="202">
        <f t="shared" si="6"/>
        <v>18200</v>
      </c>
      <c r="I446" s="205" t="s">
        <v>52</v>
      </c>
      <c r="J446" s="205" t="s">
        <v>23</v>
      </c>
      <c r="K446" s="201" t="s">
        <v>1042</v>
      </c>
      <c r="L446" s="205" t="s">
        <v>5299</v>
      </c>
      <c r="M446" s="201" t="s">
        <v>1030</v>
      </c>
      <c r="N446" s="205" t="s">
        <v>652</v>
      </c>
      <c r="O446" s="205" t="s">
        <v>652</v>
      </c>
      <c r="P446" s="208" t="s">
        <v>837</v>
      </c>
      <c r="Q446" s="208" t="s">
        <v>838</v>
      </c>
      <c r="R446" s="208" t="s">
        <v>4481</v>
      </c>
    </row>
    <row r="447" spans="1:18" s="205" customFormat="1" x14ac:dyDescent="0.2">
      <c r="A447" s="205" t="s">
        <v>116</v>
      </c>
      <c r="B447" s="205" t="s">
        <v>524</v>
      </c>
      <c r="C447" s="200">
        <v>45453</v>
      </c>
      <c r="D447" s="199" t="s">
        <v>152</v>
      </c>
      <c r="E447" s="206">
        <v>35363</v>
      </c>
      <c r="F447" s="206">
        <v>3536</v>
      </c>
      <c r="G447" s="206">
        <v>177</v>
      </c>
      <c r="H447" s="202">
        <f t="shared" si="6"/>
        <v>32004</v>
      </c>
      <c r="I447" s="205" t="s">
        <v>44</v>
      </c>
      <c r="J447" s="205" t="s">
        <v>23</v>
      </c>
      <c r="K447" s="201" t="s">
        <v>1042</v>
      </c>
      <c r="L447" s="205" t="s">
        <v>5300</v>
      </c>
      <c r="M447" s="201" t="s">
        <v>1030</v>
      </c>
      <c r="N447" s="205" t="s">
        <v>652</v>
      </c>
      <c r="O447" s="205" t="s">
        <v>652</v>
      </c>
      <c r="P447" s="208" t="s">
        <v>666</v>
      </c>
      <c r="Q447" s="208" t="s">
        <v>667</v>
      </c>
      <c r="R447" s="208" t="s">
        <v>4481</v>
      </c>
    </row>
    <row r="448" spans="1:18" s="205" customFormat="1" x14ac:dyDescent="0.2">
      <c r="A448" s="205" t="s">
        <v>221</v>
      </c>
      <c r="B448" s="205" t="s">
        <v>1062</v>
      </c>
      <c r="C448" s="200">
        <v>45453</v>
      </c>
      <c r="D448" s="199" t="s">
        <v>152</v>
      </c>
      <c r="E448" s="206">
        <v>50648</v>
      </c>
      <c r="F448" s="206">
        <v>5065</v>
      </c>
      <c r="G448" s="206">
        <v>253</v>
      </c>
      <c r="H448" s="202">
        <f t="shared" si="6"/>
        <v>45836</v>
      </c>
      <c r="I448" s="205" t="s">
        <v>224</v>
      </c>
      <c r="J448" s="205" t="s">
        <v>23</v>
      </c>
      <c r="K448" s="201" t="s">
        <v>1042</v>
      </c>
      <c r="L448" s="205" t="s">
        <v>5301</v>
      </c>
      <c r="M448" s="201" t="s">
        <v>1030</v>
      </c>
      <c r="N448" s="205" t="s">
        <v>652</v>
      </c>
      <c r="O448" s="205" t="s">
        <v>652</v>
      </c>
      <c r="P448" s="208" t="s">
        <v>987</v>
      </c>
      <c r="Q448" s="208" t="s">
        <v>988</v>
      </c>
      <c r="R448" s="208" t="s">
        <v>4481</v>
      </c>
    </row>
    <row r="449" spans="1:18" s="205" customFormat="1" x14ac:dyDescent="0.2">
      <c r="A449" s="205" t="s">
        <v>69</v>
      </c>
      <c r="B449" s="205" t="s">
        <v>607</v>
      </c>
      <c r="C449" s="200">
        <v>45453</v>
      </c>
      <c r="D449" s="199" t="s">
        <v>152</v>
      </c>
      <c r="E449" s="206">
        <v>182791</v>
      </c>
      <c r="F449" s="206">
        <v>18279</v>
      </c>
      <c r="G449" s="206">
        <v>914</v>
      </c>
      <c r="H449" s="202">
        <f t="shared" si="6"/>
        <v>165426</v>
      </c>
      <c r="I449" s="205" t="s">
        <v>38</v>
      </c>
      <c r="J449" s="205" t="s">
        <v>23</v>
      </c>
      <c r="K449" s="201" t="s">
        <v>1042</v>
      </c>
      <c r="L449" s="205" t="s">
        <v>5302</v>
      </c>
      <c r="M449" s="201" t="s">
        <v>1030</v>
      </c>
      <c r="N449" s="205" t="s">
        <v>652</v>
      </c>
      <c r="O449" s="205" t="s">
        <v>652</v>
      </c>
      <c r="P449" s="208" t="s">
        <v>653</v>
      </c>
      <c r="Q449" s="208" t="s">
        <v>654</v>
      </c>
      <c r="R449" s="208" t="s">
        <v>4481</v>
      </c>
    </row>
    <row r="450" spans="1:18" s="205" customFormat="1" x14ac:dyDescent="0.2">
      <c r="A450" s="205" t="s">
        <v>207</v>
      </c>
      <c r="B450" s="205" t="s">
        <v>916</v>
      </c>
      <c r="C450" s="200">
        <v>45453</v>
      </c>
      <c r="D450" s="199" t="s">
        <v>152</v>
      </c>
      <c r="E450" s="206">
        <v>31237</v>
      </c>
      <c r="F450" s="206">
        <v>3124</v>
      </c>
      <c r="G450" s="206">
        <v>156</v>
      </c>
      <c r="H450" s="202">
        <f t="shared" ref="H450:H513" si="7">E450+G450-F450</f>
        <v>28269</v>
      </c>
      <c r="I450" s="205" t="s">
        <v>44</v>
      </c>
      <c r="J450" s="205" t="s">
        <v>23</v>
      </c>
      <c r="K450" s="201" t="s">
        <v>1042</v>
      </c>
      <c r="L450" s="205" t="s">
        <v>5303</v>
      </c>
      <c r="M450" s="201" t="s">
        <v>1030</v>
      </c>
      <c r="N450" s="205" t="s">
        <v>652</v>
      </c>
      <c r="O450" s="205" t="s">
        <v>652</v>
      </c>
      <c r="P450" s="208" t="s">
        <v>663</v>
      </c>
      <c r="Q450" s="208" t="s">
        <v>745</v>
      </c>
      <c r="R450" s="208" t="s">
        <v>4481</v>
      </c>
    </row>
    <row r="451" spans="1:18" s="205" customFormat="1" x14ac:dyDescent="0.2">
      <c r="A451" s="205" t="s">
        <v>5304</v>
      </c>
      <c r="B451" s="205" t="s">
        <v>3373</v>
      </c>
      <c r="C451" s="200">
        <v>45453</v>
      </c>
      <c r="D451" s="199" t="s">
        <v>152</v>
      </c>
      <c r="E451" s="206">
        <v>8151</v>
      </c>
      <c r="F451" s="206">
        <v>815</v>
      </c>
      <c r="G451" s="206">
        <v>41</v>
      </c>
      <c r="H451" s="202">
        <f t="shared" si="7"/>
        <v>7377</v>
      </c>
      <c r="I451" s="205" t="s">
        <v>101</v>
      </c>
      <c r="J451" s="205" t="s">
        <v>23</v>
      </c>
      <c r="K451" s="201" t="s">
        <v>1042</v>
      </c>
      <c r="L451" s="205" t="s">
        <v>5305</v>
      </c>
      <c r="M451" s="201" t="s">
        <v>1030</v>
      </c>
      <c r="N451" s="205" t="s">
        <v>652</v>
      </c>
      <c r="O451" s="205" t="s">
        <v>652</v>
      </c>
      <c r="P451" s="208" t="s">
        <v>3226</v>
      </c>
      <c r="Q451" s="208" t="s">
        <v>3375</v>
      </c>
      <c r="R451" s="208" t="s">
        <v>4481</v>
      </c>
    </row>
    <row r="452" spans="1:18" s="205" customFormat="1" x14ac:dyDescent="0.2">
      <c r="A452" s="205" t="s">
        <v>77</v>
      </c>
      <c r="B452" s="205" t="s">
        <v>369</v>
      </c>
      <c r="C452" s="200">
        <v>45453</v>
      </c>
      <c r="D452" s="199" t="s">
        <v>152</v>
      </c>
      <c r="E452" s="206">
        <v>17391</v>
      </c>
      <c r="F452" s="206">
        <v>1739</v>
      </c>
      <c r="G452" s="206">
        <v>87</v>
      </c>
      <c r="H452" s="202">
        <f t="shared" si="7"/>
        <v>15739</v>
      </c>
      <c r="I452" s="205" t="s">
        <v>33</v>
      </c>
      <c r="J452" s="205" t="s">
        <v>23</v>
      </c>
      <c r="K452" s="201" t="s">
        <v>1141</v>
      </c>
      <c r="L452" s="205" t="s">
        <v>5306</v>
      </c>
      <c r="M452" s="201" t="s">
        <v>652</v>
      </c>
      <c r="N452" s="205" t="s">
        <v>652</v>
      </c>
      <c r="O452" s="205" t="s">
        <v>652</v>
      </c>
      <c r="P452" s="208" t="s">
        <v>503</v>
      </c>
      <c r="Q452" s="208" t="s">
        <v>766</v>
      </c>
      <c r="R452" s="208" t="s">
        <v>4481</v>
      </c>
    </row>
    <row r="453" spans="1:18" s="205" customFormat="1" x14ac:dyDescent="0.2">
      <c r="A453" s="205" t="s">
        <v>5307</v>
      </c>
      <c r="B453" s="205" t="s">
        <v>282</v>
      </c>
      <c r="C453" s="200">
        <v>45453</v>
      </c>
      <c r="D453" s="199" t="s">
        <v>152</v>
      </c>
      <c r="E453" s="206">
        <v>118001</v>
      </c>
      <c r="F453" s="206">
        <v>11800</v>
      </c>
      <c r="G453" s="206">
        <v>590</v>
      </c>
      <c r="H453" s="202">
        <f t="shared" si="7"/>
        <v>106791</v>
      </c>
      <c r="I453" s="205" t="s">
        <v>193</v>
      </c>
      <c r="J453" s="205" t="s">
        <v>23</v>
      </c>
      <c r="K453" s="201" t="s">
        <v>1042</v>
      </c>
      <c r="L453" s="205" t="s">
        <v>5308</v>
      </c>
      <c r="M453" s="201" t="s">
        <v>1030</v>
      </c>
      <c r="N453" s="205" t="s">
        <v>652</v>
      </c>
      <c r="O453" s="205" t="s">
        <v>652</v>
      </c>
      <c r="P453" s="208" t="s">
        <v>677</v>
      </c>
      <c r="Q453" s="208" t="s">
        <v>678</v>
      </c>
      <c r="R453" s="208" t="s">
        <v>4481</v>
      </c>
    </row>
    <row r="454" spans="1:18" s="205" customFormat="1" x14ac:dyDescent="0.2">
      <c r="A454" s="205" t="s">
        <v>5309</v>
      </c>
      <c r="B454" s="205" t="s">
        <v>246</v>
      </c>
      <c r="C454" s="200">
        <v>45453</v>
      </c>
      <c r="D454" s="199" t="s">
        <v>152</v>
      </c>
      <c r="E454" s="206">
        <v>44011</v>
      </c>
      <c r="F454" s="206">
        <v>4401</v>
      </c>
      <c r="G454" s="206">
        <v>220</v>
      </c>
      <c r="H454" s="202">
        <f t="shared" si="7"/>
        <v>39830</v>
      </c>
      <c r="I454" s="205" t="s">
        <v>193</v>
      </c>
      <c r="J454" s="205" t="s">
        <v>23</v>
      </c>
      <c r="K454" s="201" t="s">
        <v>1028</v>
      </c>
      <c r="L454" s="205" t="s">
        <v>5310</v>
      </c>
      <c r="M454" s="201" t="s">
        <v>1030</v>
      </c>
      <c r="N454" s="205" t="s">
        <v>652</v>
      </c>
      <c r="O454" s="205" t="s">
        <v>652</v>
      </c>
      <c r="P454" s="208" t="s">
        <v>2191</v>
      </c>
      <c r="Q454" s="208" t="s">
        <v>2192</v>
      </c>
      <c r="R454" s="208" t="s">
        <v>4481</v>
      </c>
    </row>
    <row r="455" spans="1:18" s="205" customFormat="1" x14ac:dyDescent="0.2">
      <c r="A455" s="205" t="s">
        <v>5311</v>
      </c>
      <c r="B455" s="205" t="s">
        <v>246</v>
      </c>
      <c r="C455" s="200">
        <v>45453</v>
      </c>
      <c r="D455" s="199" t="s">
        <v>152</v>
      </c>
      <c r="E455" s="206">
        <v>44011</v>
      </c>
      <c r="F455" s="206">
        <v>4401</v>
      </c>
      <c r="G455" s="206">
        <v>220</v>
      </c>
      <c r="H455" s="202">
        <f t="shared" si="7"/>
        <v>39830</v>
      </c>
      <c r="I455" s="205" t="s">
        <v>193</v>
      </c>
      <c r="J455" s="205" t="s">
        <v>23</v>
      </c>
      <c r="K455" s="201" t="s">
        <v>1028</v>
      </c>
      <c r="L455" s="205" t="s">
        <v>5312</v>
      </c>
      <c r="M455" s="201" t="s">
        <v>1030</v>
      </c>
      <c r="N455" s="205" t="s">
        <v>652</v>
      </c>
      <c r="O455" s="205" t="s">
        <v>652</v>
      </c>
      <c r="P455" s="208" t="s">
        <v>2191</v>
      </c>
      <c r="Q455" s="208" t="s">
        <v>2192</v>
      </c>
      <c r="R455" s="208" t="s">
        <v>4481</v>
      </c>
    </row>
    <row r="456" spans="1:18" s="205" customFormat="1" x14ac:dyDescent="0.2">
      <c r="A456" s="205" t="s">
        <v>5313</v>
      </c>
      <c r="B456" s="205" t="s">
        <v>246</v>
      </c>
      <c r="C456" s="200">
        <v>45453</v>
      </c>
      <c r="D456" s="199" t="s">
        <v>152</v>
      </c>
      <c r="E456" s="206">
        <v>38001</v>
      </c>
      <c r="F456" s="206">
        <v>3800</v>
      </c>
      <c r="G456" s="206">
        <v>190</v>
      </c>
      <c r="H456" s="202">
        <f t="shared" si="7"/>
        <v>34391</v>
      </c>
      <c r="I456" s="205" t="s">
        <v>193</v>
      </c>
      <c r="J456" s="205" t="s">
        <v>23</v>
      </c>
      <c r="K456" s="201" t="s">
        <v>1028</v>
      </c>
      <c r="L456" s="205" t="s">
        <v>5314</v>
      </c>
      <c r="M456" s="201" t="s">
        <v>1030</v>
      </c>
      <c r="N456" s="205" t="s">
        <v>652</v>
      </c>
      <c r="O456" s="205" t="s">
        <v>652</v>
      </c>
      <c r="P456" s="208" t="s">
        <v>2191</v>
      </c>
      <c r="Q456" s="208" t="s">
        <v>2192</v>
      </c>
      <c r="R456" s="208" t="s">
        <v>4481</v>
      </c>
    </row>
    <row r="457" spans="1:18" s="205" customFormat="1" x14ac:dyDescent="0.2">
      <c r="A457" s="205" t="s">
        <v>5315</v>
      </c>
      <c r="B457" s="205" t="s">
        <v>246</v>
      </c>
      <c r="C457" s="200">
        <v>45453</v>
      </c>
      <c r="D457" s="199" t="s">
        <v>152</v>
      </c>
      <c r="E457" s="206">
        <v>22716</v>
      </c>
      <c r="F457" s="206">
        <v>2272</v>
      </c>
      <c r="G457" s="206">
        <v>114</v>
      </c>
      <c r="H457" s="202">
        <f t="shared" si="7"/>
        <v>20558</v>
      </c>
      <c r="I457" s="205" t="s">
        <v>193</v>
      </c>
      <c r="J457" s="205" t="s">
        <v>23</v>
      </c>
      <c r="K457" s="201" t="s">
        <v>1028</v>
      </c>
      <c r="L457" s="205" t="s">
        <v>5316</v>
      </c>
      <c r="M457" s="201" t="s">
        <v>1030</v>
      </c>
      <c r="N457" s="205" t="s">
        <v>652</v>
      </c>
      <c r="O457" s="205" t="s">
        <v>652</v>
      </c>
      <c r="P457" s="208" t="s">
        <v>2191</v>
      </c>
      <c r="Q457" s="208" t="s">
        <v>2192</v>
      </c>
      <c r="R457" s="208" t="s">
        <v>4481</v>
      </c>
    </row>
    <row r="458" spans="1:18" s="205" customFormat="1" x14ac:dyDescent="0.2">
      <c r="A458" s="205" t="s">
        <v>5317</v>
      </c>
      <c r="B458" s="205" t="s">
        <v>246</v>
      </c>
      <c r="C458" s="200">
        <v>45453</v>
      </c>
      <c r="D458" s="199" t="s">
        <v>152</v>
      </c>
      <c r="E458" s="206">
        <v>22716</v>
      </c>
      <c r="F458" s="206">
        <v>2272</v>
      </c>
      <c r="G458" s="206">
        <v>114</v>
      </c>
      <c r="H458" s="202">
        <f t="shared" si="7"/>
        <v>20558</v>
      </c>
      <c r="I458" s="205" t="s">
        <v>193</v>
      </c>
      <c r="J458" s="205" t="s">
        <v>23</v>
      </c>
      <c r="K458" s="199" t="s">
        <v>1028</v>
      </c>
      <c r="L458" s="205" t="s">
        <v>5318</v>
      </c>
      <c r="M458" s="201" t="s">
        <v>1030</v>
      </c>
      <c r="N458" s="205" t="s">
        <v>652</v>
      </c>
      <c r="O458" s="205" t="s">
        <v>652</v>
      </c>
      <c r="P458" s="208" t="s">
        <v>884</v>
      </c>
      <c r="Q458" s="208" t="s">
        <v>5319</v>
      </c>
      <c r="R458" s="208" t="s">
        <v>4481</v>
      </c>
    </row>
    <row r="459" spans="1:18" s="205" customFormat="1" x14ac:dyDescent="0.2">
      <c r="A459" s="205" t="s">
        <v>5320</v>
      </c>
      <c r="B459" s="205" t="s">
        <v>246</v>
      </c>
      <c r="C459" s="200">
        <v>45453</v>
      </c>
      <c r="D459" s="199" t="s">
        <v>152</v>
      </c>
      <c r="E459" s="206">
        <v>38001</v>
      </c>
      <c r="F459" s="206">
        <v>3800</v>
      </c>
      <c r="G459" s="206">
        <v>190</v>
      </c>
      <c r="H459" s="202">
        <f t="shared" si="7"/>
        <v>34391</v>
      </c>
      <c r="I459" s="205" t="s">
        <v>193</v>
      </c>
      <c r="J459" s="205" t="s">
        <v>23</v>
      </c>
      <c r="K459" s="199" t="s">
        <v>1028</v>
      </c>
      <c r="L459" s="205" t="s">
        <v>5321</v>
      </c>
      <c r="M459" s="201" t="s">
        <v>1030</v>
      </c>
      <c r="N459" s="205" t="s">
        <v>652</v>
      </c>
      <c r="O459" s="205" t="s">
        <v>652</v>
      </c>
      <c r="P459" s="208" t="s">
        <v>2191</v>
      </c>
      <c r="Q459" s="208" t="s">
        <v>2192</v>
      </c>
      <c r="R459" s="208" t="s">
        <v>4481</v>
      </c>
    </row>
    <row r="460" spans="1:18" s="205" customFormat="1" x14ac:dyDescent="0.2">
      <c r="A460" s="205" t="s">
        <v>5322</v>
      </c>
      <c r="B460" s="205" t="s">
        <v>246</v>
      </c>
      <c r="C460" s="200">
        <v>45453</v>
      </c>
      <c r="D460" s="199" t="s">
        <v>152</v>
      </c>
      <c r="E460" s="206">
        <v>31332</v>
      </c>
      <c r="F460" s="206">
        <v>3133</v>
      </c>
      <c r="G460" s="206">
        <v>157</v>
      </c>
      <c r="H460" s="202">
        <f t="shared" si="7"/>
        <v>28356</v>
      </c>
      <c r="I460" s="205" t="s">
        <v>193</v>
      </c>
      <c r="J460" s="205" t="s">
        <v>23</v>
      </c>
      <c r="K460" s="199" t="s">
        <v>1028</v>
      </c>
      <c r="L460" s="205" t="s">
        <v>5323</v>
      </c>
      <c r="M460" s="201" t="s">
        <v>1030</v>
      </c>
      <c r="N460" s="205" t="s">
        <v>652</v>
      </c>
      <c r="O460" s="205" t="s">
        <v>652</v>
      </c>
      <c r="P460" s="208" t="s">
        <v>2191</v>
      </c>
      <c r="Q460" s="208" t="s">
        <v>2192</v>
      </c>
      <c r="R460" s="208" t="s">
        <v>4481</v>
      </c>
    </row>
    <row r="461" spans="1:18" s="205" customFormat="1" x14ac:dyDescent="0.2">
      <c r="A461" s="205" t="s">
        <v>5324</v>
      </c>
      <c r="B461" s="205" t="s">
        <v>246</v>
      </c>
      <c r="C461" s="200">
        <v>45453</v>
      </c>
      <c r="D461" s="199" t="s">
        <v>152</v>
      </c>
      <c r="E461" s="206">
        <v>38001</v>
      </c>
      <c r="F461" s="206">
        <v>3800</v>
      </c>
      <c r="G461" s="206">
        <v>190</v>
      </c>
      <c r="H461" s="202">
        <f t="shared" si="7"/>
        <v>34391</v>
      </c>
      <c r="I461" s="205" t="s">
        <v>193</v>
      </c>
      <c r="J461" s="205" t="s">
        <v>23</v>
      </c>
      <c r="K461" s="199" t="s">
        <v>1028</v>
      </c>
      <c r="L461" s="205" t="s">
        <v>5325</v>
      </c>
      <c r="M461" s="201" t="s">
        <v>1030</v>
      </c>
      <c r="N461" s="205" t="s">
        <v>652</v>
      </c>
      <c r="O461" s="205" t="s">
        <v>652</v>
      </c>
      <c r="P461" s="208" t="s">
        <v>2191</v>
      </c>
      <c r="Q461" s="208" t="s">
        <v>2192</v>
      </c>
      <c r="R461" s="208" t="s">
        <v>4481</v>
      </c>
    </row>
    <row r="462" spans="1:18" s="205" customFormat="1" x14ac:dyDescent="0.2">
      <c r="A462" s="205" t="s">
        <v>5326</v>
      </c>
      <c r="B462" s="205" t="s">
        <v>246</v>
      </c>
      <c r="C462" s="200">
        <v>45453</v>
      </c>
      <c r="D462" s="199" t="s">
        <v>152</v>
      </c>
      <c r="E462" s="206">
        <v>22716</v>
      </c>
      <c r="F462" s="206">
        <v>2272</v>
      </c>
      <c r="G462" s="206">
        <v>114</v>
      </c>
      <c r="H462" s="202">
        <f t="shared" si="7"/>
        <v>20558</v>
      </c>
      <c r="I462" s="205" t="s">
        <v>193</v>
      </c>
      <c r="J462" s="205" t="s">
        <v>23</v>
      </c>
      <c r="K462" s="199" t="s">
        <v>1028</v>
      </c>
      <c r="L462" s="205" t="s">
        <v>5327</v>
      </c>
      <c r="M462" s="201" t="s">
        <v>1030</v>
      </c>
      <c r="N462" s="205" t="s">
        <v>652</v>
      </c>
      <c r="O462" s="205" t="s">
        <v>652</v>
      </c>
      <c r="P462" s="208" t="s">
        <v>2191</v>
      </c>
      <c r="Q462" s="208" t="s">
        <v>2192</v>
      </c>
      <c r="R462" s="208" t="s">
        <v>4481</v>
      </c>
    </row>
    <row r="463" spans="1:18" s="205" customFormat="1" x14ac:dyDescent="0.2">
      <c r="A463" s="205" t="s">
        <v>5328</v>
      </c>
      <c r="B463" s="205" t="s">
        <v>246</v>
      </c>
      <c r="C463" s="200">
        <v>45453</v>
      </c>
      <c r="D463" s="199" t="s">
        <v>152</v>
      </c>
      <c r="E463" s="206">
        <v>31332</v>
      </c>
      <c r="F463" s="206">
        <v>3133</v>
      </c>
      <c r="G463" s="206">
        <v>157</v>
      </c>
      <c r="H463" s="202">
        <f t="shared" si="7"/>
        <v>28356</v>
      </c>
      <c r="I463" s="205" t="s">
        <v>193</v>
      </c>
      <c r="J463" s="205" t="s">
        <v>23</v>
      </c>
      <c r="K463" s="199" t="s">
        <v>1028</v>
      </c>
      <c r="L463" s="205" t="s">
        <v>5329</v>
      </c>
      <c r="M463" s="201" t="s">
        <v>1030</v>
      </c>
      <c r="N463" s="205" t="s">
        <v>652</v>
      </c>
      <c r="O463" s="205" t="s">
        <v>652</v>
      </c>
      <c r="P463" s="208" t="s">
        <v>2191</v>
      </c>
      <c r="Q463" s="208" t="s">
        <v>2192</v>
      </c>
      <c r="R463" s="208" t="s">
        <v>4481</v>
      </c>
    </row>
    <row r="464" spans="1:18" s="205" customFormat="1" x14ac:dyDescent="0.2">
      <c r="A464" s="205" t="s">
        <v>5330</v>
      </c>
      <c r="B464" s="205" t="s">
        <v>246</v>
      </c>
      <c r="C464" s="200">
        <v>45453</v>
      </c>
      <c r="D464" s="199" t="s">
        <v>152</v>
      </c>
      <c r="E464" s="206">
        <v>31332</v>
      </c>
      <c r="F464" s="206">
        <v>3133</v>
      </c>
      <c r="G464" s="206">
        <v>157</v>
      </c>
      <c r="H464" s="202">
        <f t="shared" si="7"/>
        <v>28356</v>
      </c>
      <c r="I464" s="205" t="s">
        <v>193</v>
      </c>
      <c r="J464" s="205" t="s">
        <v>23</v>
      </c>
      <c r="K464" s="199" t="s">
        <v>1028</v>
      </c>
      <c r="L464" s="205" t="s">
        <v>5331</v>
      </c>
      <c r="M464" s="201" t="s">
        <v>1030</v>
      </c>
      <c r="N464" s="205" t="s">
        <v>652</v>
      </c>
      <c r="O464" s="205" t="s">
        <v>652</v>
      </c>
      <c r="P464" s="208" t="s">
        <v>2191</v>
      </c>
      <c r="Q464" s="208" t="s">
        <v>2192</v>
      </c>
      <c r="R464" s="208" t="s">
        <v>4481</v>
      </c>
    </row>
    <row r="465" spans="1:18" s="205" customFormat="1" x14ac:dyDescent="0.2">
      <c r="A465" s="205" t="s">
        <v>5332</v>
      </c>
      <c r="B465" s="205" t="s">
        <v>246</v>
      </c>
      <c r="C465" s="200">
        <v>45453</v>
      </c>
      <c r="D465" s="199" t="s">
        <v>152</v>
      </c>
      <c r="E465" s="206">
        <v>22716</v>
      </c>
      <c r="F465" s="206">
        <v>2272</v>
      </c>
      <c r="G465" s="206">
        <v>114</v>
      </c>
      <c r="H465" s="202">
        <f t="shared" si="7"/>
        <v>20558</v>
      </c>
      <c r="I465" s="205" t="s">
        <v>193</v>
      </c>
      <c r="J465" s="205" t="s">
        <v>23</v>
      </c>
      <c r="K465" s="199" t="s">
        <v>1028</v>
      </c>
      <c r="L465" s="205" t="s">
        <v>5333</v>
      </c>
      <c r="M465" s="201" t="s">
        <v>1030</v>
      </c>
      <c r="N465" s="205" t="s">
        <v>652</v>
      </c>
      <c r="O465" s="205" t="s">
        <v>652</v>
      </c>
      <c r="P465" s="208" t="s">
        <v>2191</v>
      </c>
      <c r="Q465" s="208" t="s">
        <v>2192</v>
      </c>
      <c r="R465" s="208" t="s">
        <v>4481</v>
      </c>
    </row>
    <row r="466" spans="1:18" s="205" customFormat="1" x14ac:dyDescent="0.2">
      <c r="A466" s="205" t="s">
        <v>5334</v>
      </c>
      <c r="B466" s="205" t="s">
        <v>246</v>
      </c>
      <c r="C466" s="200">
        <v>45453</v>
      </c>
      <c r="D466" s="199" t="s">
        <v>152</v>
      </c>
      <c r="E466" s="206">
        <v>22716</v>
      </c>
      <c r="F466" s="206">
        <v>2272</v>
      </c>
      <c r="G466" s="206">
        <v>114</v>
      </c>
      <c r="H466" s="202">
        <f t="shared" si="7"/>
        <v>20558</v>
      </c>
      <c r="I466" s="205" t="s">
        <v>193</v>
      </c>
      <c r="J466" s="205" t="s">
        <v>23</v>
      </c>
      <c r="K466" s="199" t="s">
        <v>1028</v>
      </c>
      <c r="L466" s="205" t="s">
        <v>5335</v>
      </c>
      <c r="M466" s="201" t="s">
        <v>1030</v>
      </c>
      <c r="N466" s="205" t="s">
        <v>652</v>
      </c>
      <c r="O466" s="205" t="s">
        <v>652</v>
      </c>
      <c r="P466" s="214" t="s">
        <v>2191</v>
      </c>
      <c r="Q466" s="214" t="s">
        <v>2192</v>
      </c>
      <c r="R466" s="214" t="s">
        <v>4481</v>
      </c>
    </row>
    <row r="467" spans="1:18" s="205" customFormat="1" x14ac:dyDescent="0.2">
      <c r="A467" s="205" t="s">
        <v>5336</v>
      </c>
      <c r="B467" s="205" t="s">
        <v>246</v>
      </c>
      <c r="C467" s="200">
        <v>45453</v>
      </c>
      <c r="D467" s="199" t="s">
        <v>152</v>
      </c>
      <c r="E467" s="206">
        <v>22716</v>
      </c>
      <c r="F467" s="206">
        <v>2272</v>
      </c>
      <c r="G467" s="206">
        <v>114</v>
      </c>
      <c r="H467" s="202">
        <f t="shared" si="7"/>
        <v>20558</v>
      </c>
      <c r="I467" s="205" t="s">
        <v>193</v>
      </c>
      <c r="J467" s="205" t="s">
        <v>23</v>
      </c>
      <c r="K467" s="199" t="s">
        <v>1028</v>
      </c>
      <c r="L467" s="205" t="s">
        <v>5337</v>
      </c>
      <c r="M467" s="201" t="s">
        <v>1030</v>
      </c>
      <c r="N467" s="205" t="s">
        <v>652</v>
      </c>
      <c r="O467" s="205" t="s">
        <v>652</v>
      </c>
      <c r="P467" s="214" t="s">
        <v>2191</v>
      </c>
      <c r="Q467" s="214" t="s">
        <v>2192</v>
      </c>
      <c r="R467" s="214" t="s">
        <v>4481</v>
      </c>
    </row>
    <row r="468" spans="1:18" s="205" customFormat="1" x14ac:dyDescent="0.2">
      <c r="A468" s="209" t="s">
        <v>5338</v>
      </c>
      <c r="B468" s="209" t="s">
        <v>246</v>
      </c>
      <c r="C468" s="210">
        <v>45453</v>
      </c>
      <c r="D468" s="199" t="s">
        <v>152</v>
      </c>
      <c r="E468" s="211">
        <v>22716</v>
      </c>
      <c r="F468" s="211">
        <v>2272</v>
      </c>
      <c r="G468" s="211">
        <v>114</v>
      </c>
      <c r="H468" s="202">
        <f t="shared" si="7"/>
        <v>20558</v>
      </c>
      <c r="I468" s="209" t="s">
        <v>193</v>
      </c>
      <c r="J468" s="209" t="s">
        <v>23</v>
      </c>
      <c r="K468" s="201" t="s">
        <v>1028</v>
      </c>
      <c r="L468" s="209" t="s">
        <v>5339</v>
      </c>
      <c r="M468" s="201" t="s">
        <v>1030</v>
      </c>
      <c r="N468" s="209" t="s">
        <v>652</v>
      </c>
      <c r="O468" s="209" t="s">
        <v>652</v>
      </c>
      <c r="P468" s="213" t="s">
        <v>2191</v>
      </c>
      <c r="Q468" s="213" t="s">
        <v>2192</v>
      </c>
      <c r="R468" s="213" t="s">
        <v>4481</v>
      </c>
    </row>
    <row r="469" spans="1:18" s="205" customFormat="1" x14ac:dyDescent="0.2">
      <c r="A469" s="205" t="s">
        <v>5340</v>
      </c>
      <c r="B469" s="205" t="s">
        <v>246</v>
      </c>
      <c r="C469" s="200">
        <v>45453</v>
      </c>
      <c r="D469" s="199" t="s">
        <v>152</v>
      </c>
      <c r="E469" s="206">
        <v>22716</v>
      </c>
      <c r="F469" s="206">
        <v>2272</v>
      </c>
      <c r="G469" s="206">
        <v>114</v>
      </c>
      <c r="H469" s="202">
        <f t="shared" si="7"/>
        <v>20558</v>
      </c>
      <c r="I469" s="205" t="s">
        <v>193</v>
      </c>
      <c r="J469" s="205" t="s">
        <v>23</v>
      </c>
      <c r="K469" s="201" t="s">
        <v>1028</v>
      </c>
      <c r="L469" s="205" t="s">
        <v>5341</v>
      </c>
      <c r="M469" s="201" t="s">
        <v>1030</v>
      </c>
      <c r="N469" s="205" t="s">
        <v>652</v>
      </c>
      <c r="O469" s="205" t="s">
        <v>652</v>
      </c>
      <c r="P469" s="208" t="s">
        <v>2191</v>
      </c>
      <c r="Q469" s="208" t="s">
        <v>2192</v>
      </c>
      <c r="R469" s="208" t="s">
        <v>4481</v>
      </c>
    </row>
    <row r="470" spans="1:18" s="205" customFormat="1" x14ac:dyDescent="0.2">
      <c r="A470" s="205" t="s">
        <v>5342</v>
      </c>
      <c r="B470" s="205" t="s">
        <v>246</v>
      </c>
      <c r="C470" s="200">
        <v>45453</v>
      </c>
      <c r="D470" s="199" t="s">
        <v>152</v>
      </c>
      <c r="E470" s="206">
        <v>22716</v>
      </c>
      <c r="F470" s="206">
        <v>2272</v>
      </c>
      <c r="G470" s="206">
        <v>114</v>
      </c>
      <c r="H470" s="202">
        <f t="shared" si="7"/>
        <v>20558</v>
      </c>
      <c r="I470" s="205" t="s">
        <v>193</v>
      </c>
      <c r="J470" s="205" t="s">
        <v>23</v>
      </c>
      <c r="K470" s="201" t="s">
        <v>1028</v>
      </c>
      <c r="L470" s="205" t="s">
        <v>5343</v>
      </c>
      <c r="M470" s="201" t="s">
        <v>1030</v>
      </c>
      <c r="N470" s="205" t="s">
        <v>652</v>
      </c>
      <c r="O470" s="205" t="s">
        <v>652</v>
      </c>
      <c r="P470" s="208" t="s">
        <v>2191</v>
      </c>
      <c r="Q470" s="208" t="s">
        <v>2192</v>
      </c>
      <c r="R470" s="208" t="s">
        <v>4481</v>
      </c>
    </row>
    <row r="471" spans="1:18" s="205" customFormat="1" x14ac:dyDescent="0.2">
      <c r="A471" s="205" t="s">
        <v>5344</v>
      </c>
      <c r="B471" s="205" t="s">
        <v>248</v>
      </c>
      <c r="C471" s="200">
        <v>45453</v>
      </c>
      <c r="D471" s="199" t="s">
        <v>152</v>
      </c>
      <c r="E471" s="206">
        <v>42459</v>
      </c>
      <c r="F471" s="206">
        <v>4246</v>
      </c>
      <c r="G471" s="206">
        <v>212</v>
      </c>
      <c r="H471" s="202">
        <f t="shared" si="7"/>
        <v>38425</v>
      </c>
      <c r="I471" s="205" t="s">
        <v>193</v>
      </c>
      <c r="J471" s="205" t="s">
        <v>23</v>
      </c>
      <c r="K471" s="201" t="s">
        <v>1028</v>
      </c>
      <c r="L471" s="205" t="s">
        <v>5345</v>
      </c>
      <c r="M471" s="201" t="s">
        <v>1030</v>
      </c>
      <c r="N471" s="205" t="s">
        <v>652</v>
      </c>
      <c r="O471" s="205" t="s">
        <v>652</v>
      </c>
      <c r="P471" s="208" t="s">
        <v>2191</v>
      </c>
      <c r="Q471" s="208" t="s">
        <v>2192</v>
      </c>
      <c r="R471" s="208" t="s">
        <v>4481</v>
      </c>
    </row>
    <row r="472" spans="1:18" s="205" customFormat="1" x14ac:dyDescent="0.2">
      <c r="A472" s="205" t="s">
        <v>5346</v>
      </c>
      <c r="B472" s="205" t="s">
        <v>4399</v>
      </c>
      <c r="C472" s="200">
        <v>45454</v>
      </c>
      <c r="D472" s="199" t="s">
        <v>152</v>
      </c>
      <c r="E472" s="206">
        <v>67877</v>
      </c>
      <c r="F472" s="206">
        <v>6788</v>
      </c>
      <c r="G472" s="206">
        <v>339</v>
      </c>
      <c r="H472" s="202">
        <f t="shared" si="7"/>
        <v>61428</v>
      </c>
      <c r="I472" s="205" t="s">
        <v>37</v>
      </c>
      <c r="J472" s="205" t="s">
        <v>23</v>
      </c>
      <c r="K472" s="201" t="s">
        <v>1028</v>
      </c>
      <c r="L472" s="205" t="s">
        <v>5347</v>
      </c>
      <c r="M472" s="201" t="s">
        <v>1030</v>
      </c>
      <c r="N472" s="205" t="s">
        <v>652</v>
      </c>
      <c r="O472" s="205" t="s">
        <v>652</v>
      </c>
      <c r="P472" s="208" t="s">
        <v>1037</v>
      </c>
      <c r="Q472" s="208" t="s">
        <v>1400</v>
      </c>
      <c r="R472" s="208" t="s">
        <v>3035</v>
      </c>
    </row>
    <row r="473" spans="1:18" s="205" customFormat="1" x14ac:dyDescent="0.2">
      <c r="A473" s="205" t="s">
        <v>5348</v>
      </c>
      <c r="B473" s="205" t="s">
        <v>5349</v>
      </c>
      <c r="C473" s="200">
        <v>45454</v>
      </c>
      <c r="D473" s="199" t="s">
        <v>152</v>
      </c>
      <c r="E473" s="206">
        <v>29327</v>
      </c>
      <c r="F473" s="206">
        <v>2933</v>
      </c>
      <c r="G473" s="206">
        <v>147</v>
      </c>
      <c r="H473" s="202">
        <f t="shared" si="7"/>
        <v>26541</v>
      </c>
      <c r="I473" s="205" t="s">
        <v>37</v>
      </c>
      <c r="J473" s="205" t="s">
        <v>23</v>
      </c>
      <c r="K473" s="201" t="s">
        <v>1028</v>
      </c>
      <c r="L473" s="205" t="s">
        <v>5350</v>
      </c>
      <c r="M473" s="201" t="s">
        <v>1030</v>
      </c>
      <c r="N473" s="205" t="s">
        <v>652</v>
      </c>
      <c r="O473" s="205" t="s">
        <v>652</v>
      </c>
      <c r="P473" s="208" t="s">
        <v>2664</v>
      </c>
      <c r="Q473" s="208" t="s">
        <v>2665</v>
      </c>
      <c r="R473" s="208" t="s">
        <v>3035</v>
      </c>
    </row>
    <row r="474" spans="1:18" s="205" customFormat="1" x14ac:dyDescent="0.2">
      <c r="A474" s="205" t="s">
        <v>5351</v>
      </c>
      <c r="B474" s="205" t="s">
        <v>5352</v>
      </c>
      <c r="C474" s="200">
        <v>45454</v>
      </c>
      <c r="D474" s="199" t="s">
        <v>152</v>
      </c>
      <c r="E474" s="206">
        <v>38660</v>
      </c>
      <c r="F474" s="206">
        <v>3866</v>
      </c>
      <c r="G474" s="206">
        <v>193</v>
      </c>
      <c r="H474" s="202">
        <f t="shared" si="7"/>
        <v>34987</v>
      </c>
      <c r="I474" s="205" t="s">
        <v>37</v>
      </c>
      <c r="J474" s="205" t="s">
        <v>23</v>
      </c>
      <c r="K474" s="201" t="s">
        <v>1028</v>
      </c>
      <c r="L474" s="205" t="s">
        <v>5353</v>
      </c>
      <c r="M474" s="201" t="s">
        <v>1030</v>
      </c>
      <c r="N474" s="205" t="s">
        <v>652</v>
      </c>
      <c r="O474" s="205" t="s">
        <v>652</v>
      </c>
      <c r="P474" s="208" t="s">
        <v>3279</v>
      </c>
      <c r="Q474" s="208" t="s">
        <v>3280</v>
      </c>
      <c r="R474" s="208" t="s">
        <v>4481</v>
      </c>
    </row>
    <row r="475" spans="1:18" s="205" customFormat="1" x14ac:dyDescent="0.2">
      <c r="A475" s="205" t="s">
        <v>5354</v>
      </c>
      <c r="B475" s="205" t="s">
        <v>5355</v>
      </c>
      <c r="C475" s="200">
        <v>45454</v>
      </c>
      <c r="D475" s="199" t="s">
        <v>152</v>
      </c>
      <c r="E475" s="206">
        <v>29327</v>
      </c>
      <c r="F475" s="206">
        <v>2933</v>
      </c>
      <c r="G475" s="206">
        <v>147</v>
      </c>
      <c r="H475" s="202">
        <f t="shared" si="7"/>
        <v>26541</v>
      </c>
      <c r="I475" s="205" t="s">
        <v>37</v>
      </c>
      <c r="J475" s="205" t="s">
        <v>23</v>
      </c>
      <c r="K475" s="201" t="s">
        <v>1028</v>
      </c>
      <c r="L475" s="205" t="s">
        <v>5356</v>
      </c>
      <c r="M475" s="201" t="s">
        <v>1030</v>
      </c>
      <c r="N475" s="205" t="s">
        <v>652</v>
      </c>
      <c r="O475" s="205" t="s">
        <v>652</v>
      </c>
      <c r="P475" s="208" t="s">
        <v>3279</v>
      </c>
      <c r="Q475" s="208" t="s">
        <v>3280</v>
      </c>
      <c r="R475" s="208" t="s">
        <v>4481</v>
      </c>
    </row>
    <row r="476" spans="1:18" s="205" customFormat="1" x14ac:dyDescent="0.2">
      <c r="A476" s="205" t="s">
        <v>5357</v>
      </c>
      <c r="B476" s="205" t="s">
        <v>5358</v>
      </c>
      <c r="C476" s="200">
        <v>45454</v>
      </c>
      <c r="D476" s="199" t="s">
        <v>152</v>
      </c>
      <c r="E476" s="206">
        <v>29327</v>
      </c>
      <c r="F476" s="206">
        <v>2933</v>
      </c>
      <c r="G476" s="206">
        <v>147</v>
      </c>
      <c r="H476" s="202">
        <f t="shared" si="7"/>
        <v>26541</v>
      </c>
      <c r="I476" s="205" t="s">
        <v>37</v>
      </c>
      <c r="J476" s="205" t="s">
        <v>23</v>
      </c>
      <c r="K476" s="201" t="s">
        <v>1028</v>
      </c>
      <c r="L476" s="205" t="s">
        <v>5359</v>
      </c>
      <c r="M476" s="201" t="s">
        <v>1030</v>
      </c>
      <c r="N476" s="205" t="s">
        <v>652</v>
      </c>
      <c r="O476" s="205" t="s">
        <v>652</v>
      </c>
      <c r="P476" s="208" t="s">
        <v>3279</v>
      </c>
      <c r="Q476" s="208" t="s">
        <v>3280</v>
      </c>
      <c r="R476" s="208" t="s">
        <v>4481</v>
      </c>
    </row>
    <row r="477" spans="1:18" s="205" customFormat="1" x14ac:dyDescent="0.2">
      <c r="A477" s="205" t="s">
        <v>5360</v>
      </c>
      <c r="B477" s="205" t="s">
        <v>5361</v>
      </c>
      <c r="C477" s="200">
        <v>45455</v>
      </c>
      <c r="D477" s="199" t="s">
        <v>152</v>
      </c>
      <c r="E477" s="206">
        <v>140278</v>
      </c>
      <c r="F477" s="206">
        <v>14028</v>
      </c>
      <c r="G477" s="206">
        <v>701</v>
      </c>
      <c r="H477" s="202">
        <f t="shared" si="7"/>
        <v>126951</v>
      </c>
      <c r="I477" s="205" t="s">
        <v>54</v>
      </c>
      <c r="J477" s="205" t="s">
        <v>23</v>
      </c>
      <c r="K477" s="201" t="s">
        <v>1028</v>
      </c>
      <c r="L477" s="205" t="s">
        <v>5362</v>
      </c>
      <c r="M477" s="201" t="s">
        <v>1030</v>
      </c>
      <c r="N477" s="205" t="s">
        <v>652</v>
      </c>
      <c r="O477" s="205" t="s">
        <v>652</v>
      </c>
      <c r="P477" s="208" t="s">
        <v>949</v>
      </c>
      <c r="Q477" s="208" t="s">
        <v>950</v>
      </c>
      <c r="R477" s="208" t="s">
        <v>761</v>
      </c>
    </row>
    <row r="478" spans="1:18" s="205" customFormat="1" x14ac:dyDescent="0.2">
      <c r="A478" s="205" t="s">
        <v>131</v>
      </c>
      <c r="B478" s="205" t="s">
        <v>602</v>
      </c>
      <c r="C478" s="200">
        <v>45455</v>
      </c>
      <c r="D478" s="199" t="s">
        <v>152</v>
      </c>
      <c r="E478" s="206">
        <v>27499</v>
      </c>
      <c r="F478" s="206">
        <v>2750</v>
      </c>
      <c r="G478" s="206">
        <v>138</v>
      </c>
      <c r="H478" s="202">
        <f t="shared" si="7"/>
        <v>24887</v>
      </c>
      <c r="I478" s="205" t="s">
        <v>44</v>
      </c>
      <c r="J478" s="205" t="s">
        <v>23</v>
      </c>
      <c r="K478" s="201" t="s">
        <v>1042</v>
      </c>
      <c r="L478" s="205" t="s">
        <v>5363</v>
      </c>
      <c r="M478" s="201" t="s">
        <v>1030</v>
      </c>
      <c r="N478" s="205" t="s">
        <v>652</v>
      </c>
      <c r="O478" s="205" t="s">
        <v>652</v>
      </c>
      <c r="P478" s="208" t="s">
        <v>653</v>
      </c>
      <c r="Q478" s="208" t="s">
        <v>654</v>
      </c>
      <c r="R478" s="208" t="s">
        <v>4516</v>
      </c>
    </row>
    <row r="479" spans="1:18" s="205" customFormat="1" x14ac:dyDescent="0.2">
      <c r="A479" s="205" t="s">
        <v>3882</v>
      </c>
      <c r="B479" s="205" t="s">
        <v>3883</v>
      </c>
      <c r="C479" s="200">
        <v>45455</v>
      </c>
      <c r="D479" s="199" t="s">
        <v>152</v>
      </c>
      <c r="E479" s="206">
        <v>119283</v>
      </c>
      <c r="F479" s="206">
        <v>11928</v>
      </c>
      <c r="G479" s="206">
        <v>596</v>
      </c>
      <c r="H479" s="202">
        <f t="shared" si="7"/>
        <v>107951</v>
      </c>
      <c r="I479" s="205" t="s">
        <v>44</v>
      </c>
      <c r="J479" s="205" t="s">
        <v>23</v>
      </c>
      <c r="K479" s="201" t="s">
        <v>1042</v>
      </c>
      <c r="L479" s="205" t="s">
        <v>5364</v>
      </c>
      <c r="M479" s="201" t="s">
        <v>1030</v>
      </c>
      <c r="N479" s="205" t="s">
        <v>1274</v>
      </c>
      <c r="O479" s="205" t="s">
        <v>1111</v>
      </c>
      <c r="P479" s="208" t="s">
        <v>846</v>
      </c>
      <c r="Q479" s="208" t="s">
        <v>2922</v>
      </c>
      <c r="R479" s="208" t="s">
        <v>4516</v>
      </c>
    </row>
    <row r="480" spans="1:18" s="205" customFormat="1" x14ac:dyDescent="0.2">
      <c r="A480" s="205" t="s">
        <v>105</v>
      </c>
      <c r="B480" s="205" t="s">
        <v>618</v>
      </c>
      <c r="C480" s="200">
        <v>45455</v>
      </c>
      <c r="D480" s="199" t="s">
        <v>152</v>
      </c>
      <c r="E480" s="206">
        <v>40081</v>
      </c>
      <c r="F480" s="206">
        <v>4008</v>
      </c>
      <c r="G480" s="206">
        <v>200</v>
      </c>
      <c r="H480" s="202">
        <f t="shared" si="7"/>
        <v>36273</v>
      </c>
      <c r="I480" s="205" t="s">
        <v>44</v>
      </c>
      <c r="J480" s="205" t="s">
        <v>23</v>
      </c>
      <c r="K480" s="201" t="s">
        <v>1042</v>
      </c>
      <c r="L480" s="205" t="s">
        <v>5365</v>
      </c>
      <c r="M480" s="201" t="s">
        <v>1030</v>
      </c>
      <c r="N480" s="205" t="s">
        <v>652</v>
      </c>
      <c r="O480" s="205" t="s">
        <v>652</v>
      </c>
      <c r="P480" s="216" t="s">
        <v>653</v>
      </c>
      <c r="Q480" s="216" t="s">
        <v>654</v>
      </c>
      <c r="R480" s="216" t="s">
        <v>4516</v>
      </c>
    </row>
    <row r="481" spans="1:18" s="205" customFormat="1" x14ac:dyDescent="0.2">
      <c r="A481" s="205" t="s">
        <v>63</v>
      </c>
      <c r="B481" s="205" t="s">
        <v>555</v>
      </c>
      <c r="C481" s="200">
        <v>45455</v>
      </c>
      <c r="D481" s="199" t="s">
        <v>152</v>
      </c>
      <c r="E481" s="206">
        <v>494499</v>
      </c>
      <c r="F481" s="206">
        <v>49450</v>
      </c>
      <c r="G481" s="206">
        <v>2473</v>
      </c>
      <c r="H481" s="202">
        <f t="shared" si="7"/>
        <v>447522</v>
      </c>
      <c r="I481" s="205" t="s">
        <v>22</v>
      </c>
      <c r="J481" s="205" t="s">
        <v>23</v>
      </c>
      <c r="K481" s="201" t="s">
        <v>1042</v>
      </c>
      <c r="L481" s="205" t="s">
        <v>5366</v>
      </c>
      <c r="M481" s="201" t="s">
        <v>1030</v>
      </c>
      <c r="N481" s="205" t="s">
        <v>652</v>
      </c>
      <c r="O481" s="205" t="s">
        <v>652</v>
      </c>
      <c r="P481" s="208" t="s">
        <v>858</v>
      </c>
      <c r="Q481" s="208" t="s">
        <v>859</v>
      </c>
      <c r="R481" s="208" t="s">
        <v>4516</v>
      </c>
    </row>
    <row r="482" spans="1:18" s="205" customFormat="1" x14ac:dyDescent="0.2">
      <c r="A482" s="205" t="s">
        <v>221</v>
      </c>
      <c r="B482" s="205" t="s">
        <v>1062</v>
      </c>
      <c r="C482" s="200">
        <v>45455</v>
      </c>
      <c r="D482" s="199" t="s">
        <v>152</v>
      </c>
      <c r="E482" s="206">
        <v>20309</v>
      </c>
      <c r="F482" s="206">
        <v>2031</v>
      </c>
      <c r="G482" s="206">
        <v>102</v>
      </c>
      <c r="H482" s="202">
        <f t="shared" si="7"/>
        <v>18380</v>
      </c>
      <c r="I482" s="205" t="s">
        <v>224</v>
      </c>
      <c r="J482" s="205" t="s">
        <v>23</v>
      </c>
      <c r="K482" s="201" t="s">
        <v>1042</v>
      </c>
      <c r="L482" s="205" t="s">
        <v>5367</v>
      </c>
      <c r="M482" s="201" t="s">
        <v>1030</v>
      </c>
      <c r="N482" s="205" t="s">
        <v>652</v>
      </c>
      <c r="O482" s="205" t="s">
        <v>652</v>
      </c>
      <c r="P482" s="208" t="s">
        <v>987</v>
      </c>
      <c r="Q482" s="208" t="s">
        <v>988</v>
      </c>
      <c r="R482" s="208" t="s">
        <v>4516</v>
      </c>
    </row>
    <row r="483" spans="1:18" s="205" customFormat="1" x14ac:dyDescent="0.2">
      <c r="A483" s="205" t="s">
        <v>368</v>
      </c>
      <c r="B483" s="205" t="s">
        <v>1501</v>
      </c>
      <c r="C483" s="200">
        <v>45455</v>
      </c>
      <c r="D483" s="199" t="s">
        <v>152</v>
      </c>
      <c r="E483" s="206">
        <v>34018</v>
      </c>
      <c r="F483" s="206">
        <v>3402</v>
      </c>
      <c r="G483" s="206">
        <v>170</v>
      </c>
      <c r="H483" s="202">
        <f t="shared" si="7"/>
        <v>30786</v>
      </c>
      <c r="I483" s="205" t="s">
        <v>292</v>
      </c>
      <c r="J483" s="205" t="s">
        <v>23</v>
      </c>
      <c r="K483" s="201" t="s">
        <v>1042</v>
      </c>
      <c r="L483" s="205" t="s">
        <v>5368</v>
      </c>
      <c r="M483" s="201" t="s">
        <v>1030</v>
      </c>
      <c r="N483" s="205" t="s">
        <v>652</v>
      </c>
      <c r="O483" s="205" t="s">
        <v>652</v>
      </c>
      <c r="P483" s="208" t="s">
        <v>498</v>
      </c>
      <c r="Q483" s="208" t="s">
        <v>828</v>
      </c>
      <c r="R483" s="208" t="s">
        <v>4516</v>
      </c>
    </row>
    <row r="484" spans="1:18" s="205" customFormat="1" x14ac:dyDescent="0.2">
      <c r="A484" s="205" t="s">
        <v>403</v>
      </c>
      <c r="B484" s="205" t="s">
        <v>1992</v>
      </c>
      <c r="C484" s="200">
        <v>45455</v>
      </c>
      <c r="D484" s="199" t="s">
        <v>152</v>
      </c>
      <c r="E484" s="206">
        <v>370594</v>
      </c>
      <c r="F484" s="206">
        <v>37059</v>
      </c>
      <c r="G484" s="206">
        <v>1853</v>
      </c>
      <c r="H484" s="202">
        <f t="shared" si="7"/>
        <v>335388</v>
      </c>
      <c r="I484" s="205" t="s">
        <v>52</v>
      </c>
      <c r="J484" s="205" t="s">
        <v>23</v>
      </c>
      <c r="K484" s="201" t="s">
        <v>1042</v>
      </c>
      <c r="L484" s="205" t="s">
        <v>5369</v>
      </c>
      <c r="M484" s="201" t="s">
        <v>1030</v>
      </c>
      <c r="N484" s="205" t="s">
        <v>1994</v>
      </c>
      <c r="O484" s="205" t="s">
        <v>1286</v>
      </c>
      <c r="P484" s="208" t="s">
        <v>987</v>
      </c>
      <c r="Q484" s="208" t="s">
        <v>988</v>
      </c>
      <c r="R484" s="208" t="s">
        <v>4516</v>
      </c>
    </row>
    <row r="485" spans="1:18" s="205" customFormat="1" x14ac:dyDescent="0.2">
      <c r="A485" s="205" t="s">
        <v>1413</v>
      </c>
      <c r="B485" s="205" t="s">
        <v>1414</v>
      </c>
      <c r="C485" s="200">
        <v>45455</v>
      </c>
      <c r="D485" s="199" t="s">
        <v>152</v>
      </c>
      <c r="E485" s="206">
        <v>58169</v>
      </c>
      <c r="F485" s="206">
        <v>5817</v>
      </c>
      <c r="G485" s="206">
        <v>291</v>
      </c>
      <c r="H485" s="202">
        <f t="shared" si="7"/>
        <v>52643</v>
      </c>
      <c r="I485" s="205" t="s">
        <v>38</v>
      </c>
      <c r="J485" s="205" t="s">
        <v>23</v>
      </c>
      <c r="K485" s="201" t="s">
        <v>1042</v>
      </c>
      <c r="L485" s="205" t="s">
        <v>5370</v>
      </c>
      <c r="M485" s="201" t="s">
        <v>652</v>
      </c>
      <c r="N485" s="205" t="s">
        <v>652</v>
      </c>
      <c r="O485" s="205" t="s">
        <v>652</v>
      </c>
      <c r="P485" s="208" t="s">
        <v>1416</v>
      </c>
      <c r="Q485" s="208" t="s">
        <v>1417</v>
      </c>
      <c r="R485" s="208" t="s">
        <v>4516</v>
      </c>
    </row>
    <row r="486" spans="1:18" s="205" customFormat="1" x14ac:dyDescent="0.2">
      <c r="A486" s="205" t="s">
        <v>91</v>
      </c>
      <c r="B486" s="205" t="s">
        <v>396</v>
      </c>
      <c r="C486" s="200">
        <v>45455</v>
      </c>
      <c r="D486" s="199" t="s">
        <v>152</v>
      </c>
      <c r="E486" s="206">
        <v>24868</v>
      </c>
      <c r="F486" s="206">
        <v>2487</v>
      </c>
      <c r="G486" s="206">
        <v>124</v>
      </c>
      <c r="H486" s="202">
        <f t="shared" si="7"/>
        <v>22505</v>
      </c>
      <c r="I486" s="205" t="s">
        <v>92</v>
      </c>
      <c r="J486" s="205" t="s">
        <v>23</v>
      </c>
      <c r="K486" s="201" t="s">
        <v>1042</v>
      </c>
      <c r="L486" s="205" t="s">
        <v>5371</v>
      </c>
      <c r="M486" s="201" t="s">
        <v>1030</v>
      </c>
      <c r="N486" s="205" t="s">
        <v>652</v>
      </c>
      <c r="O486" s="205" t="s">
        <v>652</v>
      </c>
      <c r="P486" s="208" t="s">
        <v>716</v>
      </c>
      <c r="Q486" s="208" t="s">
        <v>717</v>
      </c>
      <c r="R486" s="208" t="s">
        <v>4516</v>
      </c>
    </row>
    <row r="487" spans="1:18" s="205" customFormat="1" x14ac:dyDescent="0.2">
      <c r="A487" s="205" t="s">
        <v>449</v>
      </c>
      <c r="B487" s="205" t="s">
        <v>891</v>
      </c>
      <c r="C487" s="200">
        <v>45455</v>
      </c>
      <c r="D487" s="199" t="s">
        <v>152</v>
      </c>
      <c r="E487" s="206">
        <v>8070</v>
      </c>
      <c r="F487" s="206">
        <v>807</v>
      </c>
      <c r="G487" s="206">
        <v>40</v>
      </c>
      <c r="H487" s="202">
        <f t="shared" si="7"/>
        <v>7303</v>
      </c>
      <c r="I487" s="205" t="s">
        <v>264</v>
      </c>
      <c r="J487" s="205" t="s">
        <v>23</v>
      </c>
      <c r="K487" s="199" t="s">
        <v>1042</v>
      </c>
      <c r="L487" s="205" t="s">
        <v>5372</v>
      </c>
      <c r="M487" s="201" t="s">
        <v>1030</v>
      </c>
      <c r="N487" s="205" t="s">
        <v>652</v>
      </c>
      <c r="O487" s="205" t="s">
        <v>652</v>
      </c>
      <c r="P487" s="208" t="s">
        <v>718</v>
      </c>
      <c r="Q487" s="208" t="s">
        <v>719</v>
      </c>
      <c r="R487" s="208" t="s">
        <v>4516</v>
      </c>
    </row>
    <row r="488" spans="1:18" s="205" customFormat="1" x14ac:dyDescent="0.2">
      <c r="A488" s="205" t="s">
        <v>207</v>
      </c>
      <c r="B488" s="205" t="s">
        <v>916</v>
      </c>
      <c r="C488" s="200">
        <v>45455</v>
      </c>
      <c r="D488" s="199" t="s">
        <v>152</v>
      </c>
      <c r="E488" s="206">
        <v>80083</v>
      </c>
      <c r="F488" s="206">
        <v>8008</v>
      </c>
      <c r="G488" s="206">
        <v>400</v>
      </c>
      <c r="H488" s="202">
        <f t="shared" si="7"/>
        <v>72475</v>
      </c>
      <c r="I488" s="205" t="s">
        <v>44</v>
      </c>
      <c r="J488" s="205" t="s">
        <v>23</v>
      </c>
      <c r="K488" s="199" t="s">
        <v>1042</v>
      </c>
      <c r="L488" s="205" t="s">
        <v>5373</v>
      </c>
      <c r="M488" s="201" t="s">
        <v>1030</v>
      </c>
      <c r="N488" s="205" t="s">
        <v>652</v>
      </c>
      <c r="O488" s="205" t="s">
        <v>652</v>
      </c>
      <c r="P488" s="208" t="s">
        <v>663</v>
      </c>
      <c r="Q488" s="208" t="s">
        <v>745</v>
      </c>
      <c r="R488" s="208" t="s">
        <v>4516</v>
      </c>
    </row>
    <row r="489" spans="1:18" s="205" customFormat="1" x14ac:dyDescent="0.2">
      <c r="A489" s="205" t="s">
        <v>130</v>
      </c>
      <c r="B489" s="205" t="s">
        <v>623</v>
      </c>
      <c r="C489" s="200">
        <v>45455</v>
      </c>
      <c r="D489" s="199" t="s">
        <v>152</v>
      </c>
      <c r="E489" s="206">
        <v>45034</v>
      </c>
      <c r="F489" s="206">
        <v>4503</v>
      </c>
      <c r="G489" s="206">
        <v>225</v>
      </c>
      <c r="H489" s="202">
        <f t="shared" si="7"/>
        <v>40756</v>
      </c>
      <c r="I489" s="205" t="s">
        <v>44</v>
      </c>
      <c r="J489" s="205" t="s">
        <v>23</v>
      </c>
      <c r="K489" s="199" t="s">
        <v>1042</v>
      </c>
      <c r="L489" s="205" t="s">
        <v>5374</v>
      </c>
      <c r="M489" s="201" t="s">
        <v>1030</v>
      </c>
      <c r="N489" s="205" t="s">
        <v>652</v>
      </c>
      <c r="O489" s="205" t="s">
        <v>652</v>
      </c>
      <c r="P489" s="214" t="s">
        <v>653</v>
      </c>
      <c r="Q489" s="214" t="s">
        <v>654</v>
      </c>
      <c r="R489" s="214" t="s">
        <v>4516</v>
      </c>
    </row>
    <row r="490" spans="1:18" s="205" customFormat="1" x14ac:dyDescent="0.2">
      <c r="A490" s="209" t="s">
        <v>67</v>
      </c>
      <c r="B490" s="209" t="s">
        <v>572</v>
      </c>
      <c r="C490" s="210">
        <v>45455</v>
      </c>
      <c r="D490" s="199" t="s">
        <v>152</v>
      </c>
      <c r="E490" s="211">
        <v>23066</v>
      </c>
      <c r="F490" s="211">
        <v>2307</v>
      </c>
      <c r="G490" s="211">
        <v>115</v>
      </c>
      <c r="H490" s="202">
        <f t="shared" si="7"/>
        <v>20874</v>
      </c>
      <c r="I490" s="209" t="s">
        <v>44</v>
      </c>
      <c r="J490" s="209" t="s">
        <v>23</v>
      </c>
      <c r="K490" s="201" t="s">
        <v>1042</v>
      </c>
      <c r="L490" s="209" t="s">
        <v>5375</v>
      </c>
      <c r="M490" s="201" t="s">
        <v>1030</v>
      </c>
      <c r="N490" s="209" t="s">
        <v>652</v>
      </c>
      <c r="O490" s="209" t="s">
        <v>652</v>
      </c>
      <c r="P490" s="213" t="s">
        <v>653</v>
      </c>
      <c r="Q490" s="213" t="s">
        <v>654</v>
      </c>
      <c r="R490" s="213" t="s">
        <v>4516</v>
      </c>
    </row>
    <row r="491" spans="1:18" s="205" customFormat="1" x14ac:dyDescent="0.2">
      <c r="A491" s="209" t="s">
        <v>1271</v>
      </c>
      <c r="B491" s="209" t="s">
        <v>1272</v>
      </c>
      <c r="C491" s="210">
        <v>45455</v>
      </c>
      <c r="D491" s="199" t="s">
        <v>152</v>
      </c>
      <c r="E491" s="211">
        <v>18811</v>
      </c>
      <c r="F491" s="211">
        <v>1881</v>
      </c>
      <c r="G491" s="211">
        <v>94</v>
      </c>
      <c r="H491" s="202">
        <f t="shared" si="7"/>
        <v>17024</v>
      </c>
      <c r="I491" s="209" t="s">
        <v>22</v>
      </c>
      <c r="J491" s="209" t="s">
        <v>23</v>
      </c>
      <c r="K491" s="201" t="s">
        <v>1042</v>
      </c>
      <c r="L491" s="209" t="s">
        <v>5376</v>
      </c>
      <c r="M491" s="201" t="s">
        <v>1030</v>
      </c>
      <c r="N491" s="209" t="s">
        <v>1274</v>
      </c>
      <c r="O491" s="209" t="s">
        <v>1111</v>
      </c>
      <c r="P491" s="213" t="s">
        <v>987</v>
      </c>
      <c r="Q491" s="213" t="s">
        <v>988</v>
      </c>
      <c r="R491" s="213" t="s">
        <v>4516</v>
      </c>
    </row>
    <row r="492" spans="1:18" s="205" customFormat="1" x14ac:dyDescent="0.2">
      <c r="A492" s="209" t="s">
        <v>84</v>
      </c>
      <c r="B492" s="209" t="s">
        <v>540</v>
      </c>
      <c r="C492" s="210">
        <v>45455</v>
      </c>
      <c r="D492" s="199" t="s">
        <v>152</v>
      </c>
      <c r="E492" s="211">
        <v>19461</v>
      </c>
      <c r="F492" s="211">
        <v>1946</v>
      </c>
      <c r="G492" s="211">
        <v>97</v>
      </c>
      <c r="H492" s="202">
        <f t="shared" si="7"/>
        <v>17612</v>
      </c>
      <c r="I492" s="209" t="s">
        <v>66</v>
      </c>
      <c r="J492" s="209" t="s">
        <v>23</v>
      </c>
      <c r="K492" s="201" t="s">
        <v>1042</v>
      </c>
      <c r="L492" s="209" t="s">
        <v>5377</v>
      </c>
      <c r="M492" s="201" t="s">
        <v>1030</v>
      </c>
      <c r="N492" s="209" t="s">
        <v>652</v>
      </c>
      <c r="O492" s="209" t="s">
        <v>652</v>
      </c>
      <c r="P492" s="213" t="s">
        <v>688</v>
      </c>
      <c r="Q492" s="213" t="s">
        <v>689</v>
      </c>
      <c r="R492" s="213" t="s">
        <v>4516</v>
      </c>
    </row>
    <row r="493" spans="1:18" s="205" customFormat="1" x14ac:dyDescent="0.2">
      <c r="A493" s="205" t="s">
        <v>147</v>
      </c>
      <c r="B493" s="205" t="s">
        <v>389</v>
      </c>
      <c r="C493" s="200">
        <v>45455</v>
      </c>
      <c r="D493" s="199" t="s">
        <v>152</v>
      </c>
      <c r="E493" s="206">
        <v>11463</v>
      </c>
      <c r="F493" s="206">
        <v>1146</v>
      </c>
      <c r="G493" s="206">
        <v>57</v>
      </c>
      <c r="H493" s="202">
        <f t="shared" si="7"/>
        <v>10374</v>
      </c>
      <c r="I493" s="205" t="s">
        <v>54</v>
      </c>
      <c r="J493" s="205" t="s">
        <v>23</v>
      </c>
      <c r="K493" s="201" t="s">
        <v>1042</v>
      </c>
      <c r="L493" s="205" t="s">
        <v>5378</v>
      </c>
      <c r="M493" s="201" t="s">
        <v>1030</v>
      </c>
      <c r="N493" s="205" t="s">
        <v>652</v>
      </c>
      <c r="O493" s="205" t="s">
        <v>652</v>
      </c>
      <c r="P493" s="208" t="s">
        <v>701</v>
      </c>
      <c r="Q493" s="208" t="s">
        <v>702</v>
      </c>
      <c r="R493" s="208" t="s">
        <v>4516</v>
      </c>
    </row>
    <row r="494" spans="1:18" s="205" customFormat="1" x14ac:dyDescent="0.2">
      <c r="A494" s="205" t="s">
        <v>5379</v>
      </c>
      <c r="B494" s="205" t="s">
        <v>5380</v>
      </c>
      <c r="C494" s="200">
        <v>45456</v>
      </c>
      <c r="D494" s="199" t="s">
        <v>152</v>
      </c>
      <c r="E494" s="206">
        <v>51742</v>
      </c>
      <c r="F494" s="206">
        <v>5174</v>
      </c>
      <c r="G494" s="206">
        <v>259</v>
      </c>
      <c r="H494" s="202">
        <f t="shared" si="7"/>
        <v>46827</v>
      </c>
      <c r="I494" s="205" t="s">
        <v>104</v>
      </c>
      <c r="J494" s="205" t="s">
        <v>23</v>
      </c>
      <c r="K494" s="201" t="s">
        <v>1028</v>
      </c>
      <c r="L494" s="205" t="s">
        <v>5381</v>
      </c>
      <c r="M494" s="201" t="s">
        <v>1072</v>
      </c>
      <c r="N494" s="205" t="s">
        <v>652</v>
      </c>
      <c r="O494" s="205" t="s">
        <v>652</v>
      </c>
      <c r="P494" s="216" t="s">
        <v>4652</v>
      </c>
      <c r="Q494" s="216" t="s">
        <v>4653</v>
      </c>
      <c r="R494" s="216" t="s">
        <v>4516</v>
      </c>
    </row>
    <row r="495" spans="1:18" s="205" customFormat="1" x14ac:dyDescent="0.2">
      <c r="A495" s="205" t="s">
        <v>5382</v>
      </c>
      <c r="B495" s="205" t="s">
        <v>5383</v>
      </c>
      <c r="C495" s="200">
        <v>45456</v>
      </c>
      <c r="D495" s="199" t="s">
        <v>152</v>
      </c>
      <c r="E495" s="206">
        <v>124503</v>
      </c>
      <c r="F495" s="206">
        <v>12450</v>
      </c>
      <c r="G495" s="206">
        <v>623</v>
      </c>
      <c r="H495" s="202">
        <f t="shared" si="7"/>
        <v>112676</v>
      </c>
      <c r="I495" s="205" t="s">
        <v>104</v>
      </c>
      <c r="J495" s="205" t="s">
        <v>23</v>
      </c>
      <c r="K495" s="201" t="s">
        <v>1028</v>
      </c>
      <c r="L495" s="205" t="s">
        <v>5384</v>
      </c>
      <c r="M495" s="201" t="s">
        <v>1072</v>
      </c>
      <c r="N495" s="205" t="s">
        <v>652</v>
      </c>
      <c r="O495" s="205" t="s">
        <v>652</v>
      </c>
      <c r="P495" s="208" t="s">
        <v>4652</v>
      </c>
      <c r="Q495" s="208" t="s">
        <v>4653</v>
      </c>
      <c r="R495" s="208" t="s">
        <v>4516</v>
      </c>
    </row>
    <row r="496" spans="1:18" s="205" customFormat="1" x14ac:dyDescent="0.2">
      <c r="A496" s="205" t="s">
        <v>5385</v>
      </c>
      <c r="B496" s="205" t="s">
        <v>5386</v>
      </c>
      <c r="C496" s="200">
        <v>45456</v>
      </c>
      <c r="D496" s="199" t="s">
        <v>152</v>
      </c>
      <c r="E496" s="206">
        <v>136213</v>
      </c>
      <c r="F496" s="206">
        <v>13621</v>
      </c>
      <c r="G496" s="206">
        <v>681</v>
      </c>
      <c r="H496" s="202">
        <f t="shared" si="7"/>
        <v>123273</v>
      </c>
      <c r="I496" s="205" t="s">
        <v>104</v>
      </c>
      <c r="J496" s="205" t="s">
        <v>23</v>
      </c>
      <c r="K496" s="199" t="s">
        <v>1028</v>
      </c>
      <c r="L496" s="205" t="s">
        <v>5387</v>
      </c>
      <c r="M496" s="201" t="s">
        <v>1072</v>
      </c>
      <c r="N496" s="205" t="s">
        <v>652</v>
      </c>
      <c r="O496" s="205" t="s">
        <v>652</v>
      </c>
      <c r="P496" s="208" t="s">
        <v>4652</v>
      </c>
      <c r="Q496" s="208" t="s">
        <v>4653</v>
      </c>
      <c r="R496" s="208" t="s">
        <v>4516</v>
      </c>
    </row>
    <row r="497" spans="1:18" s="205" customFormat="1" x14ac:dyDescent="0.2">
      <c r="A497" s="209" t="s">
        <v>116</v>
      </c>
      <c r="B497" s="209" t="s">
        <v>524</v>
      </c>
      <c r="C497" s="210">
        <v>45456</v>
      </c>
      <c r="D497" s="199" t="s">
        <v>152</v>
      </c>
      <c r="E497" s="211">
        <v>20150</v>
      </c>
      <c r="F497" s="206">
        <v>2015</v>
      </c>
      <c r="G497" s="206">
        <v>101</v>
      </c>
      <c r="H497" s="202">
        <f t="shared" si="7"/>
        <v>18236</v>
      </c>
      <c r="I497" s="209" t="s">
        <v>44</v>
      </c>
      <c r="J497" s="209" t="s">
        <v>23</v>
      </c>
      <c r="K497" s="201" t="s">
        <v>1141</v>
      </c>
      <c r="L497" s="209" t="s">
        <v>5388</v>
      </c>
      <c r="M497" s="201" t="s">
        <v>1030</v>
      </c>
      <c r="N497" s="209" t="s">
        <v>652</v>
      </c>
      <c r="O497" s="209" t="s">
        <v>652</v>
      </c>
      <c r="P497" s="213" t="s">
        <v>666</v>
      </c>
      <c r="Q497" s="213" t="s">
        <v>667</v>
      </c>
      <c r="R497" s="213" t="s">
        <v>4635</v>
      </c>
    </row>
    <row r="498" spans="1:18" s="205" customFormat="1" x14ac:dyDescent="0.2">
      <c r="A498" s="205" t="s">
        <v>471</v>
      </c>
      <c r="B498" s="205" t="s">
        <v>5389</v>
      </c>
      <c r="C498" s="200">
        <v>45456</v>
      </c>
      <c r="D498" s="199" t="s">
        <v>152</v>
      </c>
      <c r="E498" s="206">
        <v>1715552</v>
      </c>
      <c r="F498" s="206">
        <v>171555</v>
      </c>
      <c r="G498" s="206">
        <v>8578</v>
      </c>
      <c r="H498" s="202">
        <f t="shared" si="7"/>
        <v>1552575</v>
      </c>
      <c r="I498" s="205" t="s">
        <v>89</v>
      </c>
      <c r="J498" s="205" t="s">
        <v>23</v>
      </c>
      <c r="K498" s="201" t="s">
        <v>1028</v>
      </c>
      <c r="L498" s="205" t="s">
        <v>5390</v>
      </c>
      <c r="M498" s="201" t="s">
        <v>1030</v>
      </c>
      <c r="N498" s="205" t="s">
        <v>652</v>
      </c>
      <c r="O498" s="205" t="s">
        <v>652</v>
      </c>
      <c r="P498" s="208" t="s">
        <v>4481</v>
      </c>
      <c r="Q498" s="208" t="s">
        <v>4486</v>
      </c>
      <c r="R498" s="208" t="s">
        <v>4635</v>
      </c>
    </row>
    <row r="499" spans="1:18" s="205" customFormat="1" x14ac:dyDescent="0.2">
      <c r="A499" s="205" t="s">
        <v>77</v>
      </c>
      <c r="B499" s="205" t="s">
        <v>369</v>
      </c>
      <c r="C499" s="200">
        <v>45456</v>
      </c>
      <c r="D499" s="199" t="s">
        <v>152</v>
      </c>
      <c r="E499" s="206">
        <v>18838</v>
      </c>
      <c r="F499" s="206">
        <v>1884</v>
      </c>
      <c r="G499" s="206">
        <v>94</v>
      </c>
      <c r="H499" s="202">
        <f t="shared" si="7"/>
        <v>17048</v>
      </c>
      <c r="I499" s="205" t="s">
        <v>33</v>
      </c>
      <c r="J499" s="205" t="s">
        <v>23</v>
      </c>
      <c r="K499" s="201" t="s">
        <v>1042</v>
      </c>
      <c r="L499" s="205" t="s">
        <v>5391</v>
      </c>
      <c r="M499" s="201" t="s">
        <v>652</v>
      </c>
      <c r="N499" s="205" t="s">
        <v>652</v>
      </c>
      <c r="O499" s="205" t="s">
        <v>652</v>
      </c>
      <c r="P499" s="208" t="s">
        <v>503</v>
      </c>
      <c r="Q499" s="208" t="s">
        <v>766</v>
      </c>
      <c r="R499" s="208" t="s">
        <v>4635</v>
      </c>
    </row>
    <row r="500" spans="1:18" s="205" customFormat="1" x14ac:dyDescent="0.2">
      <c r="A500" s="205" t="s">
        <v>317</v>
      </c>
      <c r="B500" s="205" t="s">
        <v>318</v>
      </c>
      <c r="C500" s="200">
        <v>45456</v>
      </c>
      <c r="D500" s="199" t="s">
        <v>152</v>
      </c>
      <c r="E500" s="206">
        <v>3000</v>
      </c>
      <c r="F500" s="206">
        <v>300</v>
      </c>
      <c r="G500" s="206">
        <v>15</v>
      </c>
      <c r="H500" s="202">
        <f t="shared" si="7"/>
        <v>2715</v>
      </c>
      <c r="I500" s="205" t="s">
        <v>59</v>
      </c>
      <c r="J500" s="205" t="s">
        <v>23</v>
      </c>
      <c r="K500" s="201" t="s">
        <v>1042</v>
      </c>
      <c r="L500" s="205" t="s">
        <v>5392</v>
      </c>
      <c r="M500" s="201" t="s">
        <v>1030</v>
      </c>
      <c r="N500" s="205" t="s">
        <v>1382</v>
      </c>
      <c r="O500" s="205" t="s">
        <v>1382</v>
      </c>
      <c r="P500" s="208" t="s">
        <v>696</v>
      </c>
      <c r="Q500" s="208" t="s">
        <v>697</v>
      </c>
      <c r="R500" s="208" t="s">
        <v>4635</v>
      </c>
    </row>
    <row r="501" spans="1:18" s="205" customFormat="1" x14ac:dyDescent="0.2">
      <c r="A501" s="205" t="s">
        <v>537</v>
      </c>
      <c r="B501" s="205" t="s">
        <v>538</v>
      </c>
      <c r="C501" s="200">
        <v>45456</v>
      </c>
      <c r="D501" s="199" t="s">
        <v>152</v>
      </c>
      <c r="E501" s="206">
        <v>3000</v>
      </c>
      <c r="F501" s="206">
        <v>300</v>
      </c>
      <c r="G501" s="206">
        <v>15</v>
      </c>
      <c r="H501" s="202">
        <f t="shared" si="7"/>
        <v>2715</v>
      </c>
      <c r="I501" s="205" t="s">
        <v>344</v>
      </c>
      <c r="J501" s="205" t="s">
        <v>23</v>
      </c>
      <c r="K501" s="201" t="s">
        <v>1042</v>
      </c>
      <c r="L501" s="205" t="s">
        <v>5393</v>
      </c>
      <c r="M501" s="201" t="s">
        <v>1030</v>
      </c>
      <c r="N501" s="205" t="s">
        <v>1065</v>
      </c>
      <c r="O501" s="205" t="s">
        <v>1066</v>
      </c>
      <c r="P501" s="208" t="s">
        <v>688</v>
      </c>
      <c r="Q501" s="208" t="s">
        <v>689</v>
      </c>
      <c r="R501" s="208" t="s">
        <v>4635</v>
      </c>
    </row>
    <row r="502" spans="1:18" s="205" customFormat="1" x14ac:dyDescent="0.2">
      <c r="A502" s="205" t="s">
        <v>1271</v>
      </c>
      <c r="B502" s="205" t="s">
        <v>1272</v>
      </c>
      <c r="C502" s="200">
        <v>45456</v>
      </c>
      <c r="D502" s="199" t="s">
        <v>152</v>
      </c>
      <c r="E502" s="206">
        <v>31196</v>
      </c>
      <c r="F502" s="206">
        <v>3120</v>
      </c>
      <c r="G502" s="206">
        <v>156</v>
      </c>
      <c r="H502" s="202">
        <f t="shared" si="7"/>
        <v>28232</v>
      </c>
      <c r="I502" s="205" t="s">
        <v>22</v>
      </c>
      <c r="J502" s="205" t="s">
        <v>23</v>
      </c>
      <c r="K502" s="201" t="s">
        <v>1042</v>
      </c>
      <c r="L502" s="205" t="s">
        <v>5394</v>
      </c>
      <c r="M502" s="201" t="s">
        <v>1030</v>
      </c>
      <c r="N502" s="205" t="s">
        <v>1274</v>
      </c>
      <c r="O502" s="205" t="s">
        <v>1111</v>
      </c>
      <c r="P502" s="208" t="s">
        <v>987</v>
      </c>
      <c r="Q502" s="208" t="s">
        <v>988</v>
      </c>
      <c r="R502" s="208" t="s">
        <v>4635</v>
      </c>
    </row>
    <row r="503" spans="1:18" s="205" customFormat="1" x14ac:dyDescent="0.2">
      <c r="A503" s="205" t="s">
        <v>5395</v>
      </c>
      <c r="B503" s="205" t="s">
        <v>5396</v>
      </c>
      <c r="C503" s="200">
        <v>45456</v>
      </c>
      <c r="D503" s="199" t="s">
        <v>152</v>
      </c>
      <c r="E503" s="206">
        <v>38660</v>
      </c>
      <c r="F503" s="206">
        <v>3866</v>
      </c>
      <c r="G503" s="206">
        <v>193</v>
      </c>
      <c r="H503" s="202">
        <f t="shared" si="7"/>
        <v>34987</v>
      </c>
      <c r="I503" s="205" t="s">
        <v>54</v>
      </c>
      <c r="J503" s="205" t="s">
        <v>23</v>
      </c>
      <c r="K503" s="201" t="s">
        <v>1058</v>
      </c>
      <c r="L503" s="205" t="s">
        <v>5397</v>
      </c>
      <c r="M503" s="201" t="s">
        <v>1030</v>
      </c>
      <c r="N503" s="205" t="s">
        <v>652</v>
      </c>
      <c r="O503" s="205" t="s">
        <v>652</v>
      </c>
      <c r="P503" s="208" t="s">
        <v>3035</v>
      </c>
      <c r="Q503" s="208" t="s">
        <v>4490</v>
      </c>
      <c r="R503" s="208" t="s">
        <v>4635</v>
      </c>
    </row>
    <row r="504" spans="1:18" s="205" customFormat="1" x14ac:dyDescent="0.2">
      <c r="A504" s="205" t="s">
        <v>5398</v>
      </c>
      <c r="B504" s="205" t="s">
        <v>5399</v>
      </c>
      <c r="C504" s="200">
        <v>45456</v>
      </c>
      <c r="D504" s="199" t="s">
        <v>152</v>
      </c>
      <c r="E504" s="206">
        <v>38660</v>
      </c>
      <c r="F504" s="206">
        <v>3866</v>
      </c>
      <c r="G504" s="206">
        <v>193</v>
      </c>
      <c r="H504" s="202">
        <f t="shared" si="7"/>
        <v>34987</v>
      </c>
      <c r="I504" s="205" t="s">
        <v>54</v>
      </c>
      <c r="J504" s="205" t="s">
        <v>23</v>
      </c>
      <c r="K504" s="201" t="s">
        <v>1058</v>
      </c>
      <c r="L504" s="205" t="s">
        <v>5400</v>
      </c>
      <c r="M504" s="201" t="s">
        <v>1030</v>
      </c>
      <c r="N504" s="205" t="s">
        <v>652</v>
      </c>
      <c r="O504" s="205" t="s">
        <v>652</v>
      </c>
      <c r="P504" s="208" t="s">
        <v>3035</v>
      </c>
      <c r="Q504" s="208" t="s">
        <v>4490</v>
      </c>
      <c r="R504" s="208" t="s">
        <v>4635</v>
      </c>
    </row>
    <row r="505" spans="1:18" s="205" customFormat="1" x14ac:dyDescent="0.2">
      <c r="A505" s="205" t="s">
        <v>841</v>
      </c>
      <c r="B505" s="205" t="s">
        <v>842</v>
      </c>
      <c r="C505" s="200">
        <v>45456</v>
      </c>
      <c r="D505" s="199" t="s">
        <v>152</v>
      </c>
      <c r="E505" s="206">
        <v>25197</v>
      </c>
      <c r="F505" s="206">
        <v>2520</v>
      </c>
      <c r="G505" s="206">
        <v>126</v>
      </c>
      <c r="H505" s="202">
        <f t="shared" si="7"/>
        <v>22803</v>
      </c>
      <c r="I505" s="205" t="s">
        <v>360</v>
      </c>
      <c r="J505" s="205" t="s">
        <v>23</v>
      </c>
      <c r="K505" s="199" t="s">
        <v>1042</v>
      </c>
      <c r="L505" s="205" t="s">
        <v>5401</v>
      </c>
      <c r="M505" s="201" t="s">
        <v>1072</v>
      </c>
      <c r="N505" s="205" t="s">
        <v>1065</v>
      </c>
      <c r="O505" s="205" t="s">
        <v>1066</v>
      </c>
      <c r="P505" s="208" t="s">
        <v>747</v>
      </c>
      <c r="Q505" s="208" t="s">
        <v>748</v>
      </c>
      <c r="R505" s="208" t="s">
        <v>4635</v>
      </c>
    </row>
    <row r="506" spans="1:18" s="205" customFormat="1" x14ac:dyDescent="0.2">
      <c r="A506" s="205" t="s">
        <v>387</v>
      </c>
      <c r="B506" s="205" t="s">
        <v>386</v>
      </c>
      <c r="C506" s="200">
        <v>45456</v>
      </c>
      <c r="D506" s="199" t="s">
        <v>152</v>
      </c>
      <c r="E506" s="206">
        <v>73622</v>
      </c>
      <c r="F506" s="206">
        <v>7362</v>
      </c>
      <c r="G506" s="206">
        <v>368</v>
      </c>
      <c r="H506" s="202">
        <f t="shared" si="7"/>
        <v>66628</v>
      </c>
      <c r="I506" s="205" t="s">
        <v>138</v>
      </c>
      <c r="J506" s="205" t="s">
        <v>23</v>
      </c>
      <c r="K506" s="199" t="s">
        <v>1042</v>
      </c>
      <c r="L506" s="205" t="s">
        <v>5402</v>
      </c>
      <c r="M506" s="201" t="s">
        <v>1030</v>
      </c>
      <c r="N506" s="205" t="s">
        <v>1190</v>
      </c>
      <c r="O506" s="205" t="s">
        <v>1191</v>
      </c>
      <c r="P506" s="208" t="s">
        <v>490</v>
      </c>
      <c r="Q506" s="208" t="s">
        <v>707</v>
      </c>
      <c r="R506" s="208" t="s">
        <v>4635</v>
      </c>
    </row>
    <row r="507" spans="1:18" s="205" customFormat="1" x14ac:dyDescent="0.2">
      <c r="A507" s="205" t="s">
        <v>1271</v>
      </c>
      <c r="B507" s="205" t="s">
        <v>1272</v>
      </c>
      <c r="C507" s="200">
        <v>45456</v>
      </c>
      <c r="D507" s="199" t="s">
        <v>152</v>
      </c>
      <c r="E507" s="206">
        <v>51014</v>
      </c>
      <c r="F507" s="206">
        <v>5101</v>
      </c>
      <c r="G507" s="206">
        <v>255</v>
      </c>
      <c r="H507" s="202">
        <f t="shared" si="7"/>
        <v>46168</v>
      </c>
      <c r="I507" s="205" t="s">
        <v>22</v>
      </c>
      <c r="J507" s="205" t="s">
        <v>23</v>
      </c>
      <c r="K507" s="199" t="s">
        <v>1042</v>
      </c>
      <c r="L507" s="205" t="s">
        <v>5403</v>
      </c>
      <c r="M507" s="201" t="s">
        <v>1030</v>
      </c>
      <c r="N507" s="205" t="s">
        <v>1274</v>
      </c>
      <c r="O507" s="205" t="s">
        <v>1111</v>
      </c>
      <c r="P507" s="208" t="s">
        <v>987</v>
      </c>
      <c r="Q507" s="208" t="s">
        <v>988</v>
      </c>
      <c r="R507" s="208" t="s">
        <v>4635</v>
      </c>
    </row>
    <row r="508" spans="1:18" s="205" customFormat="1" x14ac:dyDescent="0.2">
      <c r="A508" s="205" t="s">
        <v>5404</v>
      </c>
      <c r="B508" s="205" t="s">
        <v>5405</v>
      </c>
      <c r="C508" s="200">
        <v>45457</v>
      </c>
      <c r="D508" s="199" t="s">
        <v>152</v>
      </c>
      <c r="E508" s="206">
        <v>29327</v>
      </c>
      <c r="F508" s="206">
        <v>2933</v>
      </c>
      <c r="G508" s="206">
        <v>147</v>
      </c>
      <c r="H508" s="202">
        <f t="shared" si="7"/>
        <v>26541</v>
      </c>
      <c r="I508" s="205" t="s">
        <v>37</v>
      </c>
      <c r="J508" s="205" t="s">
        <v>23</v>
      </c>
      <c r="K508" s="199" t="s">
        <v>1028</v>
      </c>
      <c r="L508" s="205" t="s">
        <v>5406</v>
      </c>
      <c r="M508" s="201" t="s">
        <v>1030</v>
      </c>
      <c r="N508" s="205" t="s">
        <v>652</v>
      </c>
      <c r="O508" s="205" t="s">
        <v>652</v>
      </c>
      <c r="P508" s="214" t="s">
        <v>2664</v>
      </c>
      <c r="Q508" s="214" t="s">
        <v>2665</v>
      </c>
      <c r="R508" s="214" t="s">
        <v>4635</v>
      </c>
    </row>
    <row r="509" spans="1:18" s="205" customFormat="1" x14ac:dyDescent="0.2">
      <c r="A509" s="209" t="s">
        <v>5407</v>
      </c>
      <c r="B509" s="209" t="s">
        <v>5408</v>
      </c>
      <c r="C509" s="210">
        <v>45457</v>
      </c>
      <c r="D509" s="199" t="s">
        <v>152</v>
      </c>
      <c r="E509" s="211">
        <v>67877</v>
      </c>
      <c r="F509" s="211">
        <v>6788</v>
      </c>
      <c r="G509" s="211">
        <v>339</v>
      </c>
      <c r="H509" s="202">
        <f t="shared" si="7"/>
        <v>61428</v>
      </c>
      <c r="I509" s="209" t="s">
        <v>37</v>
      </c>
      <c r="J509" s="209" t="s">
        <v>23</v>
      </c>
      <c r="K509" s="201" t="s">
        <v>1028</v>
      </c>
      <c r="L509" s="209" t="s">
        <v>5409</v>
      </c>
      <c r="M509" s="201" t="s">
        <v>1030</v>
      </c>
      <c r="N509" s="209" t="s">
        <v>652</v>
      </c>
      <c r="O509" s="209" t="s">
        <v>652</v>
      </c>
      <c r="P509" s="213" t="s">
        <v>4652</v>
      </c>
      <c r="Q509" s="213" t="s">
        <v>4653</v>
      </c>
      <c r="R509" s="213" t="s">
        <v>4635</v>
      </c>
    </row>
    <row r="510" spans="1:18" s="205" customFormat="1" x14ac:dyDescent="0.2">
      <c r="A510" s="205" t="s">
        <v>415</v>
      </c>
      <c r="B510" s="205" t="s">
        <v>5410</v>
      </c>
      <c r="C510" s="200">
        <v>45457</v>
      </c>
      <c r="D510" s="199" t="s">
        <v>152</v>
      </c>
      <c r="E510" s="206">
        <v>62645</v>
      </c>
      <c r="F510" s="206">
        <v>6265</v>
      </c>
      <c r="G510" s="206">
        <v>313</v>
      </c>
      <c r="H510" s="202">
        <f t="shared" si="7"/>
        <v>56693</v>
      </c>
      <c r="I510" s="205" t="s">
        <v>37</v>
      </c>
      <c r="J510" s="205" t="s">
        <v>23</v>
      </c>
      <c r="K510" s="201" t="s">
        <v>1028</v>
      </c>
      <c r="L510" s="205" t="s">
        <v>5411</v>
      </c>
      <c r="M510" s="201" t="s">
        <v>1030</v>
      </c>
      <c r="N510" s="205" t="s">
        <v>652</v>
      </c>
      <c r="O510" s="205" t="s">
        <v>652</v>
      </c>
      <c r="P510" s="208" t="s">
        <v>3279</v>
      </c>
      <c r="Q510" s="208" t="s">
        <v>3280</v>
      </c>
      <c r="R510" s="208" t="s">
        <v>4635</v>
      </c>
    </row>
    <row r="511" spans="1:18" s="205" customFormat="1" x14ac:dyDescent="0.2">
      <c r="A511" s="205" t="s">
        <v>5412</v>
      </c>
      <c r="B511" s="205" t="s">
        <v>5413</v>
      </c>
      <c r="C511" s="200">
        <v>45457</v>
      </c>
      <c r="D511" s="199" t="s">
        <v>152</v>
      </c>
      <c r="E511" s="206">
        <v>38660</v>
      </c>
      <c r="F511" s="206">
        <v>3866</v>
      </c>
      <c r="G511" s="206">
        <v>193</v>
      </c>
      <c r="H511" s="202">
        <f t="shared" si="7"/>
        <v>34987</v>
      </c>
      <c r="I511" s="205" t="s">
        <v>37</v>
      </c>
      <c r="J511" s="205" t="s">
        <v>23</v>
      </c>
      <c r="K511" s="201" t="s">
        <v>1028</v>
      </c>
      <c r="L511" s="205" t="s">
        <v>5414</v>
      </c>
      <c r="M511" s="201" t="s">
        <v>1030</v>
      </c>
      <c r="N511" s="205" t="s">
        <v>652</v>
      </c>
      <c r="O511" s="205" t="s">
        <v>652</v>
      </c>
      <c r="P511" s="208" t="s">
        <v>830</v>
      </c>
      <c r="Q511" s="208" t="s">
        <v>3228</v>
      </c>
      <c r="R511" s="208" t="s">
        <v>4635</v>
      </c>
    </row>
    <row r="512" spans="1:18" s="205" customFormat="1" x14ac:dyDescent="0.2">
      <c r="A512" s="205" t="s">
        <v>5415</v>
      </c>
      <c r="B512" s="205" t="s">
        <v>5416</v>
      </c>
      <c r="C512" s="200">
        <v>45457</v>
      </c>
      <c r="D512" s="199" t="s">
        <v>152</v>
      </c>
      <c r="E512" s="206">
        <v>38660</v>
      </c>
      <c r="F512" s="206">
        <v>3866</v>
      </c>
      <c r="G512" s="206">
        <v>193</v>
      </c>
      <c r="H512" s="202">
        <f t="shared" si="7"/>
        <v>34987</v>
      </c>
      <c r="I512" s="205" t="s">
        <v>37</v>
      </c>
      <c r="J512" s="205" t="s">
        <v>23</v>
      </c>
      <c r="K512" s="201" t="s">
        <v>1028</v>
      </c>
      <c r="L512" s="205" t="s">
        <v>5417</v>
      </c>
      <c r="M512" s="201" t="s">
        <v>1030</v>
      </c>
      <c r="N512" s="205" t="s">
        <v>652</v>
      </c>
      <c r="O512" s="205" t="s">
        <v>652</v>
      </c>
      <c r="P512" s="208" t="s">
        <v>830</v>
      </c>
      <c r="Q512" s="208" t="s">
        <v>3228</v>
      </c>
      <c r="R512" s="208" t="s">
        <v>4635</v>
      </c>
    </row>
    <row r="513" spans="1:18" s="205" customFormat="1" x14ac:dyDescent="0.2">
      <c r="A513" s="205" t="s">
        <v>440</v>
      </c>
      <c r="B513" s="205" t="s">
        <v>5418</v>
      </c>
      <c r="C513" s="200">
        <v>45457</v>
      </c>
      <c r="D513" s="199" t="s">
        <v>152</v>
      </c>
      <c r="E513" s="206">
        <v>3644608</v>
      </c>
      <c r="F513" s="206">
        <v>364461</v>
      </c>
      <c r="G513" s="206">
        <v>18223</v>
      </c>
      <c r="H513" s="202">
        <f t="shared" si="7"/>
        <v>3298370</v>
      </c>
      <c r="I513" s="205" t="s">
        <v>44</v>
      </c>
      <c r="J513" s="205" t="s">
        <v>23</v>
      </c>
      <c r="K513" s="201" t="s">
        <v>1028</v>
      </c>
      <c r="L513" s="205" t="s">
        <v>5419</v>
      </c>
      <c r="M513" s="201" t="s">
        <v>1030</v>
      </c>
      <c r="N513" s="205" t="s">
        <v>652</v>
      </c>
      <c r="O513" s="205" t="s">
        <v>652</v>
      </c>
      <c r="P513" s="208" t="s">
        <v>5420</v>
      </c>
      <c r="Q513" s="208" t="s">
        <v>5421</v>
      </c>
      <c r="R513" s="208" t="s">
        <v>861</v>
      </c>
    </row>
    <row r="514" spans="1:18" s="205" customFormat="1" x14ac:dyDescent="0.2">
      <c r="A514" s="205" t="s">
        <v>5422</v>
      </c>
      <c r="B514" s="205" t="s">
        <v>5423</v>
      </c>
      <c r="C514" s="200">
        <v>45457</v>
      </c>
      <c r="D514" s="199" t="s">
        <v>152</v>
      </c>
      <c r="E514" s="206">
        <v>82213</v>
      </c>
      <c r="F514" s="206">
        <v>8221</v>
      </c>
      <c r="G514" s="206">
        <v>411</v>
      </c>
      <c r="H514" s="202">
        <f t="shared" ref="H514:H577" si="8">E514+G514-F514</f>
        <v>74403</v>
      </c>
      <c r="I514" s="205" t="s">
        <v>65</v>
      </c>
      <c r="J514" s="205" t="s">
        <v>23</v>
      </c>
      <c r="K514" s="201" t="s">
        <v>1028</v>
      </c>
      <c r="L514" s="205" t="s">
        <v>5424</v>
      </c>
      <c r="M514" s="201" t="s">
        <v>1030</v>
      </c>
      <c r="N514" s="205" t="s">
        <v>652</v>
      </c>
      <c r="O514" s="205" t="s">
        <v>652</v>
      </c>
      <c r="P514" s="208" t="s">
        <v>2978</v>
      </c>
      <c r="Q514" s="208" t="s">
        <v>3008</v>
      </c>
      <c r="R514" s="208" t="s">
        <v>861</v>
      </c>
    </row>
    <row r="515" spans="1:18" s="205" customFormat="1" x14ac:dyDescent="0.2">
      <c r="A515" s="205" t="s">
        <v>5425</v>
      </c>
      <c r="B515" s="205" t="s">
        <v>5426</v>
      </c>
      <c r="C515" s="200">
        <v>45457</v>
      </c>
      <c r="D515" s="199" t="s">
        <v>152</v>
      </c>
      <c r="E515" s="206">
        <v>117561</v>
      </c>
      <c r="F515" s="206">
        <v>11756</v>
      </c>
      <c r="G515" s="206">
        <v>588</v>
      </c>
      <c r="H515" s="202">
        <f t="shared" si="8"/>
        <v>106393</v>
      </c>
      <c r="I515" s="205" t="s">
        <v>65</v>
      </c>
      <c r="J515" s="205" t="s">
        <v>23</v>
      </c>
      <c r="K515" s="201" t="s">
        <v>1028</v>
      </c>
      <c r="L515" s="205" t="s">
        <v>5427</v>
      </c>
      <c r="M515" s="201" t="s">
        <v>1030</v>
      </c>
      <c r="N515" s="205" t="s">
        <v>652</v>
      </c>
      <c r="O515" s="205" t="s">
        <v>652</v>
      </c>
      <c r="P515" s="208" t="s">
        <v>4456</v>
      </c>
      <c r="Q515" s="208" t="s">
        <v>5086</v>
      </c>
      <c r="R515" s="208" t="s">
        <v>861</v>
      </c>
    </row>
    <row r="516" spans="1:18" s="205" customFormat="1" x14ac:dyDescent="0.2">
      <c r="A516" s="205" t="s">
        <v>96</v>
      </c>
      <c r="B516" s="205" t="s">
        <v>588</v>
      </c>
      <c r="C516" s="200">
        <v>45457</v>
      </c>
      <c r="D516" s="199" t="s">
        <v>152</v>
      </c>
      <c r="E516" s="206">
        <v>21454</v>
      </c>
      <c r="F516" s="206">
        <v>2145</v>
      </c>
      <c r="G516" s="206">
        <v>107</v>
      </c>
      <c r="H516" s="202">
        <f t="shared" si="8"/>
        <v>19416</v>
      </c>
      <c r="I516" s="205" t="s">
        <v>38</v>
      </c>
      <c r="J516" s="205" t="s">
        <v>23</v>
      </c>
      <c r="K516" s="201" t="s">
        <v>1042</v>
      </c>
      <c r="L516" s="205" t="s">
        <v>5428</v>
      </c>
      <c r="M516" s="201" t="s">
        <v>1030</v>
      </c>
      <c r="N516" s="205" t="s">
        <v>652</v>
      </c>
      <c r="O516" s="205" t="s">
        <v>652</v>
      </c>
      <c r="P516" s="208" t="s">
        <v>653</v>
      </c>
      <c r="Q516" s="208" t="s">
        <v>654</v>
      </c>
      <c r="R516" s="208" t="s">
        <v>861</v>
      </c>
    </row>
    <row r="517" spans="1:18" s="205" customFormat="1" x14ac:dyDescent="0.2">
      <c r="A517" s="205" t="s">
        <v>1271</v>
      </c>
      <c r="B517" s="205" t="s">
        <v>1272</v>
      </c>
      <c r="C517" s="200">
        <v>45457</v>
      </c>
      <c r="D517" s="199" t="s">
        <v>152</v>
      </c>
      <c r="E517" s="206">
        <v>47776</v>
      </c>
      <c r="F517" s="206">
        <v>4778</v>
      </c>
      <c r="G517" s="206">
        <v>239</v>
      </c>
      <c r="H517" s="202">
        <f t="shared" si="8"/>
        <v>43237</v>
      </c>
      <c r="I517" s="205" t="s">
        <v>22</v>
      </c>
      <c r="J517" s="205" t="s">
        <v>23</v>
      </c>
      <c r="K517" s="201" t="s">
        <v>1042</v>
      </c>
      <c r="L517" s="205" t="s">
        <v>5429</v>
      </c>
      <c r="M517" s="201" t="s">
        <v>1030</v>
      </c>
      <c r="N517" s="205" t="s">
        <v>1274</v>
      </c>
      <c r="O517" s="205" t="s">
        <v>1111</v>
      </c>
      <c r="P517" s="208" t="s">
        <v>987</v>
      </c>
      <c r="Q517" s="208" t="s">
        <v>988</v>
      </c>
      <c r="R517" s="208" t="s">
        <v>861</v>
      </c>
    </row>
    <row r="518" spans="1:18" s="205" customFormat="1" x14ac:dyDescent="0.2">
      <c r="A518" s="205" t="s">
        <v>5430</v>
      </c>
      <c r="B518" s="205" t="s">
        <v>5431</v>
      </c>
      <c r="C518" s="200">
        <v>45457</v>
      </c>
      <c r="D518" s="199" t="s">
        <v>152</v>
      </c>
      <c r="E518" s="206">
        <v>54112239</v>
      </c>
      <c r="F518" s="206">
        <v>5411221</v>
      </c>
      <c r="G518" s="206">
        <v>270561</v>
      </c>
      <c r="H518" s="202">
        <f t="shared" si="8"/>
        <v>48971579</v>
      </c>
      <c r="I518" s="205" t="s">
        <v>5432</v>
      </c>
      <c r="J518" s="205" t="s">
        <v>23</v>
      </c>
      <c r="K518" s="201" t="s">
        <v>1058</v>
      </c>
      <c r="L518" s="205" t="s">
        <v>5433</v>
      </c>
      <c r="M518" s="201" t="s">
        <v>1030</v>
      </c>
      <c r="N518" s="205" t="s">
        <v>5434</v>
      </c>
      <c r="O518" s="205" t="s">
        <v>1191</v>
      </c>
      <c r="P518" s="208" t="s">
        <v>861</v>
      </c>
      <c r="Q518" s="208" t="s">
        <v>4505</v>
      </c>
      <c r="R518" s="208" t="s">
        <v>861</v>
      </c>
    </row>
    <row r="519" spans="1:18" s="205" customFormat="1" x14ac:dyDescent="0.2">
      <c r="A519" s="205" t="s">
        <v>266</v>
      </c>
      <c r="B519" s="205" t="s">
        <v>2651</v>
      </c>
      <c r="C519" s="200">
        <v>45457</v>
      </c>
      <c r="D519" s="199" t="s">
        <v>152</v>
      </c>
      <c r="E519" s="206">
        <v>119771</v>
      </c>
      <c r="F519" s="206">
        <v>11977</v>
      </c>
      <c r="G519" s="206">
        <v>599</v>
      </c>
      <c r="H519" s="202">
        <f t="shared" si="8"/>
        <v>108393</v>
      </c>
      <c r="I519" s="205" t="s">
        <v>59</v>
      </c>
      <c r="J519" s="205" t="s">
        <v>23</v>
      </c>
      <c r="K519" s="201" t="s">
        <v>1042</v>
      </c>
      <c r="L519" s="205" t="s">
        <v>5435</v>
      </c>
      <c r="M519" s="201" t="s">
        <v>1030</v>
      </c>
      <c r="N519" s="205" t="s">
        <v>652</v>
      </c>
      <c r="O519" s="205" t="s">
        <v>652</v>
      </c>
      <c r="P519" s="208" t="s">
        <v>2191</v>
      </c>
      <c r="Q519" s="208" t="s">
        <v>2192</v>
      </c>
      <c r="R519" s="208" t="s">
        <v>861</v>
      </c>
    </row>
    <row r="520" spans="1:18" s="205" customFormat="1" x14ac:dyDescent="0.2">
      <c r="A520" s="205" t="s">
        <v>97</v>
      </c>
      <c r="B520" s="205" t="s">
        <v>2714</v>
      </c>
      <c r="C520" s="200">
        <v>45457</v>
      </c>
      <c r="D520" s="199" t="s">
        <v>152</v>
      </c>
      <c r="E520" s="206">
        <v>70395</v>
      </c>
      <c r="F520" s="206">
        <v>7040</v>
      </c>
      <c r="G520" s="206">
        <v>352</v>
      </c>
      <c r="H520" s="202">
        <f t="shared" si="8"/>
        <v>63707</v>
      </c>
      <c r="I520" s="205" t="s">
        <v>54</v>
      </c>
      <c r="J520" s="205" t="s">
        <v>23</v>
      </c>
      <c r="K520" s="201" t="s">
        <v>1151</v>
      </c>
      <c r="L520" s="205" t="s">
        <v>5436</v>
      </c>
      <c r="M520" s="201" t="s">
        <v>1030</v>
      </c>
      <c r="N520" s="205" t="s">
        <v>652</v>
      </c>
      <c r="O520" s="205" t="s">
        <v>652</v>
      </c>
      <c r="P520" s="208" t="s">
        <v>2716</v>
      </c>
      <c r="Q520" s="208" t="s">
        <v>2717</v>
      </c>
      <c r="R520" s="208" t="s">
        <v>861</v>
      </c>
    </row>
    <row r="521" spans="1:18" s="205" customFormat="1" x14ac:dyDescent="0.2">
      <c r="A521" s="205" t="s">
        <v>5437</v>
      </c>
      <c r="B521" s="205" t="s">
        <v>246</v>
      </c>
      <c r="C521" s="200">
        <v>45457</v>
      </c>
      <c r="D521" s="199" t="s">
        <v>152</v>
      </c>
      <c r="E521" s="206">
        <v>31332</v>
      </c>
      <c r="F521" s="206">
        <v>3133</v>
      </c>
      <c r="G521" s="206">
        <v>157</v>
      </c>
      <c r="H521" s="202">
        <f t="shared" si="8"/>
        <v>28356</v>
      </c>
      <c r="I521" s="205" t="s">
        <v>193</v>
      </c>
      <c r="J521" s="205" t="s">
        <v>23</v>
      </c>
      <c r="K521" s="201" t="s">
        <v>1042</v>
      </c>
      <c r="L521" s="205" t="s">
        <v>5438</v>
      </c>
      <c r="M521" s="201" t="s">
        <v>1030</v>
      </c>
      <c r="N521" s="205" t="s">
        <v>652</v>
      </c>
      <c r="O521" s="205" t="s">
        <v>652</v>
      </c>
      <c r="P521" s="216" t="s">
        <v>987</v>
      </c>
      <c r="Q521" s="216" t="s">
        <v>988</v>
      </c>
      <c r="R521" s="216" t="s">
        <v>861</v>
      </c>
    </row>
    <row r="522" spans="1:18" s="205" customFormat="1" x14ac:dyDescent="0.2">
      <c r="A522" s="205" t="s">
        <v>5439</v>
      </c>
      <c r="B522" s="205" t="s">
        <v>246</v>
      </c>
      <c r="C522" s="200">
        <v>45457</v>
      </c>
      <c r="D522" s="199" t="s">
        <v>152</v>
      </c>
      <c r="E522" s="206">
        <v>44011</v>
      </c>
      <c r="F522" s="206">
        <v>4401</v>
      </c>
      <c r="G522" s="206">
        <v>220</v>
      </c>
      <c r="H522" s="202">
        <f t="shared" si="8"/>
        <v>39830</v>
      </c>
      <c r="I522" s="205" t="s">
        <v>193</v>
      </c>
      <c r="J522" s="205" t="s">
        <v>23</v>
      </c>
      <c r="K522" s="201" t="s">
        <v>1028</v>
      </c>
      <c r="L522" s="205" t="s">
        <v>5440</v>
      </c>
      <c r="M522" s="201" t="s">
        <v>1030</v>
      </c>
      <c r="N522" s="205" t="s">
        <v>652</v>
      </c>
      <c r="O522" s="205" t="s">
        <v>652</v>
      </c>
      <c r="P522" s="216" t="s">
        <v>2191</v>
      </c>
      <c r="Q522" s="216" t="s">
        <v>2192</v>
      </c>
      <c r="R522" s="216" t="s">
        <v>861</v>
      </c>
    </row>
    <row r="523" spans="1:18" s="205" customFormat="1" x14ac:dyDescent="0.2">
      <c r="A523" s="205" t="s">
        <v>5441</v>
      </c>
      <c r="B523" s="205" t="s">
        <v>246</v>
      </c>
      <c r="C523" s="200">
        <v>45457</v>
      </c>
      <c r="D523" s="199" t="s">
        <v>152</v>
      </c>
      <c r="E523" s="206">
        <v>31332</v>
      </c>
      <c r="F523" s="206">
        <v>3133</v>
      </c>
      <c r="G523" s="206">
        <v>157</v>
      </c>
      <c r="H523" s="202">
        <f t="shared" si="8"/>
        <v>28356</v>
      </c>
      <c r="I523" s="205" t="s">
        <v>193</v>
      </c>
      <c r="J523" s="205" t="s">
        <v>23</v>
      </c>
      <c r="K523" s="201" t="s">
        <v>1028</v>
      </c>
      <c r="L523" s="205" t="s">
        <v>5442</v>
      </c>
      <c r="M523" s="201" t="s">
        <v>1030</v>
      </c>
      <c r="N523" s="205" t="s">
        <v>652</v>
      </c>
      <c r="O523" s="205" t="s">
        <v>652</v>
      </c>
      <c r="P523" s="216" t="s">
        <v>2191</v>
      </c>
      <c r="Q523" s="218" t="s">
        <v>2192</v>
      </c>
      <c r="R523" s="208" t="s">
        <v>861</v>
      </c>
    </row>
    <row r="524" spans="1:18" s="205" customFormat="1" x14ac:dyDescent="0.2">
      <c r="A524" s="205" t="s">
        <v>5443</v>
      </c>
      <c r="B524" s="205" t="s">
        <v>246</v>
      </c>
      <c r="C524" s="200">
        <v>45457</v>
      </c>
      <c r="D524" s="199" t="s">
        <v>152</v>
      </c>
      <c r="E524" s="206">
        <v>44011</v>
      </c>
      <c r="F524" s="206">
        <v>4401</v>
      </c>
      <c r="G524" s="206">
        <v>220</v>
      </c>
      <c r="H524" s="202">
        <f t="shared" si="8"/>
        <v>39830</v>
      </c>
      <c r="I524" s="205" t="s">
        <v>193</v>
      </c>
      <c r="J524" s="205" t="s">
        <v>23</v>
      </c>
      <c r="K524" s="201" t="s">
        <v>1028</v>
      </c>
      <c r="L524" s="205" t="s">
        <v>5444</v>
      </c>
      <c r="M524" s="201" t="s">
        <v>1030</v>
      </c>
      <c r="N524" s="205" t="s">
        <v>652</v>
      </c>
      <c r="O524" s="205" t="s">
        <v>652</v>
      </c>
      <c r="P524" s="208" t="s">
        <v>2191</v>
      </c>
      <c r="Q524" s="208" t="s">
        <v>2192</v>
      </c>
      <c r="R524" s="208" t="s">
        <v>861</v>
      </c>
    </row>
    <row r="525" spans="1:18" s="205" customFormat="1" x14ac:dyDescent="0.2">
      <c r="A525" s="205" t="s">
        <v>5445</v>
      </c>
      <c r="B525" s="205" t="s">
        <v>246</v>
      </c>
      <c r="C525" s="200">
        <v>45457</v>
      </c>
      <c r="D525" s="199" t="s">
        <v>152</v>
      </c>
      <c r="E525" s="206">
        <v>22716</v>
      </c>
      <c r="F525" s="206">
        <v>2272</v>
      </c>
      <c r="G525" s="206">
        <v>114</v>
      </c>
      <c r="H525" s="202">
        <f t="shared" si="8"/>
        <v>20558</v>
      </c>
      <c r="I525" s="205" t="s">
        <v>193</v>
      </c>
      <c r="J525" s="205" t="s">
        <v>23</v>
      </c>
      <c r="K525" s="201" t="s">
        <v>1028</v>
      </c>
      <c r="L525" s="205" t="s">
        <v>5446</v>
      </c>
      <c r="M525" s="201" t="s">
        <v>1030</v>
      </c>
      <c r="N525" s="205" t="s">
        <v>652</v>
      </c>
      <c r="O525" s="205" t="s">
        <v>652</v>
      </c>
      <c r="P525" s="208" t="s">
        <v>2191</v>
      </c>
      <c r="Q525" s="208" t="s">
        <v>2192</v>
      </c>
      <c r="R525" s="208" t="s">
        <v>861</v>
      </c>
    </row>
    <row r="526" spans="1:18" s="205" customFormat="1" x14ac:dyDescent="0.2">
      <c r="A526" s="205" t="s">
        <v>5447</v>
      </c>
      <c r="B526" s="205" t="s">
        <v>246</v>
      </c>
      <c r="C526" s="200">
        <v>45457</v>
      </c>
      <c r="D526" s="199" t="s">
        <v>152</v>
      </c>
      <c r="E526" s="206">
        <v>31332</v>
      </c>
      <c r="F526" s="206">
        <v>3133</v>
      </c>
      <c r="G526" s="206">
        <v>157</v>
      </c>
      <c r="H526" s="202">
        <f t="shared" si="8"/>
        <v>28356</v>
      </c>
      <c r="I526" s="205" t="s">
        <v>193</v>
      </c>
      <c r="J526" s="205" t="s">
        <v>23</v>
      </c>
      <c r="K526" s="201" t="s">
        <v>1028</v>
      </c>
      <c r="L526" s="205" t="s">
        <v>5448</v>
      </c>
      <c r="M526" s="201" t="s">
        <v>1030</v>
      </c>
      <c r="N526" s="205" t="s">
        <v>652</v>
      </c>
      <c r="O526" s="205" t="s">
        <v>652</v>
      </c>
      <c r="P526" s="208" t="s">
        <v>2191</v>
      </c>
      <c r="Q526" s="208" t="s">
        <v>2192</v>
      </c>
      <c r="R526" s="208" t="s">
        <v>861</v>
      </c>
    </row>
    <row r="527" spans="1:18" s="205" customFormat="1" x14ac:dyDescent="0.2">
      <c r="A527" s="205" t="s">
        <v>5449</v>
      </c>
      <c r="B527" s="205" t="s">
        <v>246</v>
      </c>
      <c r="C527" s="200">
        <v>45457</v>
      </c>
      <c r="D527" s="199" t="s">
        <v>152</v>
      </c>
      <c r="E527" s="206">
        <v>22716</v>
      </c>
      <c r="F527" s="206">
        <v>2272</v>
      </c>
      <c r="G527" s="206">
        <v>114</v>
      </c>
      <c r="H527" s="202">
        <f t="shared" si="8"/>
        <v>20558</v>
      </c>
      <c r="I527" s="205" t="s">
        <v>193</v>
      </c>
      <c r="J527" s="205" t="s">
        <v>23</v>
      </c>
      <c r="K527" s="201" t="s">
        <v>1028</v>
      </c>
      <c r="L527" s="205" t="s">
        <v>5450</v>
      </c>
      <c r="M527" s="201" t="s">
        <v>1030</v>
      </c>
      <c r="N527" s="205" t="s">
        <v>652</v>
      </c>
      <c r="O527" s="205" t="s">
        <v>652</v>
      </c>
      <c r="P527" s="208" t="s">
        <v>2191</v>
      </c>
      <c r="Q527" s="208" t="s">
        <v>2192</v>
      </c>
      <c r="R527" s="208" t="s">
        <v>861</v>
      </c>
    </row>
    <row r="528" spans="1:18" s="205" customFormat="1" x14ac:dyDescent="0.2">
      <c r="A528" s="205" t="s">
        <v>5307</v>
      </c>
      <c r="B528" s="205" t="s">
        <v>282</v>
      </c>
      <c r="C528" s="200">
        <v>45457</v>
      </c>
      <c r="D528" s="199" t="s">
        <v>152</v>
      </c>
      <c r="E528" s="206">
        <v>118001</v>
      </c>
      <c r="F528" s="206">
        <v>11800</v>
      </c>
      <c r="G528" s="206">
        <v>590</v>
      </c>
      <c r="H528" s="202">
        <f t="shared" si="8"/>
        <v>106791</v>
      </c>
      <c r="I528" s="205" t="s">
        <v>193</v>
      </c>
      <c r="J528" s="205" t="s">
        <v>23</v>
      </c>
      <c r="K528" s="201" t="s">
        <v>1028</v>
      </c>
      <c r="L528" s="205" t="s">
        <v>5451</v>
      </c>
      <c r="M528" s="201" t="s">
        <v>1030</v>
      </c>
      <c r="N528" s="205" t="s">
        <v>652</v>
      </c>
      <c r="O528" s="205" t="s">
        <v>652</v>
      </c>
      <c r="P528" s="208" t="s">
        <v>2191</v>
      </c>
      <c r="Q528" s="208" t="s">
        <v>2192</v>
      </c>
      <c r="R528" s="208" t="s">
        <v>861</v>
      </c>
    </row>
    <row r="529" spans="1:18" s="205" customFormat="1" x14ac:dyDescent="0.2">
      <c r="A529" s="205" t="s">
        <v>210</v>
      </c>
      <c r="B529" s="205" t="s">
        <v>5452</v>
      </c>
      <c r="C529" s="200">
        <v>45459</v>
      </c>
      <c r="D529" s="199" t="s">
        <v>152</v>
      </c>
      <c r="E529" s="206">
        <v>2132388</v>
      </c>
      <c r="F529" s="206">
        <v>213239</v>
      </c>
      <c r="G529" s="206">
        <v>10662</v>
      </c>
      <c r="H529" s="202">
        <f t="shared" si="8"/>
        <v>1929811</v>
      </c>
      <c r="I529" s="205" t="s">
        <v>59</v>
      </c>
      <c r="J529" s="205" t="s">
        <v>23</v>
      </c>
      <c r="K529" s="201" t="s">
        <v>1028</v>
      </c>
      <c r="L529" s="205" t="s">
        <v>5453</v>
      </c>
      <c r="M529" s="201" t="s">
        <v>1030</v>
      </c>
      <c r="N529" s="205" t="s">
        <v>652</v>
      </c>
      <c r="O529" s="205" t="s">
        <v>652</v>
      </c>
      <c r="P529" s="208" t="s">
        <v>1534</v>
      </c>
      <c r="Q529" s="208" t="s">
        <v>3748</v>
      </c>
      <c r="R529" s="208" t="s">
        <v>4516</v>
      </c>
    </row>
    <row r="530" spans="1:18" s="205" customFormat="1" x14ac:dyDescent="0.2">
      <c r="A530" s="205" t="s">
        <v>5454</v>
      </c>
      <c r="B530" s="205" t="s">
        <v>5455</v>
      </c>
      <c r="C530" s="200">
        <v>45459</v>
      </c>
      <c r="D530" s="199" t="s">
        <v>152</v>
      </c>
      <c r="E530" s="206">
        <v>52610</v>
      </c>
      <c r="F530" s="206">
        <v>5261</v>
      </c>
      <c r="G530" s="206">
        <v>263</v>
      </c>
      <c r="H530" s="202">
        <f t="shared" si="8"/>
        <v>47612</v>
      </c>
      <c r="I530" s="205" t="s">
        <v>66</v>
      </c>
      <c r="J530" s="205" t="s">
        <v>23</v>
      </c>
      <c r="K530" s="201" t="s">
        <v>1028</v>
      </c>
      <c r="L530" s="205" t="s">
        <v>5456</v>
      </c>
      <c r="M530" s="201" t="s">
        <v>1030</v>
      </c>
      <c r="N530" s="205" t="s">
        <v>652</v>
      </c>
      <c r="O530" s="205" t="s">
        <v>652</v>
      </c>
      <c r="P530" s="208" t="s">
        <v>850</v>
      </c>
      <c r="Q530" s="208" t="s">
        <v>5457</v>
      </c>
      <c r="R530" s="208" t="s">
        <v>4635</v>
      </c>
    </row>
    <row r="531" spans="1:18" s="205" customFormat="1" x14ac:dyDescent="0.2">
      <c r="A531" s="205" t="s">
        <v>196</v>
      </c>
      <c r="B531" s="205" t="s">
        <v>539</v>
      </c>
      <c r="C531" s="200">
        <v>45459</v>
      </c>
      <c r="D531" s="199" t="s">
        <v>152</v>
      </c>
      <c r="E531" s="206">
        <v>14845</v>
      </c>
      <c r="F531" s="206">
        <v>1485</v>
      </c>
      <c r="G531" s="206">
        <v>74</v>
      </c>
      <c r="H531" s="202">
        <f t="shared" si="8"/>
        <v>13434</v>
      </c>
      <c r="I531" s="205" t="s">
        <v>59</v>
      </c>
      <c r="J531" s="205" t="s">
        <v>23</v>
      </c>
      <c r="K531" s="201" t="s">
        <v>1042</v>
      </c>
      <c r="L531" s="205" t="s">
        <v>5458</v>
      </c>
      <c r="M531" s="201" t="s">
        <v>1030</v>
      </c>
      <c r="N531" s="205" t="s">
        <v>652</v>
      </c>
      <c r="O531" s="205" t="s">
        <v>652</v>
      </c>
      <c r="P531" s="208" t="s">
        <v>688</v>
      </c>
      <c r="Q531" s="208" t="s">
        <v>689</v>
      </c>
      <c r="R531" s="208" t="s">
        <v>3738</v>
      </c>
    </row>
    <row r="532" spans="1:18" s="205" customFormat="1" x14ac:dyDescent="0.2">
      <c r="A532" s="205" t="s">
        <v>5459</v>
      </c>
      <c r="B532" s="205" t="s">
        <v>5460</v>
      </c>
      <c r="C532" s="200">
        <v>45461</v>
      </c>
      <c r="D532" s="199" t="s">
        <v>152</v>
      </c>
      <c r="E532" s="206">
        <v>52204</v>
      </c>
      <c r="F532" s="206">
        <v>5220</v>
      </c>
      <c r="G532" s="206">
        <v>261</v>
      </c>
      <c r="H532" s="202">
        <f t="shared" si="8"/>
        <v>47245</v>
      </c>
      <c r="I532" s="205" t="s">
        <v>644</v>
      </c>
      <c r="J532" s="205" t="s">
        <v>23</v>
      </c>
      <c r="K532" s="201" t="s">
        <v>1058</v>
      </c>
      <c r="L532" s="205" t="s">
        <v>5461</v>
      </c>
      <c r="M532" s="201" t="s">
        <v>2041</v>
      </c>
      <c r="N532" s="205" t="s">
        <v>652</v>
      </c>
      <c r="O532" s="205" t="s">
        <v>652</v>
      </c>
      <c r="P532" s="208" t="s">
        <v>4481</v>
      </c>
      <c r="Q532" s="208" t="s">
        <v>4486</v>
      </c>
      <c r="R532" s="208" t="s">
        <v>4516</v>
      </c>
    </row>
    <row r="533" spans="1:18" s="205" customFormat="1" x14ac:dyDescent="0.2">
      <c r="A533" s="205" t="s">
        <v>5462</v>
      </c>
      <c r="B533" s="205" t="s">
        <v>5463</v>
      </c>
      <c r="C533" s="200">
        <v>45461</v>
      </c>
      <c r="D533" s="199" t="s">
        <v>152</v>
      </c>
      <c r="E533" s="206">
        <v>62645</v>
      </c>
      <c r="F533" s="206">
        <v>6265</v>
      </c>
      <c r="G533" s="206">
        <v>313</v>
      </c>
      <c r="H533" s="202">
        <f t="shared" si="8"/>
        <v>56693</v>
      </c>
      <c r="I533" s="205" t="s">
        <v>103</v>
      </c>
      <c r="J533" s="205" t="s">
        <v>23</v>
      </c>
      <c r="K533" s="201" t="s">
        <v>1028</v>
      </c>
      <c r="L533" s="205" t="s">
        <v>5464</v>
      </c>
      <c r="M533" s="201" t="s">
        <v>1030</v>
      </c>
      <c r="N533" s="205" t="s">
        <v>652</v>
      </c>
      <c r="O533" s="205" t="s">
        <v>652</v>
      </c>
      <c r="P533" s="208" t="s">
        <v>2386</v>
      </c>
      <c r="Q533" s="208" t="s">
        <v>2387</v>
      </c>
      <c r="R533" s="208" t="s">
        <v>4662</v>
      </c>
    </row>
    <row r="534" spans="1:18" s="205" customFormat="1" x14ac:dyDescent="0.2">
      <c r="A534" s="205" t="s">
        <v>5465</v>
      </c>
      <c r="B534" s="205" t="s">
        <v>252</v>
      </c>
      <c r="C534" s="200">
        <v>45461</v>
      </c>
      <c r="D534" s="199" t="s">
        <v>152</v>
      </c>
      <c r="E534" s="206">
        <v>62693</v>
      </c>
      <c r="F534" s="206">
        <v>6269</v>
      </c>
      <c r="G534" s="206">
        <v>313</v>
      </c>
      <c r="H534" s="202">
        <f t="shared" si="8"/>
        <v>56737</v>
      </c>
      <c r="I534" s="205" t="s">
        <v>104</v>
      </c>
      <c r="J534" s="205" t="s">
        <v>23</v>
      </c>
      <c r="K534" s="201"/>
      <c r="L534" s="205" t="s">
        <v>5466</v>
      </c>
      <c r="M534" s="201"/>
      <c r="P534" s="216" t="s">
        <v>761</v>
      </c>
      <c r="Q534" s="216" t="s">
        <v>5467</v>
      </c>
      <c r="R534" s="216" t="s">
        <v>4662</v>
      </c>
    </row>
    <row r="535" spans="1:18" s="205" customFormat="1" x14ac:dyDescent="0.2">
      <c r="A535" s="205" t="s">
        <v>5468</v>
      </c>
      <c r="B535" s="205" t="s">
        <v>5469</v>
      </c>
      <c r="C535" s="200">
        <v>45461</v>
      </c>
      <c r="D535" s="199" t="s">
        <v>152</v>
      </c>
      <c r="E535" s="206">
        <v>38660</v>
      </c>
      <c r="F535" s="206">
        <v>3866</v>
      </c>
      <c r="G535" s="206">
        <v>193</v>
      </c>
      <c r="H535" s="202">
        <f t="shared" si="8"/>
        <v>34987</v>
      </c>
      <c r="I535" s="205" t="s">
        <v>54</v>
      </c>
      <c r="J535" s="205" t="s">
        <v>23</v>
      </c>
      <c r="K535" s="201" t="s">
        <v>1058</v>
      </c>
      <c r="L535" s="205" t="s">
        <v>5470</v>
      </c>
      <c r="M535" s="201" t="s">
        <v>1030</v>
      </c>
      <c r="N535" s="205" t="s">
        <v>652</v>
      </c>
      <c r="O535" s="205" t="s">
        <v>652</v>
      </c>
      <c r="P535" s="208" t="s">
        <v>1534</v>
      </c>
      <c r="Q535" s="208" t="s">
        <v>2192</v>
      </c>
      <c r="R535" s="208" t="s">
        <v>4662</v>
      </c>
    </row>
    <row r="536" spans="1:18" s="205" customFormat="1" x14ac:dyDescent="0.2">
      <c r="A536" s="205" t="s">
        <v>5471</v>
      </c>
      <c r="B536" s="205" t="s">
        <v>5472</v>
      </c>
      <c r="C536" s="200">
        <v>45461</v>
      </c>
      <c r="D536" s="199" t="s">
        <v>152</v>
      </c>
      <c r="E536" s="206">
        <v>46392</v>
      </c>
      <c r="F536" s="206">
        <v>4639</v>
      </c>
      <c r="G536" s="206">
        <v>232</v>
      </c>
      <c r="H536" s="202">
        <f t="shared" si="8"/>
        <v>41985</v>
      </c>
      <c r="I536" s="205" t="s">
        <v>2737</v>
      </c>
      <c r="J536" s="205" t="s">
        <v>23</v>
      </c>
      <c r="K536" s="201" t="s">
        <v>1058</v>
      </c>
      <c r="L536" s="205" t="s">
        <v>5473</v>
      </c>
      <c r="M536" s="201" t="s">
        <v>1030</v>
      </c>
      <c r="N536" s="205" t="s">
        <v>652</v>
      </c>
      <c r="O536" s="205" t="s">
        <v>652</v>
      </c>
      <c r="P536" s="208" t="s">
        <v>2191</v>
      </c>
      <c r="Q536" s="208" t="s">
        <v>2192</v>
      </c>
      <c r="R536" s="208" t="s">
        <v>4662</v>
      </c>
    </row>
    <row r="537" spans="1:18" s="205" customFormat="1" x14ac:dyDescent="0.2">
      <c r="A537" s="205" t="s">
        <v>5474</v>
      </c>
      <c r="B537" s="205" t="s">
        <v>5475</v>
      </c>
      <c r="C537" s="200">
        <v>45461</v>
      </c>
      <c r="D537" s="199" t="s">
        <v>152</v>
      </c>
      <c r="E537" s="206">
        <v>46392</v>
      </c>
      <c r="F537" s="206">
        <v>4639</v>
      </c>
      <c r="G537" s="206">
        <v>232</v>
      </c>
      <c r="H537" s="202">
        <f t="shared" si="8"/>
        <v>41985</v>
      </c>
      <c r="I537" s="205" t="s">
        <v>2737</v>
      </c>
      <c r="J537" s="205" t="s">
        <v>23</v>
      </c>
      <c r="K537" s="201" t="s">
        <v>1058</v>
      </c>
      <c r="L537" s="205" t="s">
        <v>5476</v>
      </c>
      <c r="M537" s="201" t="s">
        <v>1030</v>
      </c>
      <c r="N537" s="205" t="s">
        <v>652</v>
      </c>
      <c r="O537" s="205" t="s">
        <v>652</v>
      </c>
      <c r="P537" s="208" t="s">
        <v>2191</v>
      </c>
      <c r="Q537" s="208" t="s">
        <v>2192</v>
      </c>
      <c r="R537" s="208" t="s">
        <v>4662</v>
      </c>
    </row>
    <row r="538" spans="1:18" s="205" customFormat="1" x14ac:dyDescent="0.2">
      <c r="A538" s="205" t="s">
        <v>5477</v>
      </c>
      <c r="B538" s="205" t="s">
        <v>5478</v>
      </c>
      <c r="C538" s="200">
        <v>45461</v>
      </c>
      <c r="D538" s="199" t="s">
        <v>152</v>
      </c>
      <c r="E538" s="206">
        <v>35193</v>
      </c>
      <c r="F538" s="206">
        <v>3519</v>
      </c>
      <c r="G538" s="206">
        <v>176</v>
      </c>
      <c r="H538" s="202">
        <f t="shared" si="8"/>
        <v>31850</v>
      </c>
      <c r="I538" s="205" t="s">
        <v>2737</v>
      </c>
      <c r="J538" s="205" t="s">
        <v>23</v>
      </c>
      <c r="K538" s="201" t="s">
        <v>1058</v>
      </c>
      <c r="L538" s="205" t="s">
        <v>5479</v>
      </c>
      <c r="M538" s="201" t="s">
        <v>1030</v>
      </c>
      <c r="N538" s="205" t="s">
        <v>652</v>
      </c>
      <c r="O538" s="205" t="s">
        <v>652</v>
      </c>
      <c r="P538" s="208" t="s">
        <v>2191</v>
      </c>
      <c r="Q538" s="208" t="s">
        <v>2192</v>
      </c>
      <c r="R538" s="208" t="s">
        <v>4662</v>
      </c>
    </row>
    <row r="539" spans="1:18" s="205" customFormat="1" x14ac:dyDescent="0.2">
      <c r="A539" s="205" t="s">
        <v>537</v>
      </c>
      <c r="B539" s="205" t="s">
        <v>538</v>
      </c>
      <c r="C539" s="200">
        <v>45461</v>
      </c>
      <c r="D539" s="199" t="s">
        <v>152</v>
      </c>
      <c r="E539" s="206">
        <v>8573</v>
      </c>
      <c r="F539" s="206">
        <v>857</v>
      </c>
      <c r="G539" s="206">
        <v>43</v>
      </c>
      <c r="H539" s="202">
        <f t="shared" si="8"/>
        <v>7759</v>
      </c>
      <c r="I539" s="205" t="s">
        <v>344</v>
      </c>
      <c r="J539" s="205" t="s">
        <v>23</v>
      </c>
      <c r="K539" s="201" t="s">
        <v>1042</v>
      </c>
      <c r="L539" s="205" t="s">
        <v>5480</v>
      </c>
      <c r="M539" s="201" t="s">
        <v>1030</v>
      </c>
      <c r="N539" s="205" t="s">
        <v>1065</v>
      </c>
      <c r="O539" s="205" t="s">
        <v>1066</v>
      </c>
      <c r="P539" s="208" t="s">
        <v>688</v>
      </c>
      <c r="Q539" s="208" t="s">
        <v>689</v>
      </c>
      <c r="R539" s="208" t="s">
        <v>4662</v>
      </c>
    </row>
    <row r="540" spans="1:18" s="205" customFormat="1" x14ac:dyDescent="0.2">
      <c r="A540" s="205" t="s">
        <v>537</v>
      </c>
      <c r="B540" s="205" t="s">
        <v>538</v>
      </c>
      <c r="C540" s="200">
        <v>45461</v>
      </c>
      <c r="D540" s="199" t="s">
        <v>152</v>
      </c>
      <c r="E540" s="206">
        <v>9417</v>
      </c>
      <c r="F540" s="206">
        <v>942</v>
      </c>
      <c r="G540" s="206">
        <v>47</v>
      </c>
      <c r="H540" s="202">
        <f t="shared" si="8"/>
        <v>8522</v>
      </c>
      <c r="I540" s="205" t="s">
        <v>344</v>
      </c>
      <c r="J540" s="205" t="s">
        <v>23</v>
      </c>
      <c r="K540" s="201" t="s">
        <v>1042</v>
      </c>
      <c r="L540" s="205" t="s">
        <v>5481</v>
      </c>
      <c r="M540" s="201" t="s">
        <v>1030</v>
      </c>
      <c r="N540" s="205" t="s">
        <v>1065</v>
      </c>
      <c r="O540" s="205" t="s">
        <v>1066</v>
      </c>
      <c r="P540" s="208" t="s">
        <v>688</v>
      </c>
      <c r="Q540" s="208" t="s">
        <v>689</v>
      </c>
      <c r="R540" s="208" t="s">
        <v>4662</v>
      </c>
    </row>
    <row r="541" spans="1:18" s="205" customFormat="1" x14ac:dyDescent="0.2">
      <c r="A541" s="205" t="s">
        <v>220</v>
      </c>
      <c r="B541" s="205" t="s">
        <v>788</v>
      </c>
      <c r="C541" s="200">
        <v>45461</v>
      </c>
      <c r="D541" s="199" t="s">
        <v>152</v>
      </c>
      <c r="E541" s="206">
        <v>13890</v>
      </c>
      <c r="F541" s="206">
        <v>1389</v>
      </c>
      <c r="G541" s="206">
        <v>69</v>
      </c>
      <c r="H541" s="202">
        <f t="shared" si="8"/>
        <v>12570</v>
      </c>
      <c r="I541" s="205" t="s">
        <v>33</v>
      </c>
      <c r="J541" s="205" t="s">
        <v>23</v>
      </c>
      <c r="K541" s="201" t="s">
        <v>1151</v>
      </c>
      <c r="L541" s="205" t="s">
        <v>5482</v>
      </c>
      <c r="M541" s="201" t="s">
        <v>1030</v>
      </c>
      <c r="N541" s="205" t="s">
        <v>652</v>
      </c>
      <c r="O541" s="205" t="s">
        <v>652</v>
      </c>
      <c r="P541" s="208" t="s">
        <v>660</v>
      </c>
      <c r="Q541" s="208" t="s">
        <v>735</v>
      </c>
      <c r="R541" s="208" t="s">
        <v>4662</v>
      </c>
    </row>
    <row r="542" spans="1:18" s="205" customFormat="1" x14ac:dyDescent="0.2">
      <c r="A542" s="205" t="s">
        <v>258</v>
      </c>
      <c r="B542" s="205" t="s">
        <v>948</v>
      </c>
      <c r="C542" s="200">
        <v>45461</v>
      </c>
      <c r="D542" s="199" t="s">
        <v>152</v>
      </c>
      <c r="E542" s="206">
        <v>42641</v>
      </c>
      <c r="F542" s="206">
        <v>4264</v>
      </c>
      <c r="G542" s="206">
        <v>213</v>
      </c>
      <c r="H542" s="202">
        <f t="shared" si="8"/>
        <v>38590</v>
      </c>
      <c r="I542" s="205" t="s">
        <v>259</v>
      </c>
      <c r="J542" s="205" t="s">
        <v>23</v>
      </c>
      <c r="K542" s="201" t="s">
        <v>1042</v>
      </c>
      <c r="L542" s="205" t="s">
        <v>5483</v>
      </c>
      <c r="M542" s="201" t="s">
        <v>1030</v>
      </c>
      <c r="N542" s="205" t="s">
        <v>652</v>
      </c>
      <c r="O542" s="205" t="s">
        <v>652</v>
      </c>
      <c r="P542" s="208" t="s">
        <v>949</v>
      </c>
      <c r="Q542" s="208" t="s">
        <v>950</v>
      </c>
      <c r="R542" s="208" t="s">
        <v>4662</v>
      </c>
    </row>
    <row r="543" spans="1:18" s="205" customFormat="1" x14ac:dyDescent="0.2">
      <c r="A543" s="205" t="s">
        <v>62</v>
      </c>
      <c r="B543" s="205" t="s">
        <v>599</v>
      </c>
      <c r="C543" s="200">
        <v>45461</v>
      </c>
      <c r="D543" s="199" t="s">
        <v>152</v>
      </c>
      <c r="E543" s="206">
        <v>39808</v>
      </c>
      <c r="F543" s="206">
        <v>3981</v>
      </c>
      <c r="G543" s="206">
        <v>199</v>
      </c>
      <c r="H543" s="202">
        <f t="shared" si="8"/>
        <v>36026</v>
      </c>
      <c r="I543" s="205" t="s">
        <v>61</v>
      </c>
      <c r="J543" s="205" t="s">
        <v>23</v>
      </c>
      <c r="K543" s="201" t="s">
        <v>1042</v>
      </c>
      <c r="L543" s="205" t="s">
        <v>5484</v>
      </c>
      <c r="M543" s="201" t="s">
        <v>1030</v>
      </c>
      <c r="N543" s="205" t="s">
        <v>652</v>
      </c>
      <c r="O543" s="205" t="s">
        <v>652</v>
      </c>
      <c r="P543" s="208" t="s">
        <v>653</v>
      </c>
      <c r="Q543" s="208" t="s">
        <v>654</v>
      </c>
      <c r="R543" s="208" t="s">
        <v>4662</v>
      </c>
    </row>
    <row r="544" spans="1:18" s="205" customFormat="1" x14ac:dyDescent="0.2">
      <c r="A544" s="205" t="s">
        <v>464</v>
      </c>
      <c r="B544" s="205" t="s">
        <v>5485</v>
      </c>
      <c r="C544" s="200">
        <v>45461</v>
      </c>
      <c r="D544" s="199" t="s">
        <v>152</v>
      </c>
      <c r="E544" s="206">
        <v>9283</v>
      </c>
      <c r="F544" s="206">
        <v>928</v>
      </c>
      <c r="G544" s="206">
        <v>46</v>
      </c>
      <c r="H544" s="202">
        <f t="shared" si="8"/>
        <v>8401</v>
      </c>
      <c r="I544" s="205" t="s">
        <v>54</v>
      </c>
      <c r="J544" s="205" t="s">
        <v>23</v>
      </c>
      <c r="K544" s="201" t="s">
        <v>1042</v>
      </c>
      <c r="L544" s="205" t="s">
        <v>5486</v>
      </c>
      <c r="M544" s="201" t="s">
        <v>1030</v>
      </c>
      <c r="N544" s="205" t="s">
        <v>652</v>
      </c>
      <c r="O544" s="205" t="s">
        <v>652</v>
      </c>
      <c r="P544" s="208" t="s">
        <v>688</v>
      </c>
      <c r="Q544" s="208" t="s">
        <v>689</v>
      </c>
      <c r="R544" s="208" t="s">
        <v>4662</v>
      </c>
    </row>
    <row r="545" spans="1:18" s="205" customFormat="1" x14ac:dyDescent="0.2">
      <c r="A545" s="205" t="s">
        <v>5487</v>
      </c>
      <c r="B545" s="205" t="s">
        <v>5488</v>
      </c>
      <c r="C545" s="200">
        <v>45461</v>
      </c>
      <c r="D545" s="199" t="s">
        <v>152</v>
      </c>
      <c r="E545" s="206">
        <v>67877</v>
      </c>
      <c r="F545" s="206">
        <v>6788</v>
      </c>
      <c r="G545" s="206">
        <v>339</v>
      </c>
      <c r="H545" s="202">
        <f t="shared" si="8"/>
        <v>61428</v>
      </c>
      <c r="I545" s="205" t="s">
        <v>373</v>
      </c>
      <c r="J545" s="205" t="s">
        <v>23</v>
      </c>
      <c r="K545" s="199" t="s">
        <v>1058</v>
      </c>
      <c r="L545" s="205" t="s">
        <v>5489</v>
      </c>
      <c r="M545" s="201" t="s">
        <v>1030</v>
      </c>
      <c r="N545" s="205" t="s">
        <v>652</v>
      </c>
      <c r="O545" s="205" t="s">
        <v>652</v>
      </c>
      <c r="P545" s="208" t="s">
        <v>4635</v>
      </c>
      <c r="Q545" s="208" t="s">
        <v>4683</v>
      </c>
      <c r="R545" s="208" t="s">
        <v>4662</v>
      </c>
    </row>
    <row r="546" spans="1:18" s="205" customFormat="1" x14ac:dyDescent="0.2">
      <c r="A546" s="205" t="s">
        <v>483</v>
      </c>
      <c r="B546" s="205" t="s">
        <v>1269</v>
      </c>
      <c r="C546" s="200">
        <v>45461</v>
      </c>
      <c r="D546" s="199" t="s">
        <v>152</v>
      </c>
      <c r="E546" s="206">
        <v>19177</v>
      </c>
      <c r="F546" s="206">
        <v>1918</v>
      </c>
      <c r="G546" s="206">
        <v>96</v>
      </c>
      <c r="H546" s="202">
        <f t="shared" si="8"/>
        <v>17355</v>
      </c>
      <c r="I546" s="205" t="s">
        <v>22</v>
      </c>
      <c r="J546" s="205" t="s">
        <v>23</v>
      </c>
      <c r="K546" s="199" t="s">
        <v>1042</v>
      </c>
      <c r="L546" s="205" t="s">
        <v>5490</v>
      </c>
      <c r="M546" s="201" t="s">
        <v>1030</v>
      </c>
      <c r="N546" s="205" t="s">
        <v>652</v>
      </c>
      <c r="O546" s="205" t="s">
        <v>652</v>
      </c>
      <c r="P546" s="208" t="s">
        <v>987</v>
      </c>
      <c r="Q546" s="208" t="s">
        <v>988</v>
      </c>
      <c r="R546" s="208" t="s">
        <v>4662</v>
      </c>
    </row>
    <row r="547" spans="1:18" s="205" customFormat="1" x14ac:dyDescent="0.2">
      <c r="A547" s="205" t="s">
        <v>3241</v>
      </c>
      <c r="B547" s="205" t="s">
        <v>3242</v>
      </c>
      <c r="C547" s="200">
        <v>45461</v>
      </c>
      <c r="D547" s="199" t="s">
        <v>152</v>
      </c>
      <c r="E547" s="206">
        <v>184008</v>
      </c>
      <c r="F547" s="206">
        <v>18401</v>
      </c>
      <c r="G547" s="206">
        <v>920</v>
      </c>
      <c r="H547" s="202">
        <f t="shared" si="8"/>
        <v>166527</v>
      </c>
      <c r="I547" s="205" t="s">
        <v>52</v>
      </c>
      <c r="J547" s="205" t="s">
        <v>23</v>
      </c>
      <c r="K547" s="199" t="s">
        <v>1042</v>
      </c>
      <c r="L547" s="205" t="s">
        <v>5491</v>
      </c>
      <c r="M547" s="201" t="s">
        <v>1030</v>
      </c>
      <c r="N547" s="205" t="s">
        <v>1190</v>
      </c>
      <c r="O547" s="205" t="s">
        <v>1191</v>
      </c>
      <c r="P547" s="208" t="s">
        <v>846</v>
      </c>
      <c r="Q547" s="208" t="s">
        <v>2922</v>
      </c>
      <c r="R547" s="208" t="s">
        <v>4662</v>
      </c>
    </row>
    <row r="548" spans="1:18" s="205" customFormat="1" x14ac:dyDescent="0.2">
      <c r="A548" s="205" t="s">
        <v>5492</v>
      </c>
      <c r="B548" s="205" t="s">
        <v>229</v>
      </c>
      <c r="C548" s="200">
        <v>45461</v>
      </c>
      <c r="D548" s="199" t="s">
        <v>152</v>
      </c>
      <c r="E548" s="206">
        <v>63379</v>
      </c>
      <c r="F548" s="206">
        <v>6338</v>
      </c>
      <c r="G548" s="206">
        <v>317</v>
      </c>
      <c r="H548" s="202">
        <f t="shared" si="8"/>
        <v>57358</v>
      </c>
      <c r="I548" s="205" t="s">
        <v>38</v>
      </c>
      <c r="J548" s="205" t="s">
        <v>23</v>
      </c>
      <c r="K548" s="199" t="s">
        <v>1042</v>
      </c>
      <c r="L548" s="205" t="s">
        <v>5493</v>
      </c>
      <c r="M548" s="201" t="s">
        <v>1030</v>
      </c>
      <c r="N548" s="205" t="s">
        <v>652</v>
      </c>
      <c r="O548" s="205" t="s">
        <v>652</v>
      </c>
      <c r="P548" s="208" t="s">
        <v>858</v>
      </c>
      <c r="Q548" s="208" t="s">
        <v>858</v>
      </c>
      <c r="R548" s="208" t="s">
        <v>4662</v>
      </c>
    </row>
    <row r="549" spans="1:18" s="205" customFormat="1" x14ac:dyDescent="0.2">
      <c r="A549" s="205" t="s">
        <v>88</v>
      </c>
      <c r="B549" s="205" t="s">
        <v>597</v>
      </c>
      <c r="C549" s="200">
        <v>45461</v>
      </c>
      <c r="D549" s="199" t="s">
        <v>152</v>
      </c>
      <c r="E549" s="206">
        <v>17127</v>
      </c>
      <c r="F549" s="206">
        <v>1713</v>
      </c>
      <c r="G549" s="206">
        <v>86</v>
      </c>
      <c r="H549" s="202">
        <f t="shared" si="8"/>
        <v>15500</v>
      </c>
      <c r="I549" s="205" t="s">
        <v>89</v>
      </c>
      <c r="J549" s="205" t="s">
        <v>23</v>
      </c>
      <c r="K549" s="199" t="s">
        <v>1042</v>
      </c>
      <c r="L549" s="205" t="s">
        <v>5494</v>
      </c>
      <c r="M549" s="201" t="s">
        <v>1030</v>
      </c>
      <c r="N549" s="205" t="s">
        <v>652</v>
      </c>
      <c r="O549" s="205" t="s">
        <v>652</v>
      </c>
      <c r="P549" s="208" t="s">
        <v>653</v>
      </c>
      <c r="Q549" s="208" t="s">
        <v>654</v>
      </c>
      <c r="R549" s="208" t="s">
        <v>4662</v>
      </c>
    </row>
    <row r="550" spans="1:18" s="205" customFormat="1" x14ac:dyDescent="0.2">
      <c r="A550" s="205" t="s">
        <v>198</v>
      </c>
      <c r="B550" s="205" t="s">
        <v>633</v>
      </c>
      <c r="C550" s="200">
        <v>45461</v>
      </c>
      <c r="D550" s="199" t="s">
        <v>152</v>
      </c>
      <c r="E550" s="206">
        <v>203407</v>
      </c>
      <c r="F550" s="206">
        <v>20341</v>
      </c>
      <c r="G550" s="206">
        <v>1017</v>
      </c>
      <c r="H550" s="202">
        <f t="shared" si="8"/>
        <v>184083</v>
      </c>
      <c r="I550" s="205" t="s">
        <v>94</v>
      </c>
      <c r="J550" s="205" t="s">
        <v>23</v>
      </c>
      <c r="K550" s="199" t="s">
        <v>1042</v>
      </c>
      <c r="L550" s="205" t="s">
        <v>5495</v>
      </c>
      <c r="M550" s="201" t="s">
        <v>1030</v>
      </c>
      <c r="N550" s="205" t="s">
        <v>652</v>
      </c>
      <c r="O550" s="205" t="s">
        <v>652</v>
      </c>
      <c r="P550" s="208" t="s">
        <v>657</v>
      </c>
      <c r="Q550" s="208" t="s">
        <v>658</v>
      </c>
      <c r="R550" s="208" t="s">
        <v>4662</v>
      </c>
    </row>
    <row r="551" spans="1:18" s="205" customFormat="1" x14ac:dyDescent="0.2">
      <c r="A551" s="205" t="s">
        <v>5492</v>
      </c>
      <c r="B551" s="205" t="s">
        <v>229</v>
      </c>
      <c r="C551" s="200">
        <v>45462</v>
      </c>
      <c r="D551" s="199" t="s">
        <v>152</v>
      </c>
      <c r="E551" s="206">
        <v>63379</v>
      </c>
      <c r="F551" s="206">
        <v>6338</v>
      </c>
      <c r="G551" s="206">
        <v>317</v>
      </c>
      <c r="H551" s="202">
        <f t="shared" si="8"/>
        <v>57358</v>
      </c>
      <c r="I551" s="205" t="s">
        <v>38</v>
      </c>
      <c r="J551" s="205" t="s">
        <v>23</v>
      </c>
      <c r="K551" s="199" t="s">
        <v>1042</v>
      </c>
      <c r="L551" s="205" t="s">
        <v>5496</v>
      </c>
      <c r="M551" s="201" t="s">
        <v>1030</v>
      </c>
      <c r="N551" s="205" t="s">
        <v>652</v>
      </c>
      <c r="O551" s="205" t="s">
        <v>652</v>
      </c>
      <c r="P551" s="216" t="s">
        <v>720</v>
      </c>
      <c r="Q551" s="216" t="s">
        <v>721</v>
      </c>
      <c r="R551" s="208" t="s">
        <v>884</v>
      </c>
    </row>
    <row r="552" spans="1:18" s="205" customFormat="1" x14ac:dyDescent="0.2">
      <c r="A552" s="205" t="s">
        <v>1006</v>
      </c>
      <c r="B552" s="205" t="s">
        <v>5497</v>
      </c>
      <c r="C552" s="200">
        <v>45463</v>
      </c>
      <c r="D552" s="199" t="s">
        <v>152</v>
      </c>
      <c r="E552" s="206">
        <v>90769</v>
      </c>
      <c r="F552" s="206">
        <v>9077</v>
      </c>
      <c r="G552" s="206">
        <v>454</v>
      </c>
      <c r="H552" s="202">
        <f t="shared" si="8"/>
        <v>82146</v>
      </c>
      <c r="I552" s="205" t="s">
        <v>37</v>
      </c>
      <c r="J552" s="205" t="s">
        <v>23</v>
      </c>
      <c r="K552" s="201" t="s">
        <v>1028</v>
      </c>
      <c r="L552" s="205" t="s">
        <v>5498</v>
      </c>
      <c r="M552" s="201" t="s">
        <v>1030</v>
      </c>
      <c r="N552" s="205" t="s">
        <v>652</v>
      </c>
      <c r="O552" s="205" t="s">
        <v>652</v>
      </c>
      <c r="P552" s="208" t="s">
        <v>1534</v>
      </c>
      <c r="Q552" s="208" t="s">
        <v>3748</v>
      </c>
      <c r="R552" s="208" t="s">
        <v>4635</v>
      </c>
    </row>
    <row r="553" spans="1:18" s="205" customFormat="1" x14ac:dyDescent="0.2">
      <c r="A553" s="205" t="s">
        <v>5499</v>
      </c>
      <c r="B553" s="205" t="s">
        <v>5500</v>
      </c>
      <c r="C553" s="200">
        <v>45463</v>
      </c>
      <c r="D553" s="199" t="s">
        <v>152</v>
      </c>
      <c r="E553" s="206">
        <v>47527</v>
      </c>
      <c r="F553" s="206">
        <v>4753</v>
      </c>
      <c r="G553" s="206">
        <v>238</v>
      </c>
      <c r="H553" s="202">
        <f t="shared" si="8"/>
        <v>43012</v>
      </c>
      <c r="I553" s="205" t="s">
        <v>2737</v>
      </c>
      <c r="J553" s="205" t="s">
        <v>23</v>
      </c>
      <c r="K553" s="201" t="s">
        <v>1058</v>
      </c>
      <c r="L553" s="205" t="s">
        <v>5501</v>
      </c>
      <c r="M553" s="201" t="s">
        <v>1030</v>
      </c>
      <c r="N553" s="205" t="s">
        <v>652</v>
      </c>
      <c r="O553" s="205" t="s">
        <v>652</v>
      </c>
      <c r="P553" s="208" t="s">
        <v>2191</v>
      </c>
      <c r="Q553" s="208" t="s">
        <v>2192</v>
      </c>
      <c r="R553" s="208" t="s">
        <v>861</v>
      </c>
    </row>
    <row r="554" spans="1:18" s="205" customFormat="1" x14ac:dyDescent="0.2">
      <c r="A554" s="205" t="s">
        <v>5502</v>
      </c>
      <c r="B554" s="205" t="s">
        <v>5503</v>
      </c>
      <c r="C554" s="200">
        <v>45463</v>
      </c>
      <c r="D554" s="199" t="s">
        <v>152</v>
      </c>
      <c r="E554" s="206">
        <v>160738</v>
      </c>
      <c r="F554" s="206">
        <v>16074</v>
      </c>
      <c r="G554" s="206">
        <v>804</v>
      </c>
      <c r="H554" s="202">
        <f t="shared" si="8"/>
        <v>145468</v>
      </c>
      <c r="I554" s="205" t="s">
        <v>360</v>
      </c>
      <c r="J554" s="205" t="s">
        <v>23</v>
      </c>
      <c r="K554" s="201" t="s">
        <v>1028</v>
      </c>
      <c r="L554" s="205" t="s">
        <v>5504</v>
      </c>
      <c r="M554" s="201" t="s">
        <v>1030</v>
      </c>
      <c r="N554" s="205" t="s">
        <v>652</v>
      </c>
      <c r="O554" s="205" t="s">
        <v>652</v>
      </c>
      <c r="P554" s="208" t="s">
        <v>761</v>
      </c>
      <c r="Q554" s="208" t="s">
        <v>5467</v>
      </c>
      <c r="R554" s="208" t="s">
        <v>4662</v>
      </c>
    </row>
    <row r="555" spans="1:18" s="205" customFormat="1" x14ac:dyDescent="0.2">
      <c r="A555" s="205" t="s">
        <v>201</v>
      </c>
      <c r="B555" s="205" t="s">
        <v>406</v>
      </c>
      <c r="C555" s="200">
        <v>45463</v>
      </c>
      <c r="D555" s="199" t="s">
        <v>152</v>
      </c>
      <c r="E555" s="206">
        <v>29060</v>
      </c>
      <c r="F555" s="206">
        <v>2906</v>
      </c>
      <c r="G555" s="206">
        <v>145</v>
      </c>
      <c r="H555" s="202">
        <f t="shared" si="8"/>
        <v>26299</v>
      </c>
      <c r="I555" s="205" t="s">
        <v>202</v>
      </c>
      <c r="J555" s="205" t="s">
        <v>23</v>
      </c>
      <c r="K555" s="201" t="s">
        <v>1042</v>
      </c>
      <c r="L555" s="205" t="s">
        <v>5505</v>
      </c>
      <c r="M555" s="201" t="s">
        <v>1030</v>
      </c>
      <c r="N555" s="205" t="s">
        <v>652</v>
      </c>
      <c r="O555" s="205" t="s">
        <v>652</v>
      </c>
      <c r="P555" s="208" t="s">
        <v>692</v>
      </c>
      <c r="Q555" s="208" t="s">
        <v>693</v>
      </c>
      <c r="R555" s="208" t="s">
        <v>4691</v>
      </c>
    </row>
    <row r="556" spans="1:18" s="205" customFormat="1" x14ac:dyDescent="0.2">
      <c r="A556" s="205" t="s">
        <v>474</v>
      </c>
      <c r="B556" s="205" t="s">
        <v>579</v>
      </c>
      <c r="C556" s="200">
        <v>45463</v>
      </c>
      <c r="D556" s="199" t="s">
        <v>152</v>
      </c>
      <c r="E556" s="206">
        <v>14928</v>
      </c>
      <c r="F556" s="206">
        <v>1493</v>
      </c>
      <c r="G556" s="206">
        <v>75</v>
      </c>
      <c r="H556" s="202">
        <f t="shared" si="8"/>
        <v>13510</v>
      </c>
      <c r="I556" s="205" t="s">
        <v>54</v>
      </c>
      <c r="J556" s="205" t="s">
        <v>23</v>
      </c>
      <c r="K556" s="201" t="s">
        <v>1042</v>
      </c>
      <c r="L556" s="205" t="s">
        <v>5506</v>
      </c>
      <c r="M556" s="201" t="s">
        <v>1030</v>
      </c>
      <c r="N556" s="205" t="s">
        <v>652</v>
      </c>
      <c r="O556" s="205" t="s">
        <v>652</v>
      </c>
      <c r="P556" s="208" t="s">
        <v>653</v>
      </c>
      <c r="Q556" s="208" t="s">
        <v>654</v>
      </c>
      <c r="R556" s="208" t="s">
        <v>4691</v>
      </c>
    </row>
    <row r="557" spans="1:18" s="205" customFormat="1" x14ac:dyDescent="0.2">
      <c r="A557" s="205" t="s">
        <v>79</v>
      </c>
      <c r="B557" s="205" t="s">
        <v>535</v>
      </c>
      <c r="C557" s="200">
        <v>45463</v>
      </c>
      <c r="D557" s="199" t="s">
        <v>152</v>
      </c>
      <c r="E557" s="206">
        <v>42692</v>
      </c>
      <c r="F557" s="206">
        <v>4269</v>
      </c>
      <c r="G557" s="206">
        <v>213</v>
      </c>
      <c r="H557" s="202">
        <f t="shared" si="8"/>
        <v>38636</v>
      </c>
      <c r="I557" s="205" t="s">
        <v>22</v>
      </c>
      <c r="J557" s="205" t="s">
        <v>23</v>
      </c>
      <c r="K557" s="201" t="s">
        <v>1042</v>
      </c>
      <c r="L557" s="205" t="s">
        <v>5507</v>
      </c>
      <c r="M557" s="201" t="s">
        <v>1030</v>
      </c>
      <c r="N557" s="205" t="s">
        <v>652</v>
      </c>
      <c r="O557" s="205" t="s">
        <v>652</v>
      </c>
      <c r="P557" s="208" t="s">
        <v>674</v>
      </c>
      <c r="Q557" s="208" t="s">
        <v>675</v>
      </c>
      <c r="R557" s="208" t="s">
        <v>4691</v>
      </c>
    </row>
    <row r="558" spans="1:18" s="205" customFormat="1" x14ac:dyDescent="0.2">
      <c r="A558" s="205" t="s">
        <v>459</v>
      </c>
      <c r="B558" s="205" t="s">
        <v>853</v>
      </c>
      <c r="C558" s="200">
        <v>45463</v>
      </c>
      <c r="D558" s="199" t="s">
        <v>152</v>
      </c>
      <c r="E558" s="206">
        <v>30624</v>
      </c>
      <c r="F558" s="206">
        <v>3062</v>
      </c>
      <c r="G558" s="206">
        <v>153</v>
      </c>
      <c r="H558" s="202">
        <f t="shared" si="8"/>
        <v>27715</v>
      </c>
      <c r="I558" s="205" t="s">
        <v>101</v>
      </c>
      <c r="J558" s="205" t="s">
        <v>23</v>
      </c>
      <c r="K558" s="199" t="s">
        <v>1042</v>
      </c>
      <c r="L558" s="205" t="s">
        <v>5508</v>
      </c>
      <c r="M558" s="201" t="s">
        <v>1030</v>
      </c>
      <c r="N558" s="205" t="s">
        <v>1488</v>
      </c>
      <c r="O558" s="205" t="s">
        <v>1191</v>
      </c>
      <c r="P558" s="208" t="s">
        <v>747</v>
      </c>
      <c r="Q558" s="208" t="s">
        <v>748</v>
      </c>
      <c r="R558" s="208" t="s">
        <v>4691</v>
      </c>
    </row>
    <row r="559" spans="1:18" s="205" customFormat="1" x14ac:dyDescent="0.2">
      <c r="A559" s="205" t="s">
        <v>116</v>
      </c>
      <c r="B559" s="205" t="s">
        <v>524</v>
      </c>
      <c r="C559" s="200">
        <v>45463</v>
      </c>
      <c r="D559" s="199" t="s">
        <v>152</v>
      </c>
      <c r="E559" s="206">
        <v>36555</v>
      </c>
      <c r="F559" s="206">
        <v>3656</v>
      </c>
      <c r="G559" s="206">
        <v>183</v>
      </c>
      <c r="H559" s="202">
        <f t="shared" si="8"/>
        <v>33082</v>
      </c>
      <c r="I559" s="205" t="s">
        <v>44</v>
      </c>
      <c r="J559" s="205" t="s">
        <v>23</v>
      </c>
      <c r="K559" s="199" t="s">
        <v>1042</v>
      </c>
      <c r="L559" s="205" t="s">
        <v>5509</v>
      </c>
      <c r="M559" s="201" t="s">
        <v>1030</v>
      </c>
      <c r="N559" s="205" t="s">
        <v>652</v>
      </c>
      <c r="O559" s="205" t="s">
        <v>652</v>
      </c>
      <c r="P559" s="208" t="s">
        <v>666</v>
      </c>
      <c r="Q559" s="208" t="s">
        <v>667</v>
      </c>
      <c r="R559" s="208" t="s">
        <v>4691</v>
      </c>
    </row>
    <row r="560" spans="1:18" s="205" customFormat="1" x14ac:dyDescent="0.2">
      <c r="A560" s="205" t="s">
        <v>63</v>
      </c>
      <c r="B560" s="205" t="s">
        <v>555</v>
      </c>
      <c r="C560" s="200">
        <v>45463</v>
      </c>
      <c r="D560" s="199" t="s">
        <v>152</v>
      </c>
      <c r="E560" s="206">
        <v>239169</v>
      </c>
      <c r="F560" s="206">
        <v>23917</v>
      </c>
      <c r="G560" s="206">
        <v>1196</v>
      </c>
      <c r="H560" s="202">
        <f t="shared" si="8"/>
        <v>216448</v>
      </c>
      <c r="I560" s="205" t="s">
        <v>22</v>
      </c>
      <c r="J560" s="205" t="s">
        <v>23</v>
      </c>
      <c r="K560" s="199" t="s">
        <v>1141</v>
      </c>
      <c r="L560" s="205" t="s">
        <v>5510</v>
      </c>
      <c r="M560" s="201" t="s">
        <v>1030</v>
      </c>
      <c r="N560" s="205" t="s">
        <v>652</v>
      </c>
      <c r="O560" s="205" t="s">
        <v>652</v>
      </c>
      <c r="P560" s="208" t="s">
        <v>858</v>
      </c>
      <c r="Q560" s="208" t="s">
        <v>859</v>
      </c>
      <c r="R560" s="208" t="s">
        <v>4691</v>
      </c>
    </row>
    <row r="561" spans="1:18" s="205" customFormat="1" x14ac:dyDescent="0.2">
      <c r="A561" s="205" t="s">
        <v>5492</v>
      </c>
      <c r="B561" s="205" t="s">
        <v>229</v>
      </c>
      <c r="C561" s="200">
        <v>45463</v>
      </c>
      <c r="D561" s="199" t="s">
        <v>152</v>
      </c>
      <c r="E561" s="206">
        <v>15845</v>
      </c>
      <c r="F561" s="206">
        <v>1585</v>
      </c>
      <c r="G561" s="206">
        <v>79</v>
      </c>
      <c r="H561" s="202">
        <f t="shared" si="8"/>
        <v>14339</v>
      </c>
      <c r="I561" s="205" t="s">
        <v>38</v>
      </c>
      <c r="J561" s="205" t="s">
        <v>23</v>
      </c>
      <c r="K561" s="199" t="s">
        <v>1042</v>
      </c>
      <c r="L561" s="205" t="s">
        <v>5511</v>
      </c>
      <c r="M561" s="201" t="s">
        <v>1030</v>
      </c>
      <c r="N561" s="205" t="s">
        <v>652</v>
      </c>
      <c r="O561" s="205" t="s">
        <v>652</v>
      </c>
      <c r="P561" s="208" t="s">
        <v>720</v>
      </c>
      <c r="Q561" s="208" t="s">
        <v>721</v>
      </c>
      <c r="R561" s="208" t="s">
        <v>4691</v>
      </c>
    </row>
    <row r="562" spans="1:18" s="205" customFormat="1" x14ac:dyDescent="0.2">
      <c r="A562" s="205" t="s">
        <v>62</v>
      </c>
      <c r="B562" s="205" t="s">
        <v>599</v>
      </c>
      <c r="C562" s="200">
        <v>45463</v>
      </c>
      <c r="D562" s="199" t="s">
        <v>152</v>
      </c>
      <c r="E562" s="206">
        <v>39018</v>
      </c>
      <c r="F562" s="206">
        <v>3902</v>
      </c>
      <c r="G562" s="206">
        <v>195</v>
      </c>
      <c r="H562" s="202">
        <f t="shared" si="8"/>
        <v>35311</v>
      </c>
      <c r="I562" s="205" t="s">
        <v>61</v>
      </c>
      <c r="J562" s="205" t="s">
        <v>23</v>
      </c>
      <c r="K562" s="199" t="s">
        <v>1042</v>
      </c>
      <c r="L562" s="205" t="s">
        <v>5512</v>
      </c>
      <c r="M562" s="201" t="s">
        <v>1030</v>
      </c>
      <c r="N562" s="205" t="s">
        <v>652</v>
      </c>
      <c r="O562" s="205" t="s">
        <v>652</v>
      </c>
      <c r="P562" s="214" t="s">
        <v>653</v>
      </c>
      <c r="Q562" s="214" t="s">
        <v>654</v>
      </c>
      <c r="R562" s="214" t="s">
        <v>4691</v>
      </c>
    </row>
    <row r="563" spans="1:18" s="205" customFormat="1" x14ac:dyDescent="0.2">
      <c r="A563" s="205" t="s">
        <v>5513</v>
      </c>
      <c r="B563" s="205" t="s">
        <v>252</v>
      </c>
      <c r="C563" s="200">
        <v>45463</v>
      </c>
      <c r="D563" s="199" t="s">
        <v>152</v>
      </c>
      <c r="E563" s="206">
        <v>84856</v>
      </c>
      <c r="F563" s="206">
        <v>8486</v>
      </c>
      <c r="G563" s="206">
        <v>424</v>
      </c>
      <c r="H563" s="202">
        <f t="shared" si="8"/>
        <v>76794</v>
      </c>
      <c r="I563" s="205" t="s">
        <v>104</v>
      </c>
      <c r="J563" s="205" t="s">
        <v>23</v>
      </c>
      <c r="K563" s="199" t="s">
        <v>1058</v>
      </c>
      <c r="L563" s="205" t="s">
        <v>5514</v>
      </c>
      <c r="M563" s="201" t="s">
        <v>1072</v>
      </c>
      <c r="N563" s="205" t="s">
        <v>652</v>
      </c>
      <c r="O563" s="205" t="s">
        <v>652</v>
      </c>
      <c r="P563" s="214" t="s">
        <v>761</v>
      </c>
      <c r="Q563" s="214" t="s">
        <v>5467</v>
      </c>
      <c r="R563" s="214" t="s">
        <v>4691</v>
      </c>
    </row>
    <row r="564" spans="1:18" s="205" customFormat="1" x14ac:dyDescent="0.2">
      <c r="A564" s="205" t="s">
        <v>210</v>
      </c>
      <c r="B564" s="205" t="s">
        <v>5452</v>
      </c>
      <c r="C564" s="200">
        <v>45463</v>
      </c>
      <c r="D564" s="199" t="s">
        <v>152</v>
      </c>
      <c r="E564" s="206">
        <v>255293</v>
      </c>
      <c r="F564" s="206">
        <v>25529</v>
      </c>
      <c r="G564" s="206">
        <v>1276</v>
      </c>
      <c r="H564" s="202">
        <f t="shared" si="8"/>
        <v>231040</v>
      </c>
      <c r="I564" s="205" t="s">
        <v>59</v>
      </c>
      <c r="J564" s="205" t="s">
        <v>23</v>
      </c>
      <c r="K564" s="199" t="s">
        <v>1042</v>
      </c>
      <c r="L564" s="205" t="s">
        <v>5515</v>
      </c>
      <c r="M564" s="201" t="s">
        <v>1030</v>
      </c>
      <c r="N564" s="205" t="s">
        <v>652</v>
      </c>
      <c r="O564" s="205" t="s">
        <v>652</v>
      </c>
      <c r="P564" s="214" t="s">
        <v>1534</v>
      </c>
      <c r="Q564" s="214" t="s">
        <v>3748</v>
      </c>
      <c r="R564" s="214" t="s">
        <v>4691</v>
      </c>
    </row>
    <row r="565" spans="1:18" s="205" customFormat="1" x14ac:dyDescent="0.2">
      <c r="A565" s="205" t="s">
        <v>196</v>
      </c>
      <c r="B565" s="205" t="s">
        <v>539</v>
      </c>
      <c r="C565" s="200">
        <v>45463</v>
      </c>
      <c r="D565" s="199" t="s">
        <v>152</v>
      </c>
      <c r="E565" s="206">
        <v>6767</v>
      </c>
      <c r="F565" s="206">
        <v>677</v>
      </c>
      <c r="G565" s="206">
        <v>34</v>
      </c>
      <c r="H565" s="202">
        <f t="shared" si="8"/>
        <v>6124</v>
      </c>
      <c r="I565" s="205" t="s">
        <v>59</v>
      </c>
      <c r="J565" s="205" t="s">
        <v>23</v>
      </c>
      <c r="K565" s="201" t="s">
        <v>1042</v>
      </c>
      <c r="L565" s="205" t="s">
        <v>5516</v>
      </c>
      <c r="M565" s="201" t="s">
        <v>1030</v>
      </c>
      <c r="N565" s="205" t="s">
        <v>652</v>
      </c>
      <c r="O565" s="205" t="s">
        <v>652</v>
      </c>
      <c r="P565" s="208" t="s">
        <v>688</v>
      </c>
      <c r="Q565" s="208" t="s">
        <v>689</v>
      </c>
      <c r="R565" s="208" t="s">
        <v>4691</v>
      </c>
    </row>
    <row r="566" spans="1:18" s="205" customFormat="1" x14ac:dyDescent="0.2">
      <c r="A566" s="205" t="s">
        <v>5517</v>
      </c>
      <c r="B566" s="205" t="s">
        <v>282</v>
      </c>
      <c r="C566" s="200">
        <v>45463</v>
      </c>
      <c r="D566" s="199" t="s">
        <v>152</v>
      </c>
      <c r="E566" s="206">
        <v>60628</v>
      </c>
      <c r="F566" s="206">
        <v>6063</v>
      </c>
      <c r="G566" s="206">
        <v>303</v>
      </c>
      <c r="H566" s="202">
        <f t="shared" si="8"/>
        <v>54868</v>
      </c>
      <c r="I566" s="205" t="s">
        <v>193</v>
      </c>
      <c r="J566" s="205" t="s">
        <v>23</v>
      </c>
      <c r="K566" s="201" t="s">
        <v>1042</v>
      </c>
      <c r="L566" s="205" t="s">
        <v>5518</v>
      </c>
      <c r="M566" s="201" t="s">
        <v>1030</v>
      </c>
      <c r="N566" s="205" t="s">
        <v>652</v>
      </c>
      <c r="O566" s="205" t="s">
        <v>652</v>
      </c>
      <c r="P566" s="208" t="s">
        <v>1534</v>
      </c>
      <c r="Q566" s="208" t="s">
        <v>3748</v>
      </c>
      <c r="R566" s="208" t="s">
        <v>4691</v>
      </c>
    </row>
    <row r="567" spans="1:18" s="205" customFormat="1" x14ac:dyDescent="0.2">
      <c r="A567" s="205" t="s">
        <v>5519</v>
      </c>
      <c r="B567" s="205" t="s">
        <v>330</v>
      </c>
      <c r="C567" s="200">
        <v>45463</v>
      </c>
      <c r="D567" s="199" t="s">
        <v>152</v>
      </c>
      <c r="E567" s="206">
        <v>113984</v>
      </c>
      <c r="F567" s="206">
        <v>11398</v>
      </c>
      <c r="G567" s="206">
        <v>570</v>
      </c>
      <c r="H567" s="202">
        <f t="shared" si="8"/>
        <v>103156</v>
      </c>
      <c r="I567" s="205" t="s">
        <v>193</v>
      </c>
      <c r="J567" s="205" t="s">
        <v>23</v>
      </c>
      <c r="K567" s="201" t="s">
        <v>1058</v>
      </c>
      <c r="L567" s="205" t="s">
        <v>5520</v>
      </c>
      <c r="M567" s="201" t="s">
        <v>1030</v>
      </c>
      <c r="N567" s="205" t="s">
        <v>652</v>
      </c>
      <c r="O567" s="205" t="s">
        <v>652</v>
      </c>
      <c r="P567" s="208" t="s">
        <v>1534</v>
      </c>
      <c r="Q567" s="208" t="s">
        <v>3748</v>
      </c>
      <c r="R567" s="208" t="s">
        <v>4691</v>
      </c>
    </row>
    <row r="568" spans="1:18" s="205" customFormat="1" x14ac:dyDescent="0.2">
      <c r="A568" s="205" t="s">
        <v>5521</v>
      </c>
      <c r="B568" s="205" t="s">
        <v>250</v>
      </c>
      <c r="C568" s="200">
        <v>45463</v>
      </c>
      <c r="D568" s="199" t="s">
        <v>152</v>
      </c>
      <c r="E568" s="206">
        <v>85607</v>
      </c>
      <c r="F568" s="206">
        <v>8561</v>
      </c>
      <c r="G568" s="206">
        <v>428</v>
      </c>
      <c r="H568" s="202">
        <f t="shared" si="8"/>
        <v>77474</v>
      </c>
      <c r="I568" s="205" t="s">
        <v>193</v>
      </c>
      <c r="J568" s="205" t="s">
        <v>23</v>
      </c>
      <c r="K568" s="201" t="s">
        <v>1042</v>
      </c>
      <c r="L568" s="205" t="s">
        <v>5522</v>
      </c>
      <c r="M568" s="201" t="s">
        <v>1030</v>
      </c>
      <c r="N568" s="205" t="s">
        <v>652</v>
      </c>
      <c r="O568" s="205" t="s">
        <v>652</v>
      </c>
      <c r="P568" s="208" t="s">
        <v>1534</v>
      </c>
      <c r="Q568" s="208" t="s">
        <v>3748</v>
      </c>
      <c r="R568" s="208" t="s">
        <v>4691</v>
      </c>
    </row>
    <row r="569" spans="1:18" s="205" customFormat="1" x14ac:dyDescent="0.2">
      <c r="A569" s="205" t="s">
        <v>5523</v>
      </c>
      <c r="B569" s="205" t="s">
        <v>250</v>
      </c>
      <c r="C569" s="200">
        <v>45463</v>
      </c>
      <c r="D569" s="199" t="s">
        <v>152</v>
      </c>
      <c r="E569" s="206">
        <v>120957</v>
      </c>
      <c r="F569" s="206">
        <v>12096</v>
      </c>
      <c r="G569" s="206">
        <v>605</v>
      </c>
      <c r="H569" s="202">
        <f t="shared" si="8"/>
        <v>109466</v>
      </c>
      <c r="I569" s="205" t="s">
        <v>193</v>
      </c>
      <c r="J569" s="205" t="s">
        <v>23</v>
      </c>
      <c r="K569" s="201" t="s">
        <v>1042</v>
      </c>
      <c r="L569" s="205" t="s">
        <v>5524</v>
      </c>
      <c r="M569" s="201" t="s">
        <v>1030</v>
      </c>
      <c r="N569" s="205" t="s">
        <v>652</v>
      </c>
      <c r="O569" s="205" t="s">
        <v>652</v>
      </c>
      <c r="P569" s="208" t="s">
        <v>1534</v>
      </c>
      <c r="Q569" s="208" t="s">
        <v>3748</v>
      </c>
      <c r="R569" s="208" t="s">
        <v>4691</v>
      </c>
    </row>
    <row r="570" spans="1:18" s="205" customFormat="1" x14ac:dyDescent="0.2">
      <c r="A570" s="205" t="s">
        <v>5525</v>
      </c>
      <c r="B570" s="205" t="s">
        <v>248</v>
      </c>
      <c r="C570" s="200">
        <v>45463</v>
      </c>
      <c r="D570" s="199" t="s">
        <v>152</v>
      </c>
      <c r="E570" s="206">
        <v>76876</v>
      </c>
      <c r="F570" s="206">
        <v>7688</v>
      </c>
      <c r="G570" s="206">
        <v>384</v>
      </c>
      <c r="H570" s="202">
        <f t="shared" si="8"/>
        <v>69572</v>
      </c>
      <c r="I570" s="205" t="s">
        <v>193</v>
      </c>
      <c r="J570" s="205" t="s">
        <v>23</v>
      </c>
      <c r="K570" s="199" t="s">
        <v>1058</v>
      </c>
      <c r="L570" s="205" t="s">
        <v>5526</v>
      </c>
      <c r="M570" s="201" t="s">
        <v>1030</v>
      </c>
      <c r="N570" s="205" t="s">
        <v>652</v>
      </c>
      <c r="O570" s="205" t="s">
        <v>652</v>
      </c>
      <c r="P570" s="208" t="s">
        <v>1534</v>
      </c>
      <c r="Q570" s="208" t="s">
        <v>3748</v>
      </c>
      <c r="R570" s="208" t="s">
        <v>4691</v>
      </c>
    </row>
    <row r="571" spans="1:18" s="205" customFormat="1" x14ac:dyDescent="0.2">
      <c r="A571" s="205" t="s">
        <v>5527</v>
      </c>
      <c r="B571" s="205" t="s">
        <v>284</v>
      </c>
      <c r="C571" s="200">
        <v>45463</v>
      </c>
      <c r="D571" s="199" t="s">
        <v>152</v>
      </c>
      <c r="E571" s="206">
        <v>94377</v>
      </c>
      <c r="F571" s="206">
        <v>9438</v>
      </c>
      <c r="G571" s="206">
        <v>472</v>
      </c>
      <c r="H571" s="202">
        <f t="shared" si="8"/>
        <v>85411</v>
      </c>
      <c r="I571" s="205" t="s">
        <v>193</v>
      </c>
      <c r="J571" s="205" t="s">
        <v>23</v>
      </c>
      <c r="K571" s="199" t="s">
        <v>1058</v>
      </c>
      <c r="L571" s="205" t="s">
        <v>5528</v>
      </c>
      <c r="M571" s="201" t="s">
        <v>1030</v>
      </c>
      <c r="N571" s="205" t="s">
        <v>652</v>
      </c>
      <c r="O571" s="205" t="s">
        <v>652</v>
      </c>
      <c r="P571" s="208" t="s">
        <v>1534</v>
      </c>
      <c r="Q571" s="208" t="s">
        <v>3748</v>
      </c>
      <c r="R571" s="208" t="s">
        <v>4691</v>
      </c>
    </row>
    <row r="572" spans="1:18" s="205" customFormat="1" x14ac:dyDescent="0.2">
      <c r="A572" s="205" t="s">
        <v>5529</v>
      </c>
      <c r="B572" s="205" t="s">
        <v>250</v>
      </c>
      <c r="C572" s="200">
        <v>45463</v>
      </c>
      <c r="D572" s="199" t="s">
        <v>152</v>
      </c>
      <c r="E572" s="206">
        <v>85607</v>
      </c>
      <c r="F572" s="206">
        <v>8561</v>
      </c>
      <c r="G572" s="206">
        <v>428</v>
      </c>
      <c r="H572" s="202">
        <f t="shared" si="8"/>
        <v>77474</v>
      </c>
      <c r="I572" s="205" t="s">
        <v>193</v>
      </c>
      <c r="J572" s="205" t="s">
        <v>23</v>
      </c>
      <c r="K572" s="199" t="s">
        <v>1042</v>
      </c>
      <c r="L572" s="205" t="s">
        <v>5530</v>
      </c>
      <c r="M572" s="201" t="s">
        <v>1030</v>
      </c>
      <c r="N572" s="205" t="s">
        <v>652</v>
      </c>
      <c r="O572" s="205" t="s">
        <v>652</v>
      </c>
      <c r="P572" s="208" t="s">
        <v>1534</v>
      </c>
      <c r="Q572" s="208" t="s">
        <v>3748</v>
      </c>
      <c r="R572" s="208" t="s">
        <v>4691</v>
      </c>
    </row>
    <row r="573" spans="1:18" s="205" customFormat="1" ht="12.75" customHeight="1" x14ac:dyDescent="0.2">
      <c r="A573" s="205" t="s">
        <v>5531</v>
      </c>
      <c r="B573" s="205" t="s">
        <v>246</v>
      </c>
      <c r="C573" s="200">
        <v>45463</v>
      </c>
      <c r="D573" s="199" t="s">
        <v>152</v>
      </c>
      <c r="E573" s="206">
        <v>44011</v>
      </c>
      <c r="F573" s="206">
        <v>4401</v>
      </c>
      <c r="G573" s="206">
        <v>220</v>
      </c>
      <c r="H573" s="202">
        <f t="shared" si="8"/>
        <v>39830</v>
      </c>
      <c r="I573" s="205" t="s">
        <v>193</v>
      </c>
      <c r="J573" s="205" t="s">
        <v>23</v>
      </c>
      <c r="K573" s="199" t="s">
        <v>1042</v>
      </c>
      <c r="L573" s="205" t="s">
        <v>5532</v>
      </c>
      <c r="M573" s="201" t="s">
        <v>1030</v>
      </c>
      <c r="N573" s="205" t="s">
        <v>652</v>
      </c>
      <c r="O573" s="205" t="s">
        <v>652</v>
      </c>
      <c r="P573" s="208" t="s">
        <v>1534</v>
      </c>
      <c r="Q573" s="208" t="s">
        <v>3748</v>
      </c>
      <c r="R573" s="208" t="s">
        <v>4691</v>
      </c>
    </row>
    <row r="574" spans="1:18" s="205" customFormat="1" x14ac:dyDescent="0.2">
      <c r="A574" s="205" t="s">
        <v>5533</v>
      </c>
      <c r="B574" s="205" t="s">
        <v>246</v>
      </c>
      <c r="C574" s="200">
        <v>45463</v>
      </c>
      <c r="D574" s="199" t="s">
        <v>152</v>
      </c>
      <c r="E574" s="206">
        <v>22716</v>
      </c>
      <c r="F574" s="206">
        <v>2272</v>
      </c>
      <c r="G574" s="206">
        <v>114</v>
      </c>
      <c r="H574" s="202">
        <f t="shared" si="8"/>
        <v>20558</v>
      </c>
      <c r="I574" s="205" t="s">
        <v>193</v>
      </c>
      <c r="J574" s="205" t="s">
        <v>23</v>
      </c>
      <c r="K574" s="199" t="s">
        <v>1042</v>
      </c>
      <c r="L574" s="205" t="s">
        <v>5534</v>
      </c>
      <c r="M574" s="201" t="s">
        <v>1030</v>
      </c>
      <c r="N574" s="205" t="s">
        <v>652</v>
      </c>
      <c r="O574" s="205" t="s">
        <v>652</v>
      </c>
      <c r="P574" s="214" t="s">
        <v>1534</v>
      </c>
      <c r="Q574" s="214" t="s">
        <v>3748</v>
      </c>
      <c r="R574" s="214" t="s">
        <v>4691</v>
      </c>
    </row>
    <row r="575" spans="1:18" s="205" customFormat="1" x14ac:dyDescent="0.2">
      <c r="A575" s="209" t="s">
        <v>5535</v>
      </c>
      <c r="B575" s="209" t="s">
        <v>248</v>
      </c>
      <c r="C575" s="210">
        <v>45463</v>
      </c>
      <c r="D575" s="199" t="s">
        <v>152</v>
      </c>
      <c r="E575" s="211">
        <v>80793</v>
      </c>
      <c r="F575" s="211">
        <v>8079</v>
      </c>
      <c r="G575" s="211">
        <v>404</v>
      </c>
      <c r="H575" s="202">
        <f t="shared" si="8"/>
        <v>73118</v>
      </c>
      <c r="I575" s="209" t="s">
        <v>193</v>
      </c>
      <c r="J575" s="209" t="s">
        <v>23</v>
      </c>
      <c r="K575" s="201" t="s">
        <v>1058</v>
      </c>
      <c r="L575" s="209" t="s">
        <v>5536</v>
      </c>
      <c r="M575" s="201" t="s">
        <v>1030</v>
      </c>
      <c r="N575" s="209" t="s">
        <v>652</v>
      </c>
      <c r="O575" s="209" t="s">
        <v>652</v>
      </c>
      <c r="P575" s="213" t="s">
        <v>1534</v>
      </c>
      <c r="Q575" s="213" t="s">
        <v>3748</v>
      </c>
      <c r="R575" s="213" t="s">
        <v>4691</v>
      </c>
    </row>
    <row r="576" spans="1:18" s="205" customFormat="1" x14ac:dyDescent="0.2">
      <c r="A576" s="209" t="s">
        <v>5537</v>
      </c>
      <c r="B576" s="209" t="s">
        <v>246</v>
      </c>
      <c r="C576" s="210">
        <v>45463</v>
      </c>
      <c r="D576" s="199" t="s">
        <v>152</v>
      </c>
      <c r="E576" s="211">
        <v>22716</v>
      </c>
      <c r="F576" s="211">
        <v>2272</v>
      </c>
      <c r="G576" s="211">
        <v>114</v>
      </c>
      <c r="H576" s="202">
        <f t="shared" si="8"/>
        <v>20558</v>
      </c>
      <c r="I576" s="209" t="s">
        <v>193</v>
      </c>
      <c r="J576" s="209" t="s">
        <v>23</v>
      </c>
      <c r="K576" s="201" t="s">
        <v>1042</v>
      </c>
      <c r="L576" s="209" t="s">
        <v>5538</v>
      </c>
      <c r="M576" s="201" t="s">
        <v>1030</v>
      </c>
      <c r="N576" s="209" t="s">
        <v>652</v>
      </c>
      <c r="O576" s="209" t="s">
        <v>652</v>
      </c>
      <c r="P576" s="213" t="s">
        <v>1534</v>
      </c>
      <c r="Q576" s="213" t="s">
        <v>3748</v>
      </c>
      <c r="R576" s="213" t="s">
        <v>4691</v>
      </c>
    </row>
    <row r="577" spans="1:18" s="205" customFormat="1" x14ac:dyDescent="0.2">
      <c r="A577" s="209" t="s">
        <v>5539</v>
      </c>
      <c r="B577" s="209" t="s">
        <v>246</v>
      </c>
      <c r="C577" s="210">
        <v>45463</v>
      </c>
      <c r="D577" s="199" t="s">
        <v>152</v>
      </c>
      <c r="E577" s="211">
        <v>22716</v>
      </c>
      <c r="F577" s="211">
        <v>2272</v>
      </c>
      <c r="G577" s="211">
        <v>114</v>
      </c>
      <c r="H577" s="202">
        <f t="shared" si="8"/>
        <v>20558</v>
      </c>
      <c r="I577" s="209" t="s">
        <v>193</v>
      </c>
      <c r="J577" s="209" t="s">
        <v>23</v>
      </c>
      <c r="K577" s="201" t="s">
        <v>1042</v>
      </c>
      <c r="L577" s="209" t="s">
        <v>5540</v>
      </c>
      <c r="M577" s="201" t="s">
        <v>1030</v>
      </c>
      <c r="N577" s="209" t="s">
        <v>652</v>
      </c>
      <c r="O577" s="209" t="s">
        <v>652</v>
      </c>
      <c r="P577" s="213" t="s">
        <v>1534</v>
      </c>
      <c r="Q577" s="213" t="s">
        <v>3748</v>
      </c>
      <c r="R577" s="213" t="s">
        <v>4691</v>
      </c>
    </row>
    <row r="578" spans="1:18" s="205" customFormat="1" x14ac:dyDescent="0.2">
      <c r="A578" s="205" t="s">
        <v>378</v>
      </c>
      <c r="B578" s="205" t="s">
        <v>377</v>
      </c>
      <c r="C578" s="200">
        <v>45463</v>
      </c>
      <c r="D578" s="199" t="s">
        <v>152</v>
      </c>
      <c r="E578" s="206">
        <v>29716</v>
      </c>
      <c r="F578" s="206">
        <v>2972</v>
      </c>
      <c r="G578" s="206">
        <v>149</v>
      </c>
      <c r="H578" s="202">
        <f t="shared" ref="H578:H641" si="9">E578+G578-F578</f>
        <v>26893</v>
      </c>
      <c r="I578" s="205" t="s">
        <v>94</v>
      </c>
      <c r="J578" s="205" t="s">
        <v>23</v>
      </c>
      <c r="K578" s="201" t="s">
        <v>1042</v>
      </c>
      <c r="L578" s="205" t="s">
        <v>5541</v>
      </c>
      <c r="M578" s="201" t="s">
        <v>1030</v>
      </c>
      <c r="N578" s="205" t="s">
        <v>1190</v>
      </c>
      <c r="O578" s="205" t="s">
        <v>1191</v>
      </c>
      <c r="P578" s="208" t="s">
        <v>498</v>
      </c>
      <c r="Q578" s="208" t="s">
        <v>828</v>
      </c>
      <c r="R578" s="208" t="s">
        <v>4691</v>
      </c>
    </row>
    <row r="579" spans="1:18" s="205" customFormat="1" x14ac:dyDescent="0.2">
      <c r="A579" s="205" t="s">
        <v>221</v>
      </c>
      <c r="B579" s="205" t="s">
        <v>1062</v>
      </c>
      <c r="C579" s="200">
        <v>45463</v>
      </c>
      <c r="D579" s="199" t="s">
        <v>152</v>
      </c>
      <c r="E579" s="206">
        <v>65048</v>
      </c>
      <c r="F579" s="206">
        <v>6505</v>
      </c>
      <c r="G579" s="206">
        <v>325</v>
      </c>
      <c r="H579" s="202">
        <f t="shared" si="9"/>
        <v>58868</v>
      </c>
      <c r="I579" s="205" t="s">
        <v>224</v>
      </c>
      <c r="J579" s="205" t="s">
        <v>23</v>
      </c>
      <c r="K579" s="201" t="s">
        <v>1042</v>
      </c>
      <c r="L579" s="205" t="s">
        <v>5542</v>
      </c>
      <c r="M579" s="201" t="s">
        <v>1030</v>
      </c>
      <c r="N579" s="205" t="s">
        <v>652</v>
      </c>
      <c r="O579" s="205" t="s">
        <v>652</v>
      </c>
      <c r="P579" s="208" t="s">
        <v>987</v>
      </c>
      <c r="Q579" s="208" t="s">
        <v>988</v>
      </c>
      <c r="R579" s="208" t="s">
        <v>4691</v>
      </c>
    </row>
    <row r="580" spans="1:18" s="205" customFormat="1" x14ac:dyDescent="0.2">
      <c r="A580" s="205" t="s">
        <v>205</v>
      </c>
      <c r="B580" s="205" t="s">
        <v>851</v>
      </c>
      <c r="C580" s="200">
        <v>45463</v>
      </c>
      <c r="D580" s="199" t="s">
        <v>152</v>
      </c>
      <c r="E580" s="206">
        <v>43191</v>
      </c>
      <c r="F580" s="206">
        <v>4319</v>
      </c>
      <c r="G580" s="206">
        <v>216</v>
      </c>
      <c r="H580" s="202">
        <f t="shared" si="9"/>
        <v>39088</v>
      </c>
      <c r="I580" s="205" t="s">
        <v>22</v>
      </c>
      <c r="J580" s="205" t="s">
        <v>23</v>
      </c>
      <c r="K580" s="201" t="s">
        <v>1042</v>
      </c>
      <c r="L580" s="205" t="s">
        <v>5543</v>
      </c>
      <c r="M580" s="201" t="s">
        <v>1030</v>
      </c>
      <c r="N580" s="205" t="s">
        <v>652</v>
      </c>
      <c r="O580" s="205" t="s">
        <v>652</v>
      </c>
      <c r="P580" s="208" t="s">
        <v>651</v>
      </c>
      <c r="Q580" s="208" t="s">
        <v>673</v>
      </c>
      <c r="R580" s="208" t="s">
        <v>4691</v>
      </c>
    </row>
    <row r="581" spans="1:18" s="205" customFormat="1" x14ac:dyDescent="0.2">
      <c r="A581" s="205" t="s">
        <v>5544</v>
      </c>
      <c r="B581" s="205" t="s">
        <v>229</v>
      </c>
      <c r="C581" s="200">
        <v>45464</v>
      </c>
      <c r="D581" s="199" t="s">
        <v>152</v>
      </c>
      <c r="E581" s="206">
        <v>96732</v>
      </c>
      <c r="F581" s="206">
        <v>9673</v>
      </c>
      <c r="G581" s="206">
        <v>484</v>
      </c>
      <c r="H581" s="202">
        <f t="shared" si="9"/>
        <v>87543</v>
      </c>
      <c r="I581" s="205" t="s">
        <v>38</v>
      </c>
      <c r="J581" s="205" t="s">
        <v>23</v>
      </c>
      <c r="K581" s="201" t="s">
        <v>1028</v>
      </c>
      <c r="L581" s="205" t="s">
        <v>5545</v>
      </c>
      <c r="M581" s="201" t="s">
        <v>1030</v>
      </c>
      <c r="N581" s="205" t="s">
        <v>652</v>
      </c>
      <c r="O581" s="205" t="s">
        <v>652</v>
      </c>
      <c r="P581" s="208" t="s">
        <v>987</v>
      </c>
      <c r="Q581" s="208" t="s">
        <v>988</v>
      </c>
      <c r="R581" s="208" t="s">
        <v>4716</v>
      </c>
    </row>
    <row r="582" spans="1:18" s="205" customFormat="1" x14ac:dyDescent="0.2">
      <c r="A582" s="205" t="s">
        <v>5546</v>
      </c>
      <c r="B582" s="205" t="s">
        <v>229</v>
      </c>
      <c r="C582" s="200">
        <v>45464</v>
      </c>
      <c r="D582" s="199" t="s">
        <v>152</v>
      </c>
      <c r="E582" s="206">
        <v>42202</v>
      </c>
      <c r="F582" s="206">
        <v>4220</v>
      </c>
      <c r="G582" s="206">
        <v>211</v>
      </c>
      <c r="H582" s="202">
        <f t="shared" si="9"/>
        <v>38193</v>
      </c>
      <c r="I582" s="205" t="s">
        <v>38</v>
      </c>
      <c r="J582" s="205" t="s">
        <v>23</v>
      </c>
      <c r="K582" s="201" t="s">
        <v>1028</v>
      </c>
      <c r="L582" s="205" t="s">
        <v>5547</v>
      </c>
      <c r="M582" s="201" t="s">
        <v>1030</v>
      </c>
      <c r="N582" s="205" t="s">
        <v>652</v>
      </c>
      <c r="O582" s="205" t="s">
        <v>652</v>
      </c>
      <c r="P582" s="208" t="s">
        <v>987</v>
      </c>
      <c r="Q582" s="208" t="s">
        <v>988</v>
      </c>
      <c r="R582" s="208" t="s">
        <v>4716</v>
      </c>
    </row>
    <row r="583" spans="1:18" s="205" customFormat="1" x14ac:dyDescent="0.2">
      <c r="A583" s="205" t="s">
        <v>5430</v>
      </c>
      <c r="B583" s="205" t="s">
        <v>5431</v>
      </c>
      <c r="C583" s="200">
        <v>45464</v>
      </c>
      <c r="D583" s="199" t="s">
        <v>152</v>
      </c>
      <c r="E583" s="206">
        <v>56948</v>
      </c>
      <c r="F583" s="206">
        <v>5695</v>
      </c>
      <c r="G583" s="206">
        <v>285</v>
      </c>
      <c r="H583" s="202">
        <f t="shared" si="9"/>
        <v>51538</v>
      </c>
      <c r="I583" s="205" t="s">
        <v>5432</v>
      </c>
      <c r="J583" s="205" t="s">
        <v>23</v>
      </c>
      <c r="K583" s="201" t="s">
        <v>1042</v>
      </c>
      <c r="L583" s="205" t="s">
        <v>5548</v>
      </c>
      <c r="M583" s="201" t="s">
        <v>1030</v>
      </c>
      <c r="N583" s="205" t="s">
        <v>5434</v>
      </c>
      <c r="O583" s="205" t="s">
        <v>1191</v>
      </c>
      <c r="P583" s="208" t="s">
        <v>861</v>
      </c>
      <c r="Q583" s="208" t="s">
        <v>4505</v>
      </c>
      <c r="R583" s="208" t="s">
        <v>4716</v>
      </c>
    </row>
    <row r="584" spans="1:18" s="205" customFormat="1" x14ac:dyDescent="0.2">
      <c r="A584" s="209" t="s">
        <v>5549</v>
      </c>
      <c r="B584" s="209" t="s">
        <v>282</v>
      </c>
      <c r="C584" s="210">
        <v>45464</v>
      </c>
      <c r="D584" s="199" t="s">
        <v>152</v>
      </c>
      <c r="E584" s="211">
        <v>100975</v>
      </c>
      <c r="F584" s="206">
        <v>10098</v>
      </c>
      <c r="G584" s="206">
        <v>505</v>
      </c>
      <c r="H584" s="202">
        <f t="shared" si="9"/>
        <v>91382</v>
      </c>
      <c r="I584" s="209" t="s">
        <v>193</v>
      </c>
      <c r="J584" s="209" t="s">
        <v>23</v>
      </c>
      <c r="K584" s="201" t="s">
        <v>1042</v>
      </c>
      <c r="L584" s="209" t="s">
        <v>5550</v>
      </c>
      <c r="M584" s="201" t="s">
        <v>1030</v>
      </c>
      <c r="N584" s="209" t="s">
        <v>652</v>
      </c>
      <c r="O584" s="209" t="s">
        <v>652</v>
      </c>
      <c r="P584" s="213" t="s">
        <v>1534</v>
      </c>
      <c r="Q584" s="213" t="s">
        <v>3748</v>
      </c>
      <c r="R584" s="213" t="s">
        <v>4716</v>
      </c>
    </row>
    <row r="585" spans="1:18" s="205" customFormat="1" x14ac:dyDescent="0.2">
      <c r="A585" s="209" t="s">
        <v>5430</v>
      </c>
      <c r="B585" s="209" t="s">
        <v>5431</v>
      </c>
      <c r="C585" s="210">
        <v>45464</v>
      </c>
      <c r="D585" s="199" t="s">
        <v>152</v>
      </c>
      <c r="E585" s="211">
        <v>29611</v>
      </c>
      <c r="F585" s="206">
        <v>2961</v>
      </c>
      <c r="G585" s="206">
        <v>148</v>
      </c>
      <c r="H585" s="202">
        <f t="shared" si="9"/>
        <v>26798</v>
      </c>
      <c r="I585" s="209" t="s">
        <v>5432</v>
      </c>
      <c r="J585" s="209" t="s">
        <v>23</v>
      </c>
      <c r="K585" s="201" t="s">
        <v>1042</v>
      </c>
      <c r="L585" s="209" t="s">
        <v>5551</v>
      </c>
      <c r="M585" s="201" t="s">
        <v>1030</v>
      </c>
      <c r="N585" s="209" t="s">
        <v>5434</v>
      </c>
      <c r="O585" s="209" t="s">
        <v>1191</v>
      </c>
      <c r="P585" s="213" t="s">
        <v>861</v>
      </c>
      <c r="Q585" s="213" t="s">
        <v>4505</v>
      </c>
      <c r="R585" s="213" t="s">
        <v>4716</v>
      </c>
    </row>
    <row r="586" spans="1:18" s="205" customFormat="1" x14ac:dyDescent="0.2">
      <c r="A586" s="205" t="s">
        <v>5552</v>
      </c>
      <c r="B586" s="205" t="s">
        <v>248</v>
      </c>
      <c r="C586" s="200">
        <v>45464</v>
      </c>
      <c r="D586" s="199" t="s">
        <v>152</v>
      </c>
      <c r="E586" s="206">
        <v>70103</v>
      </c>
      <c r="F586" s="206">
        <v>7010</v>
      </c>
      <c r="G586" s="206">
        <v>351</v>
      </c>
      <c r="H586" s="202">
        <f t="shared" si="9"/>
        <v>63444</v>
      </c>
      <c r="I586" s="205" t="s">
        <v>193</v>
      </c>
      <c r="J586" s="205" t="s">
        <v>23</v>
      </c>
      <c r="K586" s="201" t="s">
        <v>1058</v>
      </c>
      <c r="L586" s="205" t="s">
        <v>5553</v>
      </c>
      <c r="M586" s="201" t="s">
        <v>1030</v>
      </c>
      <c r="N586" s="205" t="s">
        <v>652</v>
      </c>
      <c r="O586" s="205" t="s">
        <v>652</v>
      </c>
      <c r="P586" s="208" t="s">
        <v>1534</v>
      </c>
      <c r="Q586" s="208" t="s">
        <v>3748</v>
      </c>
      <c r="R586" s="208" t="s">
        <v>4716</v>
      </c>
    </row>
    <row r="587" spans="1:18" s="205" customFormat="1" x14ac:dyDescent="0.2">
      <c r="A587" s="205" t="s">
        <v>5554</v>
      </c>
      <c r="B587" s="205" t="s">
        <v>5555</v>
      </c>
      <c r="C587" s="200">
        <v>45464</v>
      </c>
      <c r="D587" s="199" t="s">
        <v>152</v>
      </c>
      <c r="E587" s="206">
        <v>52776</v>
      </c>
      <c r="F587" s="206">
        <v>5278</v>
      </c>
      <c r="G587" s="206">
        <v>264</v>
      </c>
      <c r="H587" s="202">
        <f t="shared" si="9"/>
        <v>47762</v>
      </c>
      <c r="I587" s="205" t="s">
        <v>373</v>
      </c>
      <c r="J587" s="205" t="s">
        <v>23</v>
      </c>
      <c r="K587" s="201" t="s">
        <v>1058</v>
      </c>
      <c r="L587" s="205" t="s">
        <v>5556</v>
      </c>
      <c r="M587" s="201" t="s">
        <v>1030</v>
      </c>
      <c r="N587" s="205" t="s">
        <v>652</v>
      </c>
      <c r="O587" s="205" t="s">
        <v>652</v>
      </c>
      <c r="P587" s="208" t="s">
        <v>4716</v>
      </c>
      <c r="Q587" s="208" t="s">
        <v>4790</v>
      </c>
      <c r="R587" s="208" t="s">
        <v>4716</v>
      </c>
    </row>
    <row r="588" spans="1:18" s="205" customFormat="1" x14ac:dyDescent="0.2">
      <c r="A588" s="205" t="s">
        <v>198</v>
      </c>
      <c r="B588" s="205" t="s">
        <v>633</v>
      </c>
      <c r="C588" s="200">
        <v>45464</v>
      </c>
      <c r="D588" s="199" t="s">
        <v>152</v>
      </c>
      <c r="E588" s="206">
        <v>28902</v>
      </c>
      <c r="F588" s="206">
        <v>2890</v>
      </c>
      <c r="G588" s="206">
        <v>145</v>
      </c>
      <c r="H588" s="202">
        <f t="shared" si="9"/>
        <v>26157</v>
      </c>
      <c r="I588" s="205" t="s">
        <v>94</v>
      </c>
      <c r="J588" s="205" t="s">
        <v>23</v>
      </c>
      <c r="K588" s="201" t="s">
        <v>1042</v>
      </c>
      <c r="L588" s="205" t="s">
        <v>5557</v>
      </c>
      <c r="M588" s="201" t="s">
        <v>1030</v>
      </c>
      <c r="N588" s="205" t="s">
        <v>652</v>
      </c>
      <c r="O588" s="205" t="s">
        <v>652</v>
      </c>
      <c r="P588" s="208" t="s">
        <v>657</v>
      </c>
      <c r="Q588" s="208" t="s">
        <v>658</v>
      </c>
      <c r="R588" s="208" t="s">
        <v>4716</v>
      </c>
    </row>
    <row r="589" spans="1:18" s="205" customFormat="1" x14ac:dyDescent="0.2">
      <c r="A589" s="205" t="s">
        <v>357</v>
      </c>
      <c r="B589" s="205" t="s">
        <v>1052</v>
      </c>
      <c r="C589" s="200">
        <v>45464</v>
      </c>
      <c r="D589" s="199" t="s">
        <v>152</v>
      </c>
      <c r="E589" s="206">
        <v>53475</v>
      </c>
      <c r="F589" s="206">
        <v>5348</v>
      </c>
      <c r="G589" s="206">
        <v>267</v>
      </c>
      <c r="H589" s="202">
        <f t="shared" si="9"/>
        <v>48394</v>
      </c>
      <c r="I589" s="205" t="s">
        <v>74</v>
      </c>
      <c r="J589" s="205" t="s">
        <v>23</v>
      </c>
      <c r="K589" s="201" t="s">
        <v>1042</v>
      </c>
      <c r="L589" s="205" t="s">
        <v>5558</v>
      </c>
      <c r="M589" s="201" t="s">
        <v>1030</v>
      </c>
      <c r="N589" s="205" t="s">
        <v>652</v>
      </c>
      <c r="O589" s="205" t="s">
        <v>652</v>
      </c>
      <c r="P589" s="208" t="s">
        <v>987</v>
      </c>
      <c r="Q589" s="208" t="s">
        <v>988</v>
      </c>
      <c r="R589" s="208" t="s">
        <v>4716</v>
      </c>
    </row>
    <row r="590" spans="1:18" s="205" customFormat="1" x14ac:dyDescent="0.2">
      <c r="A590" s="205" t="s">
        <v>203</v>
      </c>
      <c r="B590" s="205" t="s">
        <v>4918</v>
      </c>
      <c r="C590" s="200">
        <v>45464</v>
      </c>
      <c r="D590" s="199" t="s">
        <v>152</v>
      </c>
      <c r="E590" s="206">
        <v>21112</v>
      </c>
      <c r="F590" s="206">
        <v>2111</v>
      </c>
      <c r="G590" s="206">
        <v>106</v>
      </c>
      <c r="H590" s="202">
        <f t="shared" si="9"/>
        <v>19107</v>
      </c>
      <c r="I590" s="205" t="s">
        <v>4919</v>
      </c>
      <c r="J590" s="205" t="s">
        <v>23</v>
      </c>
      <c r="K590" s="201" t="s">
        <v>1141</v>
      </c>
      <c r="L590" s="205" t="s">
        <v>5559</v>
      </c>
      <c r="M590" s="201" t="s">
        <v>1030</v>
      </c>
      <c r="N590" s="205" t="s">
        <v>652</v>
      </c>
      <c r="O590" s="205" t="s">
        <v>652</v>
      </c>
      <c r="P590" s="208" t="s">
        <v>1534</v>
      </c>
      <c r="Q590" s="208" t="s">
        <v>3748</v>
      </c>
      <c r="R590" s="208" t="s">
        <v>4716</v>
      </c>
    </row>
    <row r="591" spans="1:18" s="205" customFormat="1" x14ac:dyDescent="0.2">
      <c r="A591" s="205" t="s">
        <v>5560</v>
      </c>
      <c r="B591" s="205" t="s">
        <v>5561</v>
      </c>
      <c r="C591" s="200">
        <v>45465</v>
      </c>
      <c r="D591" s="199" t="s">
        <v>152</v>
      </c>
      <c r="E591" s="206">
        <v>70123</v>
      </c>
      <c r="F591" s="206">
        <v>7012</v>
      </c>
      <c r="G591" s="206">
        <v>351</v>
      </c>
      <c r="H591" s="202">
        <f t="shared" si="9"/>
        <v>63462</v>
      </c>
      <c r="I591" s="205" t="s">
        <v>644</v>
      </c>
      <c r="J591" s="205" t="s">
        <v>23</v>
      </c>
      <c r="K591" s="201" t="s">
        <v>1058</v>
      </c>
      <c r="L591" s="205" t="s">
        <v>5562</v>
      </c>
      <c r="M591" s="201" t="s">
        <v>2041</v>
      </c>
      <c r="N591" s="205" t="s">
        <v>652</v>
      </c>
      <c r="O591" s="205" t="s">
        <v>652</v>
      </c>
      <c r="P591" s="208" t="s">
        <v>4481</v>
      </c>
      <c r="Q591" s="208" t="s">
        <v>4486</v>
      </c>
      <c r="R591" s="208" t="s">
        <v>4716</v>
      </c>
    </row>
    <row r="592" spans="1:18" s="205" customFormat="1" x14ac:dyDescent="0.2">
      <c r="A592" s="205" t="s">
        <v>201</v>
      </c>
      <c r="B592" s="205" t="s">
        <v>406</v>
      </c>
      <c r="C592" s="200">
        <v>45465</v>
      </c>
      <c r="D592" s="199" t="s">
        <v>152</v>
      </c>
      <c r="E592" s="206">
        <v>3000</v>
      </c>
      <c r="F592" s="206">
        <v>300</v>
      </c>
      <c r="G592" s="206">
        <v>15</v>
      </c>
      <c r="H592" s="202">
        <f t="shared" si="9"/>
        <v>2715</v>
      </c>
      <c r="I592" s="205" t="s">
        <v>202</v>
      </c>
      <c r="J592" s="205" t="s">
        <v>23</v>
      </c>
      <c r="K592" s="199" t="s">
        <v>1042</v>
      </c>
      <c r="L592" s="205" t="s">
        <v>5563</v>
      </c>
      <c r="M592" s="201" t="s">
        <v>1030</v>
      </c>
      <c r="N592" s="205" t="s">
        <v>652</v>
      </c>
      <c r="O592" s="205" t="s">
        <v>652</v>
      </c>
      <c r="P592" s="214" t="s">
        <v>692</v>
      </c>
      <c r="Q592" s="214" t="s">
        <v>693</v>
      </c>
      <c r="R592" s="214" t="s">
        <v>845</v>
      </c>
    </row>
    <row r="593" spans="1:18" s="205" customFormat="1" x14ac:dyDescent="0.2">
      <c r="A593" s="209" t="s">
        <v>77</v>
      </c>
      <c r="B593" s="209" t="s">
        <v>369</v>
      </c>
      <c r="C593" s="210">
        <v>45465</v>
      </c>
      <c r="D593" s="199" t="s">
        <v>152</v>
      </c>
      <c r="E593" s="211">
        <v>10205</v>
      </c>
      <c r="F593" s="211">
        <v>1021</v>
      </c>
      <c r="G593" s="211">
        <v>51</v>
      </c>
      <c r="H593" s="202">
        <f t="shared" si="9"/>
        <v>9235</v>
      </c>
      <c r="I593" s="209" t="s">
        <v>33</v>
      </c>
      <c r="J593" s="209" t="s">
        <v>23</v>
      </c>
      <c r="K593" s="201" t="s">
        <v>1141</v>
      </c>
      <c r="L593" s="209" t="s">
        <v>5564</v>
      </c>
      <c r="M593" s="201" t="s">
        <v>652</v>
      </c>
      <c r="N593" s="209" t="s">
        <v>652</v>
      </c>
      <c r="O593" s="209" t="s">
        <v>652</v>
      </c>
      <c r="P593" s="213" t="s">
        <v>503</v>
      </c>
      <c r="Q593" s="213" t="s">
        <v>766</v>
      </c>
      <c r="R593" s="213" t="s">
        <v>845</v>
      </c>
    </row>
    <row r="594" spans="1:18" s="205" customFormat="1" x14ac:dyDescent="0.2">
      <c r="A594" s="205" t="s">
        <v>4886</v>
      </c>
      <c r="B594" s="205" t="s">
        <v>4887</v>
      </c>
      <c r="C594" s="200">
        <v>45465</v>
      </c>
      <c r="D594" s="199" t="s">
        <v>152</v>
      </c>
      <c r="E594" s="206">
        <v>123592</v>
      </c>
      <c r="F594" s="206">
        <v>12359</v>
      </c>
      <c r="G594" s="206">
        <v>618</v>
      </c>
      <c r="H594" s="202">
        <f t="shared" si="9"/>
        <v>111851</v>
      </c>
      <c r="I594" s="205" t="s">
        <v>94</v>
      </c>
      <c r="J594" s="205" t="s">
        <v>23</v>
      </c>
      <c r="K594" s="201" t="s">
        <v>1042</v>
      </c>
      <c r="L594" s="205" t="s">
        <v>5565</v>
      </c>
      <c r="M594" s="201" t="s">
        <v>1393</v>
      </c>
      <c r="N594" s="205" t="s">
        <v>4889</v>
      </c>
      <c r="O594" s="205" t="s">
        <v>1115</v>
      </c>
      <c r="P594" s="208" t="s">
        <v>1534</v>
      </c>
      <c r="Q594" s="208" t="s">
        <v>3748</v>
      </c>
      <c r="R594" s="208" t="s">
        <v>845</v>
      </c>
    </row>
    <row r="595" spans="1:18" s="205" customFormat="1" x14ac:dyDescent="0.2">
      <c r="A595" s="205" t="s">
        <v>5566</v>
      </c>
      <c r="B595" s="205" t="s">
        <v>284</v>
      </c>
      <c r="C595" s="200">
        <v>45465</v>
      </c>
      <c r="D595" s="199" t="s">
        <v>152</v>
      </c>
      <c r="E595" s="206">
        <v>127646</v>
      </c>
      <c r="F595" s="206">
        <v>12765</v>
      </c>
      <c r="G595" s="206">
        <v>638</v>
      </c>
      <c r="H595" s="202">
        <f t="shared" si="9"/>
        <v>115519</v>
      </c>
      <c r="I595" s="205" t="s">
        <v>193</v>
      </c>
      <c r="J595" s="205" t="s">
        <v>23</v>
      </c>
      <c r="K595" s="201" t="s">
        <v>1058</v>
      </c>
      <c r="L595" s="205" t="s">
        <v>5567</v>
      </c>
      <c r="M595" s="201" t="s">
        <v>1030</v>
      </c>
      <c r="N595" s="205" t="s">
        <v>652</v>
      </c>
      <c r="O595" s="205" t="s">
        <v>652</v>
      </c>
      <c r="P595" s="208" t="s">
        <v>1534</v>
      </c>
      <c r="Q595" s="208" t="s">
        <v>3748</v>
      </c>
      <c r="R595" s="208" t="s">
        <v>845</v>
      </c>
    </row>
    <row r="596" spans="1:18" s="205" customFormat="1" x14ac:dyDescent="0.2">
      <c r="A596" s="205" t="s">
        <v>5568</v>
      </c>
      <c r="B596" s="205" t="s">
        <v>246</v>
      </c>
      <c r="C596" s="200">
        <v>45465</v>
      </c>
      <c r="D596" s="199" t="s">
        <v>152</v>
      </c>
      <c r="E596" s="206">
        <v>31332</v>
      </c>
      <c r="F596" s="206">
        <v>3133</v>
      </c>
      <c r="G596" s="206">
        <v>157</v>
      </c>
      <c r="H596" s="202">
        <f t="shared" si="9"/>
        <v>28356</v>
      </c>
      <c r="I596" s="205" t="s">
        <v>193</v>
      </c>
      <c r="J596" s="205" t="s">
        <v>23</v>
      </c>
      <c r="K596" s="201" t="s">
        <v>1042</v>
      </c>
      <c r="L596" s="205" t="s">
        <v>5569</v>
      </c>
      <c r="M596" s="201" t="s">
        <v>1030</v>
      </c>
      <c r="N596" s="205" t="s">
        <v>652</v>
      </c>
      <c r="O596" s="205" t="s">
        <v>652</v>
      </c>
      <c r="P596" s="208" t="s">
        <v>1534</v>
      </c>
      <c r="Q596" s="208" t="s">
        <v>3748</v>
      </c>
      <c r="R596" s="208" t="s">
        <v>845</v>
      </c>
    </row>
    <row r="597" spans="1:18" s="205" customFormat="1" x14ac:dyDescent="0.2">
      <c r="A597" s="205" t="s">
        <v>5570</v>
      </c>
      <c r="B597" s="205" t="s">
        <v>248</v>
      </c>
      <c r="C597" s="200">
        <v>45465</v>
      </c>
      <c r="D597" s="199" t="s">
        <v>152</v>
      </c>
      <c r="E597" s="206">
        <v>80793</v>
      </c>
      <c r="F597" s="206">
        <v>8079</v>
      </c>
      <c r="G597" s="206">
        <v>404</v>
      </c>
      <c r="H597" s="202">
        <f t="shared" si="9"/>
        <v>73118</v>
      </c>
      <c r="I597" s="205" t="s">
        <v>193</v>
      </c>
      <c r="J597" s="205" t="s">
        <v>23</v>
      </c>
      <c r="K597" s="201" t="s">
        <v>1058</v>
      </c>
      <c r="L597" s="205" t="s">
        <v>5571</v>
      </c>
      <c r="M597" s="201" t="s">
        <v>1030</v>
      </c>
      <c r="N597" s="205" t="s">
        <v>652</v>
      </c>
      <c r="O597" s="205" t="s">
        <v>652</v>
      </c>
      <c r="P597" s="208" t="s">
        <v>1534</v>
      </c>
      <c r="Q597" s="208" t="s">
        <v>3748</v>
      </c>
      <c r="R597" s="208" t="s">
        <v>845</v>
      </c>
    </row>
    <row r="598" spans="1:18" s="205" customFormat="1" x14ac:dyDescent="0.2">
      <c r="A598" s="205" t="s">
        <v>134</v>
      </c>
      <c r="B598" s="205" t="s">
        <v>5572</v>
      </c>
      <c r="C598" s="200">
        <v>45467</v>
      </c>
      <c r="D598" s="199" t="s">
        <v>152</v>
      </c>
      <c r="E598" s="206">
        <v>1841595</v>
      </c>
      <c r="F598" s="206">
        <v>184159</v>
      </c>
      <c r="G598" s="206">
        <v>9208</v>
      </c>
      <c r="H598" s="202">
        <f t="shared" si="9"/>
        <v>1666644</v>
      </c>
      <c r="I598" s="205" t="s">
        <v>44</v>
      </c>
      <c r="J598" s="205" t="s">
        <v>23</v>
      </c>
      <c r="K598" s="201" t="s">
        <v>1028</v>
      </c>
      <c r="L598" s="205" t="s">
        <v>5573</v>
      </c>
      <c r="M598" s="201" t="s">
        <v>1030</v>
      </c>
      <c r="N598" s="205" t="s">
        <v>652</v>
      </c>
      <c r="O598" s="205" t="s">
        <v>652</v>
      </c>
      <c r="P598" s="208" t="s">
        <v>4456</v>
      </c>
      <c r="Q598" s="208" t="s">
        <v>5086</v>
      </c>
      <c r="R598" s="208" t="s">
        <v>884</v>
      </c>
    </row>
    <row r="599" spans="1:18" s="205" customFormat="1" x14ac:dyDescent="0.2">
      <c r="A599" s="205" t="s">
        <v>5574</v>
      </c>
      <c r="B599" s="205" t="s">
        <v>5575</v>
      </c>
      <c r="C599" s="200">
        <v>45467</v>
      </c>
      <c r="D599" s="199" t="s">
        <v>152</v>
      </c>
      <c r="E599" s="206">
        <v>94301</v>
      </c>
      <c r="F599" s="206">
        <v>9430</v>
      </c>
      <c r="G599" s="206">
        <v>472</v>
      </c>
      <c r="H599" s="202">
        <f t="shared" si="9"/>
        <v>85343</v>
      </c>
      <c r="I599" s="205" t="s">
        <v>37</v>
      </c>
      <c r="J599" s="205" t="s">
        <v>23</v>
      </c>
      <c r="K599" s="199" t="s">
        <v>1028</v>
      </c>
      <c r="L599" s="205" t="s">
        <v>5576</v>
      </c>
      <c r="M599" s="201" t="s">
        <v>1030</v>
      </c>
      <c r="N599" s="205" t="s">
        <v>652</v>
      </c>
      <c r="O599" s="205" t="s">
        <v>652</v>
      </c>
      <c r="P599" s="208" t="s">
        <v>1534</v>
      </c>
      <c r="Q599" s="208" t="s">
        <v>3748</v>
      </c>
      <c r="R599" s="208" t="s">
        <v>886</v>
      </c>
    </row>
    <row r="600" spans="1:18" s="205" customFormat="1" x14ac:dyDescent="0.2">
      <c r="A600" s="205" t="s">
        <v>5577</v>
      </c>
      <c r="B600" s="205" t="s">
        <v>5578</v>
      </c>
      <c r="C600" s="200">
        <v>45467</v>
      </c>
      <c r="D600" s="199" t="s">
        <v>152</v>
      </c>
      <c r="E600" s="206">
        <v>81461</v>
      </c>
      <c r="F600" s="206">
        <v>8146</v>
      </c>
      <c r="G600" s="206">
        <v>407</v>
      </c>
      <c r="H600" s="202">
        <f t="shared" si="9"/>
        <v>73722</v>
      </c>
      <c r="I600" s="205" t="s">
        <v>5579</v>
      </c>
      <c r="J600" s="205" t="s">
        <v>23</v>
      </c>
      <c r="K600" s="199" t="s">
        <v>1058</v>
      </c>
      <c r="L600" s="205" t="s">
        <v>5580</v>
      </c>
      <c r="M600" s="201" t="s">
        <v>1030</v>
      </c>
      <c r="N600" s="205" t="s">
        <v>652</v>
      </c>
      <c r="O600" s="205" t="s">
        <v>652</v>
      </c>
      <c r="P600" s="214" t="s">
        <v>3738</v>
      </c>
      <c r="Q600" s="214" t="s">
        <v>4695</v>
      </c>
      <c r="R600" s="214" t="s">
        <v>886</v>
      </c>
    </row>
    <row r="601" spans="1:18" s="205" customFormat="1" x14ac:dyDescent="0.2">
      <c r="A601" s="209" t="s">
        <v>5581</v>
      </c>
      <c r="B601" s="209" t="s">
        <v>5582</v>
      </c>
      <c r="C601" s="210">
        <v>45467</v>
      </c>
      <c r="D601" s="199" t="s">
        <v>152</v>
      </c>
      <c r="E601" s="211">
        <v>67877</v>
      </c>
      <c r="F601" s="211">
        <v>6788</v>
      </c>
      <c r="G601" s="211">
        <v>339</v>
      </c>
      <c r="H601" s="202">
        <f t="shared" si="9"/>
        <v>61428</v>
      </c>
      <c r="I601" s="209" t="s">
        <v>37</v>
      </c>
      <c r="J601" s="209" t="s">
        <v>23</v>
      </c>
      <c r="K601" s="201"/>
      <c r="L601" s="209" t="s">
        <v>5583</v>
      </c>
      <c r="M601" s="201"/>
      <c r="N601" s="209"/>
      <c r="O601" s="209"/>
      <c r="P601" s="242" t="s">
        <v>4764</v>
      </c>
      <c r="Q601" s="242" t="s">
        <v>5584</v>
      </c>
      <c r="R601" s="242" t="s">
        <v>886</v>
      </c>
    </row>
    <row r="602" spans="1:18" s="205" customFormat="1" x14ac:dyDescent="0.2">
      <c r="A602" s="205" t="s">
        <v>5585</v>
      </c>
      <c r="B602" s="205" t="s">
        <v>5586</v>
      </c>
      <c r="C602" s="200">
        <v>45467</v>
      </c>
      <c r="D602" s="199" t="s">
        <v>152</v>
      </c>
      <c r="E602" s="206">
        <v>33575</v>
      </c>
      <c r="F602" s="206">
        <v>3358</v>
      </c>
      <c r="G602" s="206">
        <v>168</v>
      </c>
      <c r="H602" s="202">
        <f t="shared" si="9"/>
        <v>30385</v>
      </c>
      <c r="I602" s="205" t="s">
        <v>37</v>
      </c>
      <c r="J602" s="205" t="s">
        <v>23</v>
      </c>
      <c r="K602" s="201" t="s">
        <v>1028</v>
      </c>
      <c r="L602" s="205" t="s">
        <v>5587</v>
      </c>
      <c r="M602" s="201" t="s">
        <v>1030</v>
      </c>
      <c r="N602" s="205" t="s">
        <v>652</v>
      </c>
      <c r="O602" s="205" t="s">
        <v>652</v>
      </c>
      <c r="P602" s="216" t="s">
        <v>3279</v>
      </c>
      <c r="Q602" s="216" t="s">
        <v>3280</v>
      </c>
      <c r="R602" s="208" t="s">
        <v>886</v>
      </c>
    </row>
    <row r="603" spans="1:18" s="205" customFormat="1" x14ac:dyDescent="0.2">
      <c r="A603" s="205" t="s">
        <v>5588</v>
      </c>
      <c r="B603" s="205" t="s">
        <v>5589</v>
      </c>
      <c r="C603" s="200">
        <v>45467</v>
      </c>
      <c r="D603" s="199" t="s">
        <v>152</v>
      </c>
      <c r="E603" s="206">
        <v>114356</v>
      </c>
      <c r="F603" s="206">
        <v>11436</v>
      </c>
      <c r="G603" s="206">
        <v>572</v>
      </c>
      <c r="H603" s="202">
        <f t="shared" si="9"/>
        <v>103492</v>
      </c>
      <c r="I603" s="205" t="s">
        <v>37</v>
      </c>
      <c r="J603" s="205" t="s">
        <v>23</v>
      </c>
      <c r="K603" s="201" t="s">
        <v>1028</v>
      </c>
      <c r="L603" s="205" t="s">
        <v>5590</v>
      </c>
      <c r="M603" s="201" t="s">
        <v>1030</v>
      </c>
      <c r="N603" s="205" t="s">
        <v>652</v>
      </c>
      <c r="O603" s="205" t="s">
        <v>652</v>
      </c>
      <c r="P603" s="208" t="s">
        <v>1534</v>
      </c>
      <c r="Q603" s="208" t="s">
        <v>3748</v>
      </c>
      <c r="R603" s="208" t="s">
        <v>886</v>
      </c>
    </row>
    <row r="604" spans="1:18" s="205" customFormat="1" x14ac:dyDescent="0.2">
      <c r="A604" s="205" t="s">
        <v>84</v>
      </c>
      <c r="B604" s="205" t="s">
        <v>540</v>
      </c>
      <c r="C604" s="200">
        <v>45467</v>
      </c>
      <c r="D604" s="199" t="s">
        <v>152</v>
      </c>
      <c r="E604" s="206">
        <v>75154</v>
      </c>
      <c r="F604" s="206">
        <v>7515</v>
      </c>
      <c r="G604" s="206">
        <v>376</v>
      </c>
      <c r="H604" s="202">
        <f t="shared" si="9"/>
        <v>68015</v>
      </c>
      <c r="I604" s="205" t="s">
        <v>66</v>
      </c>
      <c r="J604" s="205" t="s">
        <v>23</v>
      </c>
      <c r="K604" s="201" t="s">
        <v>1141</v>
      </c>
      <c r="L604" s="205" t="s">
        <v>5591</v>
      </c>
      <c r="M604" s="201" t="s">
        <v>1030</v>
      </c>
      <c r="N604" s="205" t="s">
        <v>652</v>
      </c>
      <c r="O604" s="205" t="s">
        <v>652</v>
      </c>
      <c r="P604" s="208" t="s">
        <v>688</v>
      </c>
      <c r="Q604" s="208" t="s">
        <v>689</v>
      </c>
      <c r="R604" s="208" t="s">
        <v>886</v>
      </c>
    </row>
    <row r="605" spans="1:18" s="205" customFormat="1" x14ac:dyDescent="0.2">
      <c r="A605" s="205" t="s">
        <v>537</v>
      </c>
      <c r="B605" s="205" t="s">
        <v>538</v>
      </c>
      <c r="C605" s="200">
        <v>45467</v>
      </c>
      <c r="D605" s="199" t="s">
        <v>152</v>
      </c>
      <c r="E605" s="206">
        <v>29036</v>
      </c>
      <c r="F605" s="206">
        <v>2904</v>
      </c>
      <c r="G605" s="206">
        <v>145</v>
      </c>
      <c r="H605" s="202">
        <f t="shared" si="9"/>
        <v>26277</v>
      </c>
      <c r="I605" s="205" t="s">
        <v>344</v>
      </c>
      <c r="J605" s="205" t="s">
        <v>23</v>
      </c>
      <c r="K605" s="201" t="s">
        <v>1042</v>
      </c>
      <c r="L605" s="205" t="s">
        <v>5592</v>
      </c>
      <c r="M605" s="201" t="s">
        <v>1030</v>
      </c>
      <c r="N605" s="205" t="s">
        <v>1065</v>
      </c>
      <c r="O605" s="205" t="s">
        <v>1066</v>
      </c>
      <c r="P605" s="208" t="s">
        <v>688</v>
      </c>
      <c r="Q605" s="208" t="s">
        <v>689</v>
      </c>
      <c r="R605" s="208" t="s">
        <v>886</v>
      </c>
    </row>
    <row r="606" spans="1:18" s="205" customFormat="1" x14ac:dyDescent="0.2">
      <c r="A606" s="205" t="s">
        <v>77</v>
      </c>
      <c r="B606" s="205" t="s">
        <v>369</v>
      </c>
      <c r="C606" s="200">
        <v>45467</v>
      </c>
      <c r="D606" s="199" t="s">
        <v>152</v>
      </c>
      <c r="E606" s="206">
        <v>11027</v>
      </c>
      <c r="F606" s="206">
        <v>1103</v>
      </c>
      <c r="G606" s="206">
        <v>55</v>
      </c>
      <c r="H606" s="202">
        <f t="shared" si="9"/>
        <v>9979</v>
      </c>
      <c r="I606" s="205" t="s">
        <v>33</v>
      </c>
      <c r="J606" s="205" t="s">
        <v>23</v>
      </c>
      <c r="K606" s="199" t="s">
        <v>1042</v>
      </c>
      <c r="L606" s="205" t="s">
        <v>5593</v>
      </c>
      <c r="M606" s="201" t="s">
        <v>652</v>
      </c>
      <c r="N606" s="205" t="s">
        <v>652</v>
      </c>
      <c r="O606" s="205" t="s">
        <v>652</v>
      </c>
      <c r="P606" s="208" t="s">
        <v>503</v>
      </c>
      <c r="Q606" s="208" t="s">
        <v>766</v>
      </c>
      <c r="R606" s="208" t="s">
        <v>886</v>
      </c>
    </row>
    <row r="607" spans="1:18" s="205" customFormat="1" x14ac:dyDescent="0.2">
      <c r="A607" s="205" t="s">
        <v>131</v>
      </c>
      <c r="B607" s="205" t="s">
        <v>603</v>
      </c>
      <c r="C607" s="200">
        <v>45467</v>
      </c>
      <c r="D607" s="199" t="s">
        <v>152</v>
      </c>
      <c r="E607" s="206">
        <v>12102</v>
      </c>
      <c r="F607" s="206">
        <v>1210</v>
      </c>
      <c r="G607" s="206">
        <v>61</v>
      </c>
      <c r="H607" s="202">
        <f t="shared" si="9"/>
        <v>10953</v>
      </c>
      <c r="I607" s="205" t="s">
        <v>44</v>
      </c>
      <c r="J607" s="205" t="s">
        <v>23</v>
      </c>
      <c r="K607" s="199" t="s">
        <v>1141</v>
      </c>
      <c r="L607" s="205" t="s">
        <v>5594</v>
      </c>
      <c r="M607" s="201" t="s">
        <v>1030</v>
      </c>
      <c r="N607" s="205" t="s">
        <v>652</v>
      </c>
      <c r="O607" s="205" t="s">
        <v>652</v>
      </c>
      <c r="P607" s="208" t="s">
        <v>653</v>
      </c>
      <c r="Q607" s="208" t="s">
        <v>654</v>
      </c>
      <c r="R607" s="208" t="s">
        <v>886</v>
      </c>
    </row>
    <row r="608" spans="1:18" s="205" customFormat="1" x14ac:dyDescent="0.2">
      <c r="A608" s="205" t="s">
        <v>5595</v>
      </c>
      <c r="B608" s="205" t="s">
        <v>248</v>
      </c>
      <c r="C608" s="200">
        <v>45468</v>
      </c>
      <c r="D608" s="199" t="s">
        <v>152</v>
      </c>
      <c r="E608" s="206">
        <v>57986</v>
      </c>
      <c r="F608" s="206">
        <v>5799</v>
      </c>
      <c r="G608" s="206">
        <v>290</v>
      </c>
      <c r="H608" s="202">
        <f t="shared" si="9"/>
        <v>52477</v>
      </c>
      <c r="I608" s="205" t="s">
        <v>193</v>
      </c>
      <c r="J608" s="205" t="s">
        <v>23</v>
      </c>
      <c r="K608" s="199" t="s">
        <v>1028</v>
      </c>
      <c r="L608" s="205" t="s">
        <v>5596</v>
      </c>
      <c r="M608" s="199" t="s">
        <v>1030</v>
      </c>
      <c r="N608" s="205" t="s">
        <v>652</v>
      </c>
      <c r="O608" s="205" t="s">
        <v>652</v>
      </c>
      <c r="P608" s="208" t="s">
        <v>1534</v>
      </c>
      <c r="Q608" s="208" t="s">
        <v>3748</v>
      </c>
      <c r="R608" s="208" t="s">
        <v>4764</v>
      </c>
    </row>
    <row r="609" spans="1:18" s="205" customFormat="1" x14ac:dyDescent="0.2">
      <c r="A609" s="205" t="s">
        <v>5597</v>
      </c>
      <c r="B609" s="205" t="s">
        <v>5598</v>
      </c>
      <c r="C609" s="200">
        <v>45469</v>
      </c>
      <c r="D609" s="199" t="s">
        <v>152</v>
      </c>
      <c r="E609" s="206">
        <v>38660</v>
      </c>
      <c r="F609" s="206">
        <v>3866</v>
      </c>
      <c r="G609" s="206">
        <v>193</v>
      </c>
      <c r="H609" s="202">
        <f t="shared" si="9"/>
        <v>34987</v>
      </c>
      <c r="I609" s="205" t="s">
        <v>373</v>
      </c>
      <c r="J609" s="205" t="s">
        <v>23</v>
      </c>
      <c r="K609" s="199" t="s">
        <v>1058</v>
      </c>
      <c r="L609" s="205" t="s">
        <v>5599</v>
      </c>
      <c r="M609" s="201" t="s">
        <v>1030</v>
      </c>
      <c r="N609" s="205" t="s">
        <v>652</v>
      </c>
      <c r="O609" s="205" t="s">
        <v>652</v>
      </c>
      <c r="P609" s="208" t="s">
        <v>1534</v>
      </c>
      <c r="Q609" s="208" t="s">
        <v>3748</v>
      </c>
      <c r="R609" s="208" t="s">
        <v>888</v>
      </c>
    </row>
    <row r="610" spans="1:18" s="205" customFormat="1" x14ac:dyDescent="0.2">
      <c r="A610" s="205" t="s">
        <v>5600</v>
      </c>
      <c r="B610" s="205" t="s">
        <v>229</v>
      </c>
      <c r="C610" s="200">
        <v>45469</v>
      </c>
      <c r="D610" s="199" t="s">
        <v>152</v>
      </c>
      <c r="E610" s="206">
        <v>90069</v>
      </c>
      <c r="F610" s="206">
        <v>9007</v>
      </c>
      <c r="G610" s="206">
        <v>450</v>
      </c>
      <c r="H610" s="202">
        <f t="shared" si="9"/>
        <v>81512</v>
      </c>
      <c r="I610" s="205" t="s">
        <v>38</v>
      </c>
      <c r="J610" s="205" t="s">
        <v>23</v>
      </c>
      <c r="K610" s="199" t="s">
        <v>1042</v>
      </c>
      <c r="L610" s="205" t="s">
        <v>5601</v>
      </c>
      <c r="M610" s="201" t="s">
        <v>1030</v>
      </c>
      <c r="N610" s="205" t="s">
        <v>652</v>
      </c>
      <c r="O610" s="205" t="s">
        <v>652</v>
      </c>
      <c r="P610" s="208" t="s">
        <v>720</v>
      </c>
      <c r="Q610" s="208" t="s">
        <v>721</v>
      </c>
      <c r="R610" s="208" t="s">
        <v>888</v>
      </c>
    </row>
    <row r="611" spans="1:18" s="205" customFormat="1" x14ac:dyDescent="0.2">
      <c r="A611" s="209" t="s">
        <v>5602</v>
      </c>
      <c r="B611" s="209" t="s">
        <v>252</v>
      </c>
      <c r="C611" s="210">
        <v>45469</v>
      </c>
      <c r="D611" s="199" t="s">
        <v>152</v>
      </c>
      <c r="E611" s="211">
        <v>47904</v>
      </c>
      <c r="F611" s="211">
        <v>4790</v>
      </c>
      <c r="G611" s="211">
        <v>240</v>
      </c>
      <c r="H611" s="202">
        <f t="shared" si="9"/>
        <v>43354</v>
      </c>
      <c r="I611" s="209" t="s">
        <v>104</v>
      </c>
      <c r="J611" s="209" t="s">
        <v>23</v>
      </c>
      <c r="K611" s="201" t="s">
        <v>1028</v>
      </c>
      <c r="L611" s="209" t="s">
        <v>5603</v>
      </c>
      <c r="M611" s="201" t="s">
        <v>1072</v>
      </c>
      <c r="N611" s="209" t="s">
        <v>652</v>
      </c>
      <c r="O611" s="209" t="s">
        <v>652</v>
      </c>
      <c r="P611" s="213" t="s">
        <v>2191</v>
      </c>
      <c r="Q611" s="213" t="s">
        <v>2192</v>
      </c>
      <c r="R611" s="213" t="s">
        <v>888</v>
      </c>
    </row>
    <row r="612" spans="1:18" s="205" customFormat="1" x14ac:dyDescent="0.2">
      <c r="A612" s="209" t="s">
        <v>5604</v>
      </c>
      <c r="B612" s="209" t="s">
        <v>252</v>
      </c>
      <c r="C612" s="210">
        <v>45469</v>
      </c>
      <c r="D612" s="199" t="s">
        <v>152</v>
      </c>
      <c r="E612" s="211">
        <v>124505</v>
      </c>
      <c r="F612" s="211">
        <v>12451</v>
      </c>
      <c r="G612" s="211">
        <v>623</v>
      </c>
      <c r="H612" s="202">
        <f t="shared" si="9"/>
        <v>112677</v>
      </c>
      <c r="I612" s="209" t="s">
        <v>104</v>
      </c>
      <c r="J612" s="209" t="s">
        <v>23</v>
      </c>
      <c r="K612" s="201" t="s">
        <v>1028</v>
      </c>
      <c r="L612" s="209" t="s">
        <v>5605</v>
      </c>
      <c r="M612" s="201" t="s">
        <v>1072</v>
      </c>
      <c r="N612" s="209" t="s">
        <v>652</v>
      </c>
      <c r="O612" s="209" t="s">
        <v>652</v>
      </c>
      <c r="P612" s="213" t="s">
        <v>2191</v>
      </c>
      <c r="Q612" s="213" t="s">
        <v>2192</v>
      </c>
      <c r="R612" s="213" t="s">
        <v>888</v>
      </c>
    </row>
    <row r="613" spans="1:18" s="205" customFormat="1" x14ac:dyDescent="0.2">
      <c r="A613" s="205" t="s">
        <v>200</v>
      </c>
      <c r="B613" s="205" t="s">
        <v>530</v>
      </c>
      <c r="C613" s="200">
        <v>45469</v>
      </c>
      <c r="D613" s="199" t="s">
        <v>152</v>
      </c>
      <c r="E613" s="206">
        <v>137378</v>
      </c>
      <c r="F613" s="206">
        <v>13738</v>
      </c>
      <c r="G613" s="206">
        <v>687</v>
      </c>
      <c r="H613" s="202">
        <f t="shared" si="9"/>
        <v>124327</v>
      </c>
      <c r="I613" s="205" t="s">
        <v>54</v>
      </c>
      <c r="J613" s="205" t="s">
        <v>23</v>
      </c>
      <c r="K613" s="201" t="s">
        <v>1042</v>
      </c>
      <c r="L613" s="205" t="s">
        <v>5606</v>
      </c>
      <c r="M613" s="201" t="s">
        <v>1030</v>
      </c>
      <c r="N613" s="205" t="s">
        <v>652</v>
      </c>
      <c r="O613" s="205" t="s">
        <v>652</v>
      </c>
      <c r="P613" s="208" t="s">
        <v>718</v>
      </c>
      <c r="Q613" s="208" t="s">
        <v>719</v>
      </c>
      <c r="R613" s="208" t="s">
        <v>888</v>
      </c>
    </row>
    <row r="614" spans="1:18" s="205" customFormat="1" x14ac:dyDescent="0.2">
      <c r="A614" s="205" t="s">
        <v>207</v>
      </c>
      <c r="B614" s="205" t="s">
        <v>916</v>
      </c>
      <c r="C614" s="200">
        <v>45469</v>
      </c>
      <c r="D614" s="199" t="s">
        <v>152</v>
      </c>
      <c r="E614" s="206">
        <v>102682</v>
      </c>
      <c r="F614" s="206">
        <v>10268</v>
      </c>
      <c r="G614" s="206">
        <v>513</v>
      </c>
      <c r="H614" s="202">
        <f t="shared" si="9"/>
        <v>92927</v>
      </c>
      <c r="I614" s="205" t="s">
        <v>44</v>
      </c>
      <c r="J614" s="205" t="s">
        <v>23</v>
      </c>
      <c r="K614" s="201" t="s">
        <v>1042</v>
      </c>
      <c r="L614" s="205" t="s">
        <v>5607</v>
      </c>
      <c r="M614" s="201" t="s">
        <v>1030</v>
      </c>
      <c r="N614" s="205" t="s">
        <v>652</v>
      </c>
      <c r="O614" s="205" t="s">
        <v>652</v>
      </c>
      <c r="P614" s="208" t="s">
        <v>663</v>
      </c>
      <c r="Q614" s="208" t="s">
        <v>745</v>
      </c>
      <c r="R614" s="208" t="s">
        <v>888</v>
      </c>
    </row>
    <row r="615" spans="1:18" s="205" customFormat="1" x14ac:dyDescent="0.2">
      <c r="A615" s="205" t="s">
        <v>194</v>
      </c>
      <c r="B615" s="205" t="s">
        <v>548</v>
      </c>
      <c r="C615" s="200">
        <v>45469</v>
      </c>
      <c r="D615" s="199" t="s">
        <v>152</v>
      </c>
      <c r="E615" s="206">
        <v>43746</v>
      </c>
      <c r="F615" s="206">
        <v>4375</v>
      </c>
      <c r="G615" s="206">
        <v>219</v>
      </c>
      <c r="H615" s="202">
        <f t="shared" si="9"/>
        <v>39590</v>
      </c>
      <c r="I615" s="205" t="s">
        <v>52</v>
      </c>
      <c r="J615" s="205" t="s">
        <v>23</v>
      </c>
      <c r="K615" s="201" t="s">
        <v>1042</v>
      </c>
      <c r="L615" s="205" t="s">
        <v>5608</v>
      </c>
      <c r="M615" s="201" t="s">
        <v>1030</v>
      </c>
      <c r="N615" s="205" t="s">
        <v>652</v>
      </c>
      <c r="O615" s="205" t="s">
        <v>652</v>
      </c>
      <c r="P615" s="208" t="s">
        <v>837</v>
      </c>
      <c r="Q615" s="208" t="s">
        <v>838</v>
      </c>
      <c r="R615" s="208" t="s">
        <v>888</v>
      </c>
    </row>
    <row r="616" spans="1:18" s="205" customFormat="1" x14ac:dyDescent="0.2">
      <c r="A616" s="205" t="s">
        <v>5430</v>
      </c>
      <c r="B616" s="205" t="s">
        <v>5431</v>
      </c>
      <c r="C616" s="200">
        <v>45469</v>
      </c>
      <c r="D616" s="199" t="s">
        <v>152</v>
      </c>
      <c r="E616" s="206">
        <v>65148</v>
      </c>
      <c r="F616" s="206">
        <v>6515</v>
      </c>
      <c r="G616" s="206">
        <v>326</v>
      </c>
      <c r="H616" s="202">
        <f t="shared" si="9"/>
        <v>58959</v>
      </c>
      <c r="I616" s="205" t="s">
        <v>5432</v>
      </c>
      <c r="J616" s="205" t="s">
        <v>23</v>
      </c>
      <c r="K616" s="201" t="s">
        <v>1042</v>
      </c>
      <c r="L616" s="205" t="s">
        <v>5609</v>
      </c>
      <c r="M616" s="201" t="s">
        <v>1030</v>
      </c>
      <c r="N616" s="205" t="s">
        <v>5434</v>
      </c>
      <c r="O616" s="205" t="s">
        <v>1191</v>
      </c>
      <c r="P616" s="208" t="s">
        <v>861</v>
      </c>
      <c r="Q616" s="208" t="s">
        <v>4505</v>
      </c>
      <c r="R616" s="208" t="s">
        <v>888</v>
      </c>
    </row>
    <row r="617" spans="1:18" s="205" customFormat="1" x14ac:dyDescent="0.2">
      <c r="A617" s="205" t="s">
        <v>221</v>
      </c>
      <c r="B617" s="205" t="s">
        <v>1062</v>
      </c>
      <c r="C617" s="200">
        <v>45469</v>
      </c>
      <c r="D617" s="199" t="s">
        <v>152</v>
      </c>
      <c r="E617" s="206">
        <v>47128</v>
      </c>
      <c r="F617" s="206">
        <v>4713</v>
      </c>
      <c r="G617" s="206">
        <v>236</v>
      </c>
      <c r="H617" s="202">
        <f t="shared" si="9"/>
        <v>42651</v>
      </c>
      <c r="I617" s="205" t="s">
        <v>224</v>
      </c>
      <c r="J617" s="205" t="s">
        <v>23</v>
      </c>
      <c r="K617" s="201" t="s">
        <v>1042</v>
      </c>
      <c r="L617" s="205" t="s">
        <v>5610</v>
      </c>
      <c r="M617" s="201" t="s">
        <v>1030</v>
      </c>
      <c r="N617" s="205" t="s">
        <v>652</v>
      </c>
      <c r="O617" s="205" t="s">
        <v>652</v>
      </c>
      <c r="P617" s="208" t="s">
        <v>987</v>
      </c>
      <c r="Q617" s="208" t="s">
        <v>988</v>
      </c>
      <c r="R617" s="208" t="s">
        <v>888</v>
      </c>
    </row>
    <row r="618" spans="1:18" s="205" customFormat="1" x14ac:dyDescent="0.2">
      <c r="A618" s="205" t="s">
        <v>62</v>
      </c>
      <c r="B618" s="205" t="s">
        <v>599</v>
      </c>
      <c r="C618" s="200">
        <v>45469</v>
      </c>
      <c r="D618" s="199" t="s">
        <v>152</v>
      </c>
      <c r="E618" s="206">
        <v>76846</v>
      </c>
      <c r="F618" s="206">
        <v>7685</v>
      </c>
      <c r="G618" s="206">
        <v>384</v>
      </c>
      <c r="H618" s="202">
        <f t="shared" si="9"/>
        <v>69545</v>
      </c>
      <c r="I618" s="205" t="s">
        <v>61</v>
      </c>
      <c r="J618" s="205" t="s">
        <v>23</v>
      </c>
      <c r="K618" s="201" t="s">
        <v>1042</v>
      </c>
      <c r="L618" s="205" t="s">
        <v>5611</v>
      </c>
      <c r="M618" s="201" t="s">
        <v>1030</v>
      </c>
      <c r="N618" s="205" t="s">
        <v>652</v>
      </c>
      <c r="O618" s="205" t="s">
        <v>652</v>
      </c>
      <c r="P618" s="208" t="s">
        <v>653</v>
      </c>
      <c r="Q618" s="208" t="s">
        <v>654</v>
      </c>
      <c r="R618" s="208" t="s">
        <v>888</v>
      </c>
    </row>
    <row r="619" spans="1:18" s="205" customFormat="1" x14ac:dyDescent="0.2">
      <c r="A619" s="205" t="s">
        <v>5612</v>
      </c>
      <c r="B619" s="205" t="s">
        <v>229</v>
      </c>
      <c r="C619" s="200">
        <v>45470</v>
      </c>
      <c r="D619" s="199" t="s">
        <v>152</v>
      </c>
      <c r="E619" s="206">
        <v>95814</v>
      </c>
      <c r="F619" s="206">
        <v>9581</v>
      </c>
      <c r="G619" s="206">
        <v>479</v>
      </c>
      <c r="H619" s="202">
        <f t="shared" si="9"/>
        <v>86712</v>
      </c>
      <c r="I619" s="205" t="s">
        <v>38</v>
      </c>
      <c r="J619" s="205" t="s">
        <v>23</v>
      </c>
      <c r="K619" s="199" t="s">
        <v>1028</v>
      </c>
      <c r="L619" s="205" t="s">
        <v>5613</v>
      </c>
      <c r="M619" s="201" t="s">
        <v>1030</v>
      </c>
      <c r="N619" s="205" t="s">
        <v>652</v>
      </c>
      <c r="O619" s="205" t="s">
        <v>652</v>
      </c>
      <c r="P619" s="208" t="s">
        <v>1534</v>
      </c>
      <c r="Q619" s="208" t="s">
        <v>3748</v>
      </c>
      <c r="R619" s="208" t="s">
        <v>4779</v>
      </c>
    </row>
    <row r="620" spans="1:18" s="205" customFormat="1" x14ac:dyDescent="0.2">
      <c r="A620" s="205" t="s">
        <v>5614</v>
      </c>
      <c r="B620" s="205" t="s">
        <v>229</v>
      </c>
      <c r="C620" s="200">
        <v>45470</v>
      </c>
      <c r="D620" s="199" t="s">
        <v>152</v>
      </c>
      <c r="E620" s="206">
        <v>95814</v>
      </c>
      <c r="F620" s="206">
        <v>9581</v>
      </c>
      <c r="G620" s="206">
        <v>479</v>
      </c>
      <c r="H620" s="202">
        <f t="shared" si="9"/>
        <v>86712</v>
      </c>
      <c r="I620" s="205" t="s">
        <v>38</v>
      </c>
      <c r="J620" s="205" t="s">
        <v>23</v>
      </c>
      <c r="K620" s="199" t="s">
        <v>1028</v>
      </c>
      <c r="L620" s="205" t="s">
        <v>5615</v>
      </c>
      <c r="M620" s="201" t="s">
        <v>1030</v>
      </c>
      <c r="N620" s="205" t="s">
        <v>652</v>
      </c>
      <c r="O620" s="205" t="s">
        <v>652</v>
      </c>
      <c r="P620" s="208" t="s">
        <v>1534</v>
      </c>
      <c r="Q620" s="208" t="s">
        <v>3748</v>
      </c>
      <c r="R620" s="208" t="s">
        <v>4779</v>
      </c>
    </row>
    <row r="621" spans="1:18" s="205" customFormat="1" x14ac:dyDescent="0.2">
      <c r="A621" s="205" t="s">
        <v>5616</v>
      </c>
      <c r="B621" s="205" t="s">
        <v>229</v>
      </c>
      <c r="C621" s="200">
        <v>45470</v>
      </c>
      <c r="D621" s="199" t="s">
        <v>152</v>
      </c>
      <c r="E621" s="206">
        <v>56454</v>
      </c>
      <c r="F621" s="206">
        <v>5645</v>
      </c>
      <c r="G621" s="206">
        <v>282</v>
      </c>
      <c r="H621" s="202">
        <f t="shared" si="9"/>
        <v>51091</v>
      </c>
      <c r="I621" s="205" t="s">
        <v>38</v>
      </c>
      <c r="J621" s="205" t="s">
        <v>23</v>
      </c>
      <c r="K621" s="199" t="s">
        <v>1028</v>
      </c>
      <c r="L621" s="205" t="s">
        <v>5617</v>
      </c>
      <c r="M621" s="201" t="s">
        <v>1030</v>
      </c>
      <c r="N621" s="205" t="s">
        <v>652</v>
      </c>
      <c r="O621" s="205" t="s">
        <v>652</v>
      </c>
      <c r="P621" s="208" t="s">
        <v>1534</v>
      </c>
      <c r="Q621" s="208" t="s">
        <v>3748</v>
      </c>
      <c r="R621" s="208" t="s">
        <v>4779</v>
      </c>
    </row>
    <row r="622" spans="1:18" s="205" customFormat="1" x14ac:dyDescent="0.2">
      <c r="A622" s="205" t="s">
        <v>5618</v>
      </c>
      <c r="B622" s="205" t="s">
        <v>229</v>
      </c>
      <c r="C622" s="200">
        <v>45470</v>
      </c>
      <c r="D622" s="199" t="s">
        <v>152</v>
      </c>
      <c r="E622" s="206">
        <v>56454</v>
      </c>
      <c r="F622" s="206">
        <v>5645</v>
      </c>
      <c r="G622" s="206">
        <v>282</v>
      </c>
      <c r="H622" s="202">
        <f t="shared" si="9"/>
        <v>51091</v>
      </c>
      <c r="I622" s="205" t="s">
        <v>38</v>
      </c>
      <c r="J622" s="205" t="s">
        <v>23</v>
      </c>
      <c r="K622" s="199" t="s">
        <v>1028</v>
      </c>
      <c r="L622" s="205" t="s">
        <v>5619</v>
      </c>
      <c r="M622" s="201" t="s">
        <v>1030</v>
      </c>
      <c r="N622" s="205" t="s">
        <v>652</v>
      </c>
      <c r="O622" s="205" t="s">
        <v>652</v>
      </c>
      <c r="P622" s="208" t="s">
        <v>1534</v>
      </c>
      <c r="Q622" s="208" t="s">
        <v>3748</v>
      </c>
      <c r="R622" s="208" t="s">
        <v>4779</v>
      </c>
    </row>
    <row r="623" spans="1:18" s="205" customFormat="1" x14ac:dyDescent="0.2">
      <c r="A623" s="205" t="s">
        <v>5620</v>
      </c>
      <c r="B623" s="205" t="s">
        <v>229</v>
      </c>
      <c r="C623" s="200">
        <v>45470</v>
      </c>
      <c r="D623" s="199" t="s">
        <v>152</v>
      </c>
      <c r="E623" s="206">
        <v>29935</v>
      </c>
      <c r="F623" s="206">
        <v>2994</v>
      </c>
      <c r="G623" s="206">
        <v>150</v>
      </c>
      <c r="H623" s="202">
        <f t="shared" si="9"/>
        <v>27091</v>
      </c>
      <c r="I623" s="205" t="s">
        <v>38</v>
      </c>
      <c r="J623" s="205" t="s">
        <v>23</v>
      </c>
      <c r="K623" s="199" t="s">
        <v>1028</v>
      </c>
      <c r="L623" s="205" t="s">
        <v>5621</v>
      </c>
      <c r="M623" s="201" t="s">
        <v>1030</v>
      </c>
      <c r="N623" s="205" t="s">
        <v>652</v>
      </c>
      <c r="O623" s="205" t="s">
        <v>652</v>
      </c>
      <c r="P623" s="214" t="s">
        <v>1534</v>
      </c>
      <c r="Q623" s="214" t="s">
        <v>3748</v>
      </c>
      <c r="R623" s="214" t="s">
        <v>4779</v>
      </c>
    </row>
    <row r="624" spans="1:18" s="205" customFormat="1" x14ac:dyDescent="0.2">
      <c r="A624" s="209" t="s">
        <v>5622</v>
      </c>
      <c r="B624" s="209" t="s">
        <v>229</v>
      </c>
      <c r="C624" s="210">
        <v>45470</v>
      </c>
      <c r="D624" s="199" t="s">
        <v>152</v>
      </c>
      <c r="E624" s="211">
        <v>29935</v>
      </c>
      <c r="F624" s="211">
        <v>2994</v>
      </c>
      <c r="G624" s="211">
        <v>150</v>
      </c>
      <c r="H624" s="202">
        <f t="shared" si="9"/>
        <v>27091</v>
      </c>
      <c r="I624" s="209" t="s">
        <v>38</v>
      </c>
      <c r="J624" s="209" t="s">
        <v>23</v>
      </c>
      <c r="K624" s="201" t="s">
        <v>1028</v>
      </c>
      <c r="L624" s="209" t="s">
        <v>5623</v>
      </c>
      <c r="M624" s="201" t="s">
        <v>1030</v>
      </c>
      <c r="N624" s="209" t="s">
        <v>652</v>
      </c>
      <c r="O624" s="209" t="s">
        <v>652</v>
      </c>
      <c r="P624" s="213" t="s">
        <v>1534</v>
      </c>
      <c r="Q624" s="213" t="s">
        <v>3748</v>
      </c>
      <c r="R624" s="213" t="s">
        <v>4779</v>
      </c>
    </row>
    <row r="625" spans="1:18" s="205" customFormat="1" x14ac:dyDescent="0.2">
      <c r="A625" s="209" t="s">
        <v>5624</v>
      </c>
      <c r="B625" s="209" t="s">
        <v>229</v>
      </c>
      <c r="C625" s="210">
        <v>45470</v>
      </c>
      <c r="D625" s="199" t="s">
        <v>152</v>
      </c>
      <c r="E625" s="211">
        <v>182670</v>
      </c>
      <c r="F625" s="211">
        <v>18267</v>
      </c>
      <c r="G625" s="211">
        <v>913</v>
      </c>
      <c r="H625" s="202">
        <f t="shared" si="9"/>
        <v>165316</v>
      </c>
      <c r="I625" s="209" t="s">
        <v>38</v>
      </c>
      <c r="J625" s="209" t="s">
        <v>23</v>
      </c>
      <c r="K625" s="201" t="s">
        <v>1028</v>
      </c>
      <c r="L625" s="209" t="s">
        <v>5625</v>
      </c>
      <c r="M625" s="201" t="s">
        <v>1030</v>
      </c>
      <c r="N625" s="209" t="s">
        <v>652</v>
      </c>
      <c r="O625" s="209" t="s">
        <v>652</v>
      </c>
      <c r="P625" s="213" t="s">
        <v>1534</v>
      </c>
      <c r="Q625" s="213" t="s">
        <v>3748</v>
      </c>
      <c r="R625" s="213" t="s">
        <v>4779</v>
      </c>
    </row>
    <row r="626" spans="1:18" s="205" customFormat="1" x14ac:dyDescent="0.2">
      <c r="A626" s="209" t="s">
        <v>5626</v>
      </c>
      <c r="B626" s="209" t="s">
        <v>229</v>
      </c>
      <c r="C626" s="210">
        <v>45470</v>
      </c>
      <c r="D626" s="199" t="s">
        <v>152</v>
      </c>
      <c r="E626" s="211">
        <v>67331</v>
      </c>
      <c r="F626" s="211">
        <v>6733</v>
      </c>
      <c r="G626" s="211">
        <v>337</v>
      </c>
      <c r="H626" s="202">
        <f t="shared" si="9"/>
        <v>60935</v>
      </c>
      <c r="I626" s="209" t="s">
        <v>38</v>
      </c>
      <c r="J626" s="209" t="s">
        <v>23</v>
      </c>
      <c r="K626" s="201" t="s">
        <v>1028</v>
      </c>
      <c r="L626" s="209" t="s">
        <v>5627</v>
      </c>
      <c r="M626" s="201" t="s">
        <v>1030</v>
      </c>
      <c r="N626" s="209" t="s">
        <v>652</v>
      </c>
      <c r="O626" s="209" t="s">
        <v>652</v>
      </c>
      <c r="P626" s="213" t="s">
        <v>2191</v>
      </c>
      <c r="Q626" s="213" t="s">
        <v>2192</v>
      </c>
      <c r="R626" s="213" t="s">
        <v>4779</v>
      </c>
    </row>
    <row r="627" spans="1:18" s="205" customFormat="1" x14ac:dyDescent="0.2">
      <c r="A627" s="209" t="s">
        <v>5628</v>
      </c>
      <c r="B627" s="209" t="s">
        <v>229</v>
      </c>
      <c r="C627" s="210">
        <v>45470</v>
      </c>
      <c r="D627" s="199" t="s">
        <v>152</v>
      </c>
      <c r="E627" s="211">
        <v>65669</v>
      </c>
      <c r="F627" s="211">
        <v>6567</v>
      </c>
      <c r="G627" s="211">
        <v>328</v>
      </c>
      <c r="H627" s="202">
        <f t="shared" si="9"/>
        <v>59430</v>
      </c>
      <c r="I627" s="209" t="s">
        <v>38</v>
      </c>
      <c r="J627" s="209" t="s">
        <v>23</v>
      </c>
      <c r="K627" s="201" t="s">
        <v>1028</v>
      </c>
      <c r="L627" s="209" t="s">
        <v>5629</v>
      </c>
      <c r="M627" s="201" t="s">
        <v>1030</v>
      </c>
      <c r="N627" s="209" t="s">
        <v>652</v>
      </c>
      <c r="O627" s="209" t="s">
        <v>652</v>
      </c>
      <c r="P627" s="213" t="s">
        <v>2191</v>
      </c>
      <c r="Q627" s="213" t="s">
        <v>2192</v>
      </c>
      <c r="R627" s="213" t="s">
        <v>4779</v>
      </c>
    </row>
    <row r="628" spans="1:18" s="205" customFormat="1" x14ac:dyDescent="0.2">
      <c r="A628" s="209" t="s">
        <v>5630</v>
      </c>
      <c r="B628" s="209" t="s">
        <v>229</v>
      </c>
      <c r="C628" s="210">
        <v>45470</v>
      </c>
      <c r="D628" s="199" t="s">
        <v>152</v>
      </c>
      <c r="E628" s="211">
        <v>87104</v>
      </c>
      <c r="F628" s="211">
        <v>8710</v>
      </c>
      <c r="G628" s="211">
        <v>436</v>
      </c>
      <c r="H628" s="202">
        <f t="shared" si="9"/>
        <v>78830</v>
      </c>
      <c r="I628" s="209" t="s">
        <v>38</v>
      </c>
      <c r="J628" s="209" t="s">
        <v>23</v>
      </c>
      <c r="K628" s="201" t="s">
        <v>1028</v>
      </c>
      <c r="L628" s="209" t="s">
        <v>5631</v>
      </c>
      <c r="M628" s="201" t="s">
        <v>1030</v>
      </c>
      <c r="N628" s="209" t="s">
        <v>652</v>
      </c>
      <c r="O628" s="209" t="s">
        <v>652</v>
      </c>
      <c r="P628" s="213" t="s">
        <v>1534</v>
      </c>
      <c r="Q628" s="213" t="s">
        <v>3748</v>
      </c>
      <c r="R628" s="213" t="s">
        <v>4779</v>
      </c>
    </row>
    <row r="629" spans="1:18" s="205" customFormat="1" x14ac:dyDescent="0.2">
      <c r="A629" s="209" t="s">
        <v>5632</v>
      </c>
      <c r="B629" s="209" t="s">
        <v>229</v>
      </c>
      <c r="C629" s="210">
        <v>45470</v>
      </c>
      <c r="D629" s="199" t="s">
        <v>152</v>
      </c>
      <c r="E629" s="211">
        <v>38699</v>
      </c>
      <c r="F629" s="211">
        <v>3870</v>
      </c>
      <c r="G629" s="211">
        <v>194</v>
      </c>
      <c r="H629" s="202">
        <f t="shared" si="9"/>
        <v>35023</v>
      </c>
      <c r="I629" s="209" t="s">
        <v>38</v>
      </c>
      <c r="J629" s="209" t="s">
        <v>23</v>
      </c>
      <c r="K629" s="201" t="s">
        <v>1042</v>
      </c>
      <c r="L629" s="209" t="s">
        <v>5633</v>
      </c>
      <c r="M629" s="201" t="s">
        <v>1030</v>
      </c>
      <c r="N629" s="209" t="s">
        <v>652</v>
      </c>
      <c r="O629" s="209" t="s">
        <v>652</v>
      </c>
      <c r="P629" s="213" t="s">
        <v>1534</v>
      </c>
      <c r="Q629" s="213" t="s">
        <v>3748</v>
      </c>
      <c r="R629" s="213" t="s">
        <v>4779</v>
      </c>
    </row>
    <row r="630" spans="1:18" s="205" customFormat="1" x14ac:dyDescent="0.2">
      <c r="A630" s="205" t="s">
        <v>5634</v>
      </c>
      <c r="B630" s="205" t="s">
        <v>229</v>
      </c>
      <c r="C630" s="200">
        <v>45470</v>
      </c>
      <c r="D630" s="199" t="s">
        <v>152</v>
      </c>
      <c r="E630" s="206">
        <v>95814</v>
      </c>
      <c r="F630" s="206">
        <v>9581</v>
      </c>
      <c r="G630" s="206">
        <v>479</v>
      </c>
      <c r="H630" s="202">
        <f t="shared" si="9"/>
        <v>86712</v>
      </c>
      <c r="I630" s="205" t="s">
        <v>38</v>
      </c>
      <c r="J630" s="205" t="s">
        <v>23</v>
      </c>
      <c r="K630" s="201" t="s">
        <v>1028</v>
      </c>
      <c r="L630" s="205" t="s">
        <v>5635</v>
      </c>
      <c r="M630" s="201" t="s">
        <v>1030</v>
      </c>
      <c r="N630" s="205" t="s">
        <v>652</v>
      </c>
      <c r="O630" s="205" t="s">
        <v>652</v>
      </c>
      <c r="P630" s="208" t="s">
        <v>1534</v>
      </c>
      <c r="Q630" s="208" t="s">
        <v>3748</v>
      </c>
      <c r="R630" s="208" t="s">
        <v>4779</v>
      </c>
    </row>
    <row r="631" spans="1:18" s="205" customFormat="1" x14ac:dyDescent="0.2">
      <c r="A631" s="205" t="s">
        <v>5636</v>
      </c>
      <c r="B631" s="205" t="s">
        <v>229</v>
      </c>
      <c r="C631" s="200">
        <v>45470</v>
      </c>
      <c r="D631" s="199" t="s">
        <v>152</v>
      </c>
      <c r="E631" s="206">
        <v>42202</v>
      </c>
      <c r="F631" s="206">
        <v>4220</v>
      </c>
      <c r="G631" s="206">
        <v>211</v>
      </c>
      <c r="H631" s="202">
        <f t="shared" si="9"/>
        <v>38193</v>
      </c>
      <c r="I631" s="205" t="s">
        <v>38</v>
      </c>
      <c r="J631" s="205" t="s">
        <v>23</v>
      </c>
      <c r="K631" s="199" t="s">
        <v>1028</v>
      </c>
      <c r="L631" s="205" t="s">
        <v>5637</v>
      </c>
      <c r="M631" s="201" t="s">
        <v>1030</v>
      </c>
      <c r="N631" s="205" t="s">
        <v>652</v>
      </c>
      <c r="O631" s="205" t="s">
        <v>652</v>
      </c>
      <c r="P631" s="208" t="s">
        <v>1534</v>
      </c>
      <c r="Q631" s="208" t="s">
        <v>3748</v>
      </c>
      <c r="R631" s="208" t="s">
        <v>4779</v>
      </c>
    </row>
    <row r="632" spans="1:18" s="205" customFormat="1" x14ac:dyDescent="0.2">
      <c r="A632" s="205" t="s">
        <v>5638</v>
      </c>
      <c r="B632" s="205" t="s">
        <v>229</v>
      </c>
      <c r="C632" s="200">
        <v>45470</v>
      </c>
      <c r="D632" s="199" t="s">
        <v>152</v>
      </c>
      <c r="E632" s="206">
        <v>30095</v>
      </c>
      <c r="F632" s="206">
        <v>3010</v>
      </c>
      <c r="G632" s="206">
        <v>150</v>
      </c>
      <c r="H632" s="202">
        <f t="shared" si="9"/>
        <v>27235</v>
      </c>
      <c r="I632" s="205" t="s">
        <v>38</v>
      </c>
      <c r="J632" s="205" t="s">
        <v>23</v>
      </c>
      <c r="K632" s="199" t="s">
        <v>1042</v>
      </c>
      <c r="L632" s="205" t="s">
        <v>5639</v>
      </c>
      <c r="M632" s="201" t="s">
        <v>1030</v>
      </c>
      <c r="N632" s="205" t="s">
        <v>652</v>
      </c>
      <c r="O632" s="205" t="s">
        <v>652</v>
      </c>
      <c r="P632" s="208" t="s">
        <v>1534</v>
      </c>
      <c r="Q632" s="208" t="s">
        <v>3748</v>
      </c>
      <c r="R632" s="208" t="s">
        <v>4779</v>
      </c>
    </row>
    <row r="633" spans="1:18" s="205" customFormat="1" x14ac:dyDescent="0.2">
      <c r="A633" s="205" t="s">
        <v>5640</v>
      </c>
      <c r="B633" s="205" t="s">
        <v>229</v>
      </c>
      <c r="C633" s="200">
        <v>45470</v>
      </c>
      <c r="D633" s="199" t="s">
        <v>152</v>
      </c>
      <c r="E633" s="206">
        <v>30095</v>
      </c>
      <c r="F633" s="206">
        <v>3010</v>
      </c>
      <c r="G633" s="206">
        <v>150</v>
      </c>
      <c r="H633" s="202">
        <f t="shared" si="9"/>
        <v>27235</v>
      </c>
      <c r="I633" s="205" t="s">
        <v>38</v>
      </c>
      <c r="J633" s="205" t="s">
        <v>23</v>
      </c>
      <c r="K633" s="199" t="s">
        <v>1042</v>
      </c>
      <c r="L633" s="205" t="s">
        <v>5641</v>
      </c>
      <c r="M633" s="201" t="s">
        <v>1030</v>
      </c>
      <c r="N633" s="205" t="s">
        <v>652</v>
      </c>
      <c r="O633" s="205" t="s">
        <v>652</v>
      </c>
      <c r="P633" s="208" t="s">
        <v>1534</v>
      </c>
      <c r="Q633" s="208" t="s">
        <v>3748</v>
      </c>
      <c r="R633" s="208" t="s">
        <v>4779</v>
      </c>
    </row>
    <row r="634" spans="1:18" s="205" customFormat="1" x14ac:dyDescent="0.2">
      <c r="A634" s="209" t="s">
        <v>5642</v>
      </c>
      <c r="B634" s="209" t="s">
        <v>229</v>
      </c>
      <c r="C634" s="210">
        <v>45470</v>
      </c>
      <c r="D634" s="199" t="s">
        <v>152</v>
      </c>
      <c r="E634" s="211">
        <v>30095</v>
      </c>
      <c r="F634" s="206">
        <v>3010</v>
      </c>
      <c r="G634" s="206">
        <v>150</v>
      </c>
      <c r="H634" s="202">
        <f t="shared" si="9"/>
        <v>27235</v>
      </c>
      <c r="I634" s="209" t="s">
        <v>38</v>
      </c>
      <c r="J634" s="209" t="s">
        <v>23</v>
      </c>
      <c r="K634" s="201" t="s">
        <v>1042</v>
      </c>
      <c r="L634" s="209" t="s">
        <v>5643</v>
      </c>
      <c r="M634" s="201" t="s">
        <v>1030</v>
      </c>
      <c r="N634" s="209" t="s">
        <v>652</v>
      </c>
      <c r="O634" s="209" t="s">
        <v>652</v>
      </c>
      <c r="P634" s="213" t="s">
        <v>1534</v>
      </c>
      <c r="Q634" s="213" t="s">
        <v>3748</v>
      </c>
      <c r="R634" s="213" t="s">
        <v>4779</v>
      </c>
    </row>
    <row r="635" spans="1:18" s="205" customFormat="1" x14ac:dyDescent="0.2">
      <c r="A635" s="209" t="s">
        <v>5644</v>
      </c>
      <c r="B635" s="209" t="s">
        <v>229</v>
      </c>
      <c r="C635" s="210">
        <v>45470</v>
      </c>
      <c r="D635" s="199" t="s">
        <v>152</v>
      </c>
      <c r="E635" s="211">
        <v>87104</v>
      </c>
      <c r="F635" s="206">
        <v>8710</v>
      </c>
      <c r="G635" s="206">
        <v>436</v>
      </c>
      <c r="H635" s="202">
        <f t="shared" si="9"/>
        <v>78830</v>
      </c>
      <c r="I635" s="209" t="s">
        <v>38</v>
      </c>
      <c r="J635" s="209" t="s">
        <v>23</v>
      </c>
      <c r="K635" s="201" t="s">
        <v>1028</v>
      </c>
      <c r="L635" s="209" t="s">
        <v>5645</v>
      </c>
      <c r="M635" s="201" t="s">
        <v>1030</v>
      </c>
      <c r="N635" s="209" t="s">
        <v>652</v>
      </c>
      <c r="O635" s="209" t="s">
        <v>652</v>
      </c>
      <c r="P635" s="213" t="s">
        <v>2191</v>
      </c>
      <c r="Q635" s="213" t="s">
        <v>2192</v>
      </c>
      <c r="R635" s="213" t="s">
        <v>4779</v>
      </c>
    </row>
    <row r="636" spans="1:18" s="205" customFormat="1" x14ac:dyDescent="0.2">
      <c r="A636" s="209" t="s">
        <v>5646</v>
      </c>
      <c r="B636" s="209" t="s">
        <v>229</v>
      </c>
      <c r="C636" s="210">
        <v>45470</v>
      </c>
      <c r="D636" s="199" t="s">
        <v>152</v>
      </c>
      <c r="E636" s="211">
        <v>112587</v>
      </c>
      <c r="F636" s="206">
        <v>11259</v>
      </c>
      <c r="G636" s="206">
        <v>563</v>
      </c>
      <c r="H636" s="202">
        <f t="shared" si="9"/>
        <v>101891</v>
      </c>
      <c r="I636" s="209" t="s">
        <v>38</v>
      </c>
      <c r="J636" s="209" t="s">
        <v>23</v>
      </c>
      <c r="K636" s="201" t="s">
        <v>1028</v>
      </c>
      <c r="L636" s="209" t="s">
        <v>5647</v>
      </c>
      <c r="M636" s="201" t="s">
        <v>1030</v>
      </c>
      <c r="N636" s="209" t="s">
        <v>652</v>
      </c>
      <c r="O636" s="209" t="s">
        <v>652</v>
      </c>
      <c r="P636" s="213" t="s">
        <v>2191</v>
      </c>
      <c r="Q636" s="213" t="s">
        <v>2192</v>
      </c>
      <c r="R636" s="213" t="s">
        <v>4779</v>
      </c>
    </row>
    <row r="637" spans="1:18" s="205" customFormat="1" x14ac:dyDescent="0.2">
      <c r="A637" s="209" t="s">
        <v>5648</v>
      </c>
      <c r="B637" s="209" t="s">
        <v>229</v>
      </c>
      <c r="C637" s="210">
        <v>45470</v>
      </c>
      <c r="D637" s="199" t="s">
        <v>152</v>
      </c>
      <c r="E637" s="211">
        <v>56973</v>
      </c>
      <c r="F637" s="206">
        <v>5697</v>
      </c>
      <c r="G637" s="206">
        <v>285</v>
      </c>
      <c r="H637" s="202">
        <f t="shared" si="9"/>
        <v>51561</v>
      </c>
      <c r="I637" s="209" t="s">
        <v>38</v>
      </c>
      <c r="J637" s="209" t="s">
        <v>23</v>
      </c>
      <c r="K637" s="201" t="s">
        <v>1028</v>
      </c>
      <c r="L637" s="209" t="s">
        <v>5649</v>
      </c>
      <c r="M637" s="201" t="s">
        <v>1030</v>
      </c>
      <c r="N637" s="209" t="s">
        <v>652</v>
      </c>
      <c r="O637" s="209" t="s">
        <v>652</v>
      </c>
      <c r="P637" s="213" t="s">
        <v>1534</v>
      </c>
      <c r="Q637" s="213" t="s">
        <v>3748</v>
      </c>
      <c r="R637" s="213" t="s">
        <v>4779</v>
      </c>
    </row>
    <row r="638" spans="1:18" s="205" customFormat="1" x14ac:dyDescent="0.2">
      <c r="A638" s="205" t="s">
        <v>5650</v>
      </c>
      <c r="B638" s="205" t="s">
        <v>229</v>
      </c>
      <c r="C638" s="200">
        <v>45470</v>
      </c>
      <c r="D638" s="199" t="s">
        <v>152</v>
      </c>
      <c r="E638" s="206">
        <v>202472</v>
      </c>
      <c r="F638" s="206">
        <v>20247</v>
      </c>
      <c r="G638" s="206">
        <v>1012</v>
      </c>
      <c r="H638" s="202">
        <f t="shared" si="9"/>
        <v>183237</v>
      </c>
      <c r="I638" s="205" t="s">
        <v>38</v>
      </c>
      <c r="J638" s="205" t="s">
        <v>23</v>
      </c>
      <c r="K638" s="201" t="s">
        <v>1028</v>
      </c>
      <c r="L638" s="205" t="s">
        <v>5651</v>
      </c>
      <c r="M638" s="201" t="s">
        <v>1030</v>
      </c>
      <c r="N638" s="205" t="s">
        <v>652</v>
      </c>
      <c r="O638" s="205" t="s">
        <v>652</v>
      </c>
      <c r="P638" s="208" t="s">
        <v>1534</v>
      </c>
      <c r="Q638" s="208" t="s">
        <v>3748</v>
      </c>
      <c r="R638" s="208" t="s">
        <v>4779</v>
      </c>
    </row>
    <row r="639" spans="1:18" s="205" customFormat="1" x14ac:dyDescent="0.2">
      <c r="A639" s="205" t="s">
        <v>5652</v>
      </c>
      <c r="B639" s="205" t="s">
        <v>229</v>
      </c>
      <c r="C639" s="200">
        <v>45470</v>
      </c>
      <c r="D639" s="199" t="s">
        <v>152</v>
      </c>
      <c r="E639" s="206">
        <v>149404</v>
      </c>
      <c r="F639" s="206">
        <v>14940</v>
      </c>
      <c r="G639" s="206">
        <v>747</v>
      </c>
      <c r="H639" s="202">
        <f t="shared" si="9"/>
        <v>135211</v>
      </c>
      <c r="I639" s="205" t="s">
        <v>38</v>
      </c>
      <c r="J639" s="205" t="s">
        <v>23</v>
      </c>
      <c r="K639" s="201" t="s">
        <v>1028</v>
      </c>
      <c r="L639" s="205" t="s">
        <v>5653</v>
      </c>
      <c r="M639" s="201" t="s">
        <v>1030</v>
      </c>
      <c r="N639" s="205" t="s">
        <v>652</v>
      </c>
      <c r="O639" s="205" t="s">
        <v>652</v>
      </c>
      <c r="P639" s="208" t="s">
        <v>1534</v>
      </c>
      <c r="Q639" s="208" t="s">
        <v>3748</v>
      </c>
      <c r="R639" s="208" t="s">
        <v>4779</v>
      </c>
    </row>
    <row r="640" spans="1:18" s="205" customFormat="1" x14ac:dyDescent="0.2">
      <c r="A640" s="205" t="s">
        <v>5654</v>
      </c>
      <c r="B640" s="205" t="s">
        <v>229</v>
      </c>
      <c r="C640" s="200">
        <v>45470</v>
      </c>
      <c r="D640" s="199" t="s">
        <v>152</v>
      </c>
      <c r="E640" s="206">
        <v>69284</v>
      </c>
      <c r="F640" s="206">
        <v>6928</v>
      </c>
      <c r="G640" s="206">
        <v>346</v>
      </c>
      <c r="H640" s="202">
        <f t="shared" si="9"/>
        <v>62702</v>
      </c>
      <c r="I640" s="205" t="s">
        <v>38</v>
      </c>
      <c r="J640" s="205" t="s">
        <v>23</v>
      </c>
      <c r="K640" s="201" t="s">
        <v>1028</v>
      </c>
      <c r="L640" s="205" t="s">
        <v>5655</v>
      </c>
      <c r="M640" s="201" t="s">
        <v>1030</v>
      </c>
      <c r="N640" s="205" t="s">
        <v>652</v>
      </c>
      <c r="O640" s="205" t="s">
        <v>652</v>
      </c>
      <c r="P640" s="208" t="s">
        <v>1534</v>
      </c>
      <c r="Q640" s="208" t="s">
        <v>3748</v>
      </c>
      <c r="R640" s="208" t="s">
        <v>4779</v>
      </c>
    </row>
    <row r="641" spans="1:18" s="205" customFormat="1" x14ac:dyDescent="0.2">
      <c r="A641" s="205" t="s">
        <v>5656</v>
      </c>
      <c r="B641" s="205" t="s">
        <v>229</v>
      </c>
      <c r="C641" s="200">
        <v>45470</v>
      </c>
      <c r="D641" s="199" t="s">
        <v>152</v>
      </c>
      <c r="E641" s="206">
        <v>69284</v>
      </c>
      <c r="F641" s="206">
        <v>6928</v>
      </c>
      <c r="G641" s="206">
        <v>346</v>
      </c>
      <c r="H641" s="202">
        <f t="shared" si="9"/>
        <v>62702</v>
      </c>
      <c r="I641" s="205" t="s">
        <v>38</v>
      </c>
      <c r="J641" s="205" t="s">
        <v>23</v>
      </c>
      <c r="K641" s="201" t="s">
        <v>1028</v>
      </c>
      <c r="L641" s="205" t="s">
        <v>5657</v>
      </c>
      <c r="M641" s="201" t="s">
        <v>1030</v>
      </c>
      <c r="N641" s="205" t="s">
        <v>652</v>
      </c>
      <c r="O641" s="205" t="s">
        <v>652</v>
      </c>
      <c r="P641" s="208" t="s">
        <v>1534</v>
      </c>
      <c r="Q641" s="208" t="s">
        <v>3748</v>
      </c>
      <c r="R641" s="208" t="s">
        <v>4779</v>
      </c>
    </row>
    <row r="642" spans="1:18" s="205" customFormat="1" x14ac:dyDescent="0.2">
      <c r="A642" s="205" t="s">
        <v>5658</v>
      </c>
      <c r="B642" s="205" t="s">
        <v>229</v>
      </c>
      <c r="C642" s="200">
        <v>45470</v>
      </c>
      <c r="D642" s="199" t="s">
        <v>152</v>
      </c>
      <c r="E642" s="206">
        <v>51793</v>
      </c>
      <c r="F642" s="206">
        <v>5179</v>
      </c>
      <c r="G642" s="206">
        <v>259</v>
      </c>
      <c r="H642" s="202">
        <f t="shared" ref="H642:H705" si="10">E642+G642-F642</f>
        <v>46873</v>
      </c>
      <c r="I642" s="205" t="s">
        <v>38</v>
      </c>
      <c r="J642" s="205" t="s">
        <v>23</v>
      </c>
      <c r="K642" s="201" t="s">
        <v>1028</v>
      </c>
      <c r="L642" s="205" t="s">
        <v>5659</v>
      </c>
      <c r="M642" s="201" t="s">
        <v>1030</v>
      </c>
      <c r="N642" s="205" t="s">
        <v>652</v>
      </c>
      <c r="O642" s="205" t="s">
        <v>652</v>
      </c>
      <c r="P642" s="208" t="s">
        <v>1534</v>
      </c>
      <c r="Q642" s="208" t="s">
        <v>3748</v>
      </c>
      <c r="R642" s="208" t="s">
        <v>4779</v>
      </c>
    </row>
    <row r="643" spans="1:18" s="205" customFormat="1" x14ac:dyDescent="0.2">
      <c r="A643" s="205" t="s">
        <v>5660</v>
      </c>
      <c r="B643" s="205" t="s">
        <v>229</v>
      </c>
      <c r="C643" s="200">
        <v>45470</v>
      </c>
      <c r="D643" s="199" t="s">
        <v>152</v>
      </c>
      <c r="E643" s="206">
        <v>38365</v>
      </c>
      <c r="F643" s="206">
        <v>3837</v>
      </c>
      <c r="G643" s="206">
        <v>192</v>
      </c>
      <c r="H643" s="202">
        <f t="shared" si="10"/>
        <v>34720</v>
      </c>
      <c r="I643" s="205" t="s">
        <v>38</v>
      </c>
      <c r="J643" s="205" t="s">
        <v>23</v>
      </c>
      <c r="K643" s="201" t="s">
        <v>1028</v>
      </c>
      <c r="L643" s="205" t="s">
        <v>5661</v>
      </c>
      <c r="M643" s="201" t="s">
        <v>1030</v>
      </c>
      <c r="N643" s="205" t="s">
        <v>652</v>
      </c>
      <c r="O643" s="205" t="s">
        <v>652</v>
      </c>
      <c r="P643" s="208" t="s">
        <v>1534</v>
      </c>
      <c r="Q643" s="208" t="s">
        <v>3748</v>
      </c>
      <c r="R643" s="208" t="s">
        <v>4779</v>
      </c>
    </row>
    <row r="644" spans="1:18" s="205" customFormat="1" x14ac:dyDescent="0.2">
      <c r="A644" s="205" t="s">
        <v>5662</v>
      </c>
      <c r="B644" s="205" t="s">
        <v>229</v>
      </c>
      <c r="C644" s="200">
        <v>45470</v>
      </c>
      <c r="D644" s="199" t="s">
        <v>152</v>
      </c>
      <c r="E644" s="206">
        <v>87104</v>
      </c>
      <c r="F644" s="206">
        <v>8710</v>
      </c>
      <c r="G644" s="206">
        <v>436</v>
      </c>
      <c r="H644" s="202">
        <f t="shared" si="10"/>
        <v>78830</v>
      </c>
      <c r="I644" s="205" t="s">
        <v>38</v>
      </c>
      <c r="J644" s="205" t="s">
        <v>23</v>
      </c>
      <c r="K644" s="201" t="s">
        <v>1028</v>
      </c>
      <c r="L644" s="205" t="s">
        <v>5663</v>
      </c>
      <c r="M644" s="201" t="s">
        <v>1030</v>
      </c>
      <c r="N644" s="205" t="s">
        <v>652</v>
      </c>
      <c r="O644" s="205" t="s">
        <v>652</v>
      </c>
      <c r="P644" s="208" t="s">
        <v>1534</v>
      </c>
      <c r="Q644" s="208" t="s">
        <v>3748</v>
      </c>
      <c r="R644" s="208" t="s">
        <v>4779</v>
      </c>
    </row>
    <row r="645" spans="1:18" s="205" customFormat="1" x14ac:dyDescent="0.2">
      <c r="A645" s="205" t="s">
        <v>5664</v>
      </c>
      <c r="B645" s="205" t="s">
        <v>229</v>
      </c>
      <c r="C645" s="200">
        <v>45470</v>
      </c>
      <c r="D645" s="199" t="s">
        <v>152</v>
      </c>
      <c r="E645" s="206">
        <v>51793</v>
      </c>
      <c r="F645" s="206">
        <v>5179</v>
      </c>
      <c r="G645" s="206">
        <v>259</v>
      </c>
      <c r="H645" s="202">
        <f t="shared" si="10"/>
        <v>46873</v>
      </c>
      <c r="I645" s="205" t="s">
        <v>38</v>
      </c>
      <c r="J645" s="205" t="s">
        <v>23</v>
      </c>
      <c r="K645" s="201" t="s">
        <v>1028</v>
      </c>
      <c r="L645" s="205" t="s">
        <v>5665</v>
      </c>
      <c r="M645" s="201" t="s">
        <v>1030</v>
      </c>
      <c r="N645" s="205" t="s">
        <v>652</v>
      </c>
      <c r="O645" s="205" t="s">
        <v>652</v>
      </c>
      <c r="P645" s="208" t="s">
        <v>1534</v>
      </c>
      <c r="Q645" s="208" t="s">
        <v>3748</v>
      </c>
      <c r="R645" s="208" t="s">
        <v>4779</v>
      </c>
    </row>
    <row r="646" spans="1:18" s="205" customFormat="1" x14ac:dyDescent="0.2">
      <c r="A646" s="205" t="s">
        <v>5666</v>
      </c>
      <c r="B646" s="205" t="s">
        <v>229</v>
      </c>
      <c r="C646" s="200">
        <v>45470</v>
      </c>
      <c r="D646" s="199" t="s">
        <v>152</v>
      </c>
      <c r="E646" s="206">
        <v>27213</v>
      </c>
      <c r="F646" s="206">
        <v>2721</v>
      </c>
      <c r="G646" s="206">
        <v>136</v>
      </c>
      <c r="H646" s="202">
        <f t="shared" si="10"/>
        <v>24628</v>
      </c>
      <c r="I646" s="205" t="s">
        <v>38</v>
      </c>
      <c r="J646" s="205" t="s">
        <v>23</v>
      </c>
      <c r="K646" s="201" t="s">
        <v>1028</v>
      </c>
      <c r="L646" s="205" t="s">
        <v>5667</v>
      </c>
      <c r="M646" s="201" t="s">
        <v>1030</v>
      </c>
      <c r="N646" s="205" t="s">
        <v>652</v>
      </c>
      <c r="O646" s="205" t="s">
        <v>652</v>
      </c>
      <c r="P646" s="208" t="s">
        <v>651</v>
      </c>
      <c r="Q646" s="208" t="s">
        <v>673</v>
      </c>
      <c r="R646" s="208" t="s">
        <v>4779</v>
      </c>
    </row>
    <row r="647" spans="1:18" s="205" customFormat="1" x14ac:dyDescent="0.2">
      <c r="A647" s="205" t="s">
        <v>5668</v>
      </c>
      <c r="B647" s="205" t="s">
        <v>229</v>
      </c>
      <c r="C647" s="200">
        <v>45470</v>
      </c>
      <c r="D647" s="199" t="s">
        <v>152</v>
      </c>
      <c r="E647" s="206">
        <v>69284</v>
      </c>
      <c r="F647" s="206">
        <v>6928</v>
      </c>
      <c r="G647" s="206">
        <v>346</v>
      </c>
      <c r="H647" s="202">
        <f t="shared" si="10"/>
        <v>62702</v>
      </c>
      <c r="I647" s="205" t="s">
        <v>38</v>
      </c>
      <c r="J647" s="205" t="s">
        <v>23</v>
      </c>
      <c r="K647" s="201" t="s">
        <v>1028</v>
      </c>
      <c r="L647" s="205" t="s">
        <v>5669</v>
      </c>
      <c r="M647" s="201" t="s">
        <v>1030</v>
      </c>
      <c r="N647" s="205" t="s">
        <v>652</v>
      </c>
      <c r="O647" s="205" t="s">
        <v>652</v>
      </c>
      <c r="P647" s="208" t="s">
        <v>1534</v>
      </c>
      <c r="Q647" s="208" t="s">
        <v>3748</v>
      </c>
      <c r="R647" s="208" t="s">
        <v>4779</v>
      </c>
    </row>
    <row r="648" spans="1:18" s="205" customFormat="1" x14ac:dyDescent="0.2">
      <c r="A648" s="205" t="s">
        <v>5670</v>
      </c>
      <c r="B648" s="205" t="s">
        <v>229</v>
      </c>
      <c r="C648" s="200">
        <v>45470</v>
      </c>
      <c r="D648" s="199" t="s">
        <v>152</v>
      </c>
      <c r="E648" s="206">
        <v>69284</v>
      </c>
      <c r="F648" s="206">
        <v>6928</v>
      </c>
      <c r="G648" s="206">
        <v>346</v>
      </c>
      <c r="H648" s="202">
        <f t="shared" si="10"/>
        <v>62702</v>
      </c>
      <c r="I648" s="205" t="s">
        <v>38</v>
      </c>
      <c r="J648" s="205" t="s">
        <v>23</v>
      </c>
      <c r="K648" s="199" t="s">
        <v>1028</v>
      </c>
      <c r="L648" s="205" t="s">
        <v>5671</v>
      </c>
      <c r="M648" s="201" t="s">
        <v>1030</v>
      </c>
      <c r="N648" s="205" t="s">
        <v>652</v>
      </c>
      <c r="O648" s="205" t="s">
        <v>652</v>
      </c>
      <c r="P648" s="208" t="s">
        <v>1534</v>
      </c>
      <c r="Q648" s="208" t="s">
        <v>3748</v>
      </c>
      <c r="R648" s="208" t="s">
        <v>4779</v>
      </c>
    </row>
    <row r="649" spans="1:18" s="205" customFormat="1" x14ac:dyDescent="0.2">
      <c r="A649" s="205" t="s">
        <v>5672</v>
      </c>
      <c r="B649" s="205" t="s">
        <v>229</v>
      </c>
      <c r="C649" s="200">
        <v>45470</v>
      </c>
      <c r="D649" s="199" t="s">
        <v>152</v>
      </c>
      <c r="E649" s="206">
        <v>51322</v>
      </c>
      <c r="F649" s="206">
        <v>5132</v>
      </c>
      <c r="G649" s="206">
        <v>257</v>
      </c>
      <c r="H649" s="202">
        <f t="shared" si="10"/>
        <v>46447</v>
      </c>
      <c r="I649" s="205" t="s">
        <v>38</v>
      </c>
      <c r="J649" s="205" t="s">
        <v>23</v>
      </c>
      <c r="K649" s="199" t="s">
        <v>1028</v>
      </c>
      <c r="L649" s="205" t="s">
        <v>5673</v>
      </c>
      <c r="M649" s="201" t="s">
        <v>1030</v>
      </c>
      <c r="N649" s="205" t="s">
        <v>652</v>
      </c>
      <c r="O649" s="205" t="s">
        <v>652</v>
      </c>
      <c r="P649" s="208" t="s">
        <v>1534</v>
      </c>
      <c r="Q649" s="208" t="s">
        <v>3748</v>
      </c>
      <c r="R649" s="208" t="s">
        <v>4779</v>
      </c>
    </row>
    <row r="650" spans="1:18" s="205" customFormat="1" x14ac:dyDescent="0.2">
      <c r="A650" s="205" t="s">
        <v>5674</v>
      </c>
      <c r="B650" s="205" t="s">
        <v>229</v>
      </c>
      <c r="C650" s="200">
        <v>45470</v>
      </c>
      <c r="D650" s="199" t="s">
        <v>152</v>
      </c>
      <c r="E650" s="206">
        <v>95814</v>
      </c>
      <c r="F650" s="206">
        <v>9581</v>
      </c>
      <c r="G650" s="206">
        <v>479</v>
      </c>
      <c r="H650" s="202">
        <f t="shared" si="10"/>
        <v>86712</v>
      </c>
      <c r="I650" s="205" t="s">
        <v>38</v>
      </c>
      <c r="J650" s="205" t="s">
        <v>23</v>
      </c>
      <c r="K650" s="199" t="s">
        <v>1042</v>
      </c>
      <c r="L650" s="205" t="s">
        <v>5675</v>
      </c>
      <c r="M650" s="199" t="s">
        <v>1030</v>
      </c>
      <c r="N650" s="205" t="s">
        <v>652</v>
      </c>
      <c r="O650" s="205" t="s">
        <v>652</v>
      </c>
      <c r="P650" s="208" t="s">
        <v>664</v>
      </c>
      <c r="Q650" s="208" t="s">
        <v>665</v>
      </c>
      <c r="R650" s="208" t="s">
        <v>4779</v>
      </c>
    </row>
    <row r="651" spans="1:18" s="205" customFormat="1" x14ac:dyDescent="0.2">
      <c r="A651" s="205" t="s">
        <v>5676</v>
      </c>
      <c r="B651" s="205" t="s">
        <v>229</v>
      </c>
      <c r="C651" s="200">
        <v>45470</v>
      </c>
      <c r="D651" s="199" t="s">
        <v>152</v>
      </c>
      <c r="E651" s="206">
        <v>112587</v>
      </c>
      <c r="F651" s="206">
        <v>11259</v>
      </c>
      <c r="G651" s="206">
        <v>563</v>
      </c>
      <c r="H651" s="202">
        <f t="shared" si="10"/>
        <v>101891</v>
      </c>
      <c r="I651" s="205" t="s">
        <v>38</v>
      </c>
      <c r="J651" s="205" t="s">
        <v>23</v>
      </c>
      <c r="K651" s="199" t="s">
        <v>1028</v>
      </c>
      <c r="L651" s="205" t="s">
        <v>5677</v>
      </c>
      <c r="M651" s="201" t="s">
        <v>1030</v>
      </c>
      <c r="N651" s="205" t="s">
        <v>652</v>
      </c>
      <c r="O651" s="205" t="s">
        <v>652</v>
      </c>
      <c r="P651" s="208" t="s">
        <v>1534</v>
      </c>
      <c r="Q651" s="208" t="s">
        <v>3748</v>
      </c>
      <c r="R651" s="208" t="s">
        <v>4779</v>
      </c>
    </row>
    <row r="652" spans="1:18" s="205" customFormat="1" x14ac:dyDescent="0.2">
      <c r="A652" s="205" t="s">
        <v>5678</v>
      </c>
      <c r="B652" s="205" t="s">
        <v>229</v>
      </c>
      <c r="C652" s="200">
        <v>45470</v>
      </c>
      <c r="D652" s="199" t="s">
        <v>152</v>
      </c>
      <c r="E652" s="206">
        <v>69284</v>
      </c>
      <c r="F652" s="206">
        <v>6928</v>
      </c>
      <c r="G652" s="206">
        <v>346</v>
      </c>
      <c r="H652" s="202">
        <f t="shared" si="10"/>
        <v>62702</v>
      </c>
      <c r="I652" s="205" t="s">
        <v>38</v>
      </c>
      <c r="J652" s="205" t="s">
        <v>23</v>
      </c>
      <c r="K652" s="199" t="s">
        <v>1028</v>
      </c>
      <c r="L652" s="205" t="s">
        <v>5679</v>
      </c>
      <c r="M652" s="201" t="s">
        <v>1030</v>
      </c>
      <c r="N652" s="205" t="s">
        <v>652</v>
      </c>
      <c r="O652" s="205" t="s">
        <v>652</v>
      </c>
      <c r="P652" s="214" t="s">
        <v>1534</v>
      </c>
      <c r="Q652" s="214" t="s">
        <v>3748</v>
      </c>
      <c r="R652" s="214" t="s">
        <v>4779</v>
      </c>
    </row>
    <row r="653" spans="1:18" s="205" customFormat="1" x14ac:dyDescent="0.2">
      <c r="A653" s="205" t="s">
        <v>5680</v>
      </c>
      <c r="B653" s="205" t="s">
        <v>229</v>
      </c>
      <c r="C653" s="200">
        <v>45470</v>
      </c>
      <c r="D653" s="199" t="s">
        <v>152</v>
      </c>
      <c r="E653" s="206">
        <v>40412</v>
      </c>
      <c r="F653" s="206">
        <v>4041</v>
      </c>
      <c r="G653" s="206">
        <v>202</v>
      </c>
      <c r="H653" s="202">
        <f t="shared" si="10"/>
        <v>36573</v>
      </c>
      <c r="I653" s="205" t="s">
        <v>38</v>
      </c>
      <c r="J653" s="205" t="s">
        <v>23</v>
      </c>
      <c r="K653" s="199" t="s">
        <v>1028</v>
      </c>
      <c r="L653" s="205" t="s">
        <v>5681</v>
      </c>
      <c r="M653" s="201" t="s">
        <v>1030</v>
      </c>
      <c r="N653" s="205" t="s">
        <v>652</v>
      </c>
      <c r="O653" s="205" t="s">
        <v>652</v>
      </c>
      <c r="P653" s="214" t="s">
        <v>1534</v>
      </c>
      <c r="Q653" s="214" t="s">
        <v>3748</v>
      </c>
      <c r="R653" s="214" t="s">
        <v>4779</v>
      </c>
    </row>
    <row r="654" spans="1:18" s="205" customFormat="1" x14ac:dyDescent="0.2">
      <c r="A654" s="205" t="s">
        <v>5682</v>
      </c>
      <c r="B654" s="205" t="s">
        <v>229</v>
      </c>
      <c r="C654" s="200">
        <v>45470</v>
      </c>
      <c r="D654" s="199" t="s">
        <v>152</v>
      </c>
      <c r="E654" s="206">
        <v>40412</v>
      </c>
      <c r="F654" s="206">
        <v>4041</v>
      </c>
      <c r="G654" s="206">
        <v>202</v>
      </c>
      <c r="H654" s="202">
        <f t="shared" si="10"/>
        <v>36573</v>
      </c>
      <c r="I654" s="205" t="s">
        <v>38</v>
      </c>
      <c r="J654" s="205" t="s">
        <v>23</v>
      </c>
      <c r="K654" s="201" t="s">
        <v>1028</v>
      </c>
      <c r="L654" s="205" t="s">
        <v>5683</v>
      </c>
      <c r="M654" s="201" t="s">
        <v>1030</v>
      </c>
      <c r="N654" s="205" t="s">
        <v>652</v>
      </c>
      <c r="O654" s="205" t="s">
        <v>652</v>
      </c>
      <c r="P654" s="208" t="s">
        <v>1534</v>
      </c>
      <c r="Q654" s="208" t="s">
        <v>3748</v>
      </c>
      <c r="R654" s="208" t="s">
        <v>4779</v>
      </c>
    </row>
    <row r="655" spans="1:18" s="205" customFormat="1" x14ac:dyDescent="0.2">
      <c r="A655" s="205" t="s">
        <v>5684</v>
      </c>
      <c r="B655" s="205" t="s">
        <v>229</v>
      </c>
      <c r="C655" s="200">
        <v>45470</v>
      </c>
      <c r="D655" s="199" t="s">
        <v>152</v>
      </c>
      <c r="E655" s="206">
        <v>129349</v>
      </c>
      <c r="F655" s="206">
        <v>12935</v>
      </c>
      <c r="G655" s="206">
        <v>647</v>
      </c>
      <c r="H655" s="202">
        <f t="shared" si="10"/>
        <v>117061</v>
      </c>
      <c r="I655" s="205" t="s">
        <v>38</v>
      </c>
      <c r="J655" s="205" t="s">
        <v>23</v>
      </c>
      <c r="K655" s="201" t="s">
        <v>1028</v>
      </c>
      <c r="L655" s="205" t="s">
        <v>5685</v>
      </c>
      <c r="M655" s="201" t="s">
        <v>1030</v>
      </c>
      <c r="N655" s="205" t="s">
        <v>652</v>
      </c>
      <c r="O655" s="205" t="s">
        <v>652</v>
      </c>
      <c r="P655" s="208" t="s">
        <v>1534</v>
      </c>
      <c r="Q655" s="208" t="s">
        <v>3748</v>
      </c>
      <c r="R655" s="208" t="s">
        <v>4779</v>
      </c>
    </row>
    <row r="656" spans="1:18" s="205" customFormat="1" x14ac:dyDescent="0.2">
      <c r="A656" s="205" t="s">
        <v>5686</v>
      </c>
      <c r="B656" s="205" t="s">
        <v>229</v>
      </c>
      <c r="C656" s="200">
        <v>45470</v>
      </c>
      <c r="D656" s="199" t="s">
        <v>152</v>
      </c>
      <c r="E656" s="206">
        <v>36738</v>
      </c>
      <c r="F656" s="206">
        <v>3674</v>
      </c>
      <c r="G656" s="206">
        <v>184</v>
      </c>
      <c r="H656" s="202">
        <f t="shared" si="10"/>
        <v>33248</v>
      </c>
      <c r="I656" s="205" t="s">
        <v>38</v>
      </c>
      <c r="J656" s="205" t="s">
        <v>23</v>
      </c>
      <c r="K656" s="201" t="s">
        <v>1028</v>
      </c>
      <c r="L656" s="205" t="s">
        <v>5687</v>
      </c>
      <c r="M656" s="201" t="s">
        <v>1030</v>
      </c>
      <c r="N656" s="205" t="s">
        <v>652</v>
      </c>
      <c r="O656" s="205" t="s">
        <v>652</v>
      </c>
      <c r="P656" s="208" t="s">
        <v>2191</v>
      </c>
      <c r="Q656" s="208" t="s">
        <v>2192</v>
      </c>
      <c r="R656" s="208" t="s">
        <v>4779</v>
      </c>
    </row>
    <row r="657" spans="1:18" s="205" customFormat="1" x14ac:dyDescent="0.2">
      <c r="A657" s="205" t="s">
        <v>5688</v>
      </c>
      <c r="B657" s="205" t="s">
        <v>229</v>
      </c>
      <c r="C657" s="200">
        <v>45470</v>
      </c>
      <c r="D657" s="199" t="s">
        <v>152</v>
      </c>
      <c r="E657" s="206">
        <v>59699</v>
      </c>
      <c r="F657" s="206">
        <v>5970</v>
      </c>
      <c r="G657" s="206">
        <v>299</v>
      </c>
      <c r="H657" s="202">
        <f t="shared" si="10"/>
        <v>54028</v>
      </c>
      <c r="I657" s="205" t="s">
        <v>38</v>
      </c>
      <c r="J657" s="205" t="s">
        <v>23</v>
      </c>
      <c r="K657" s="201" t="s">
        <v>1028</v>
      </c>
      <c r="L657" s="205" t="s">
        <v>5689</v>
      </c>
      <c r="M657" s="201" t="s">
        <v>1030</v>
      </c>
      <c r="N657" s="205" t="s">
        <v>652</v>
      </c>
      <c r="O657" s="205" t="s">
        <v>652</v>
      </c>
      <c r="P657" s="208" t="s">
        <v>2191</v>
      </c>
      <c r="Q657" s="208" t="s">
        <v>2192</v>
      </c>
      <c r="R657" s="208" t="s">
        <v>4779</v>
      </c>
    </row>
    <row r="658" spans="1:18" s="205" customFormat="1" x14ac:dyDescent="0.2">
      <c r="A658" s="205" t="s">
        <v>5690</v>
      </c>
      <c r="B658" s="205" t="s">
        <v>229</v>
      </c>
      <c r="C658" s="200">
        <v>45470</v>
      </c>
      <c r="D658" s="199" t="s">
        <v>152</v>
      </c>
      <c r="E658" s="206">
        <v>59699</v>
      </c>
      <c r="F658" s="206">
        <v>5970</v>
      </c>
      <c r="G658" s="206">
        <v>299</v>
      </c>
      <c r="H658" s="202">
        <f t="shared" si="10"/>
        <v>54028</v>
      </c>
      <c r="I658" s="205" t="s">
        <v>38</v>
      </c>
      <c r="J658" s="205" t="s">
        <v>23</v>
      </c>
      <c r="K658" s="201" t="s">
        <v>1028</v>
      </c>
      <c r="L658" s="205" t="s">
        <v>5691</v>
      </c>
      <c r="M658" s="201" t="s">
        <v>1030</v>
      </c>
      <c r="N658" s="205" t="s">
        <v>652</v>
      </c>
      <c r="O658" s="205" t="s">
        <v>652</v>
      </c>
      <c r="P658" s="208" t="s">
        <v>2191</v>
      </c>
      <c r="Q658" s="208" t="s">
        <v>2192</v>
      </c>
      <c r="R658" s="208" t="s">
        <v>4779</v>
      </c>
    </row>
    <row r="659" spans="1:18" s="205" customFormat="1" x14ac:dyDescent="0.2">
      <c r="A659" s="205" t="s">
        <v>5692</v>
      </c>
      <c r="B659" s="205" t="s">
        <v>229</v>
      </c>
      <c r="C659" s="200">
        <v>45470</v>
      </c>
      <c r="D659" s="199" t="s">
        <v>152</v>
      </c>
      <c r="E659" s="206">
        <v>56454</v>
      </c>
      <c r="F659" s="206">
        <v>5645</v>
      </c>
      <c r="G659" s="206">
        <v>282</v>
      </c>
      <c r="H659" s="202">
        <f t="shared" si="10"/>
        <v>51091</v>
      </c>
      <c r="I659" s="205" t="s">
        <v>38</v>
      </c>
      <c r="J659" s="205" t="s">
        <v>23</v>
      </c>
      <c r="K659" s="201" t="s">
        <v>1028</v>
      </c>
      <c r="L659" s="205" t="s">
        <v>5693</v>
      </c>
      <c r="M659" s="201" t="s">
        <v>1030</v>
      </c>
      <c r="N659" s="205" t="s">
        <v>652</v>
      </c>
      <c r="O659" s="205" t="s">
        <v>652</v>
      </c>
      <c r="P659" s="208" t="s">
        <v>1534</v>
      </c>
      <c r="Q659" s="208" t="s">
        <v>3748</v>
      </c>
      <c r="R659" s="208" t="s">
        <v>4779</v>
      </c>
    </row>
    <row r="660" spans="1:18" s="205" customFormat="1" x14ac:dyDescent="0.2">
      <c r="A660" s="205" t="s">
        <v>5694</v>
      </c>
      <c r="B660" s="205" t="s">
        <v>229</v>
      </c>
      <c r="C660" s="200">
        <v>45470</v>
      </c>
      <c r="D660" s="199" t="s">
        <v>152</v>
      </c>
      <c r="E660" s="206">
        <v>117590</v>
      </c>
      <c r="F660" s="206">
        <v>11759</v>
      </c>
      <c r="G660" s="206">
        <v>588</v>
      </c>
      <c r="H660" s="202">
        <f t="shared" si="10"/>
        <v>106419</v>
      </c>
      <c r="I660" s="205" t="s">
        <v>38</v>
      </c>
      <c r="J660" s="205" t="s">
        <v>23</v>
      </c>
      <c r="K660" s="201" t="s">
        <v>1028</v>
      </c>
      <c r="L660" s="205" t="s">
        <v>5695</v>
      </c>
      <c r="M660" s="201" t="s">
        <v>1030</v>
      </c>
      <c r="N660" s="205" t="s">
        <v>652</v>
      </c>
      <c r="O660" s="205" t="s">
        <v>652</v>
      </c>
      <c r="P660" s="208" t="s">
        <v>1534</v>
      </c>
      <c r="Q660" s="208" t="s">
        <v>3748</v>
      </c>
      <c r="R660" s="208" t="s">
        <v>4779</v>
      </c>
    </row>
    <row r="661" spans="1:18" s="205" customFormat="1" x14ac:dyDescent="0.2">
      <c r="A661" s="205" t="s">
        <v>5696</v>
      </c>
      <c r="B661" s="205" t="s">
        <v>229</v>
      </c>
      <c r="C661" s="200">
        <v>45470</v>
      </c>
      <c r="D661" s="199" t="s">
        <v>152</v>
      </c>
      <c r="E661" s="206">
        <v>56973</v>
      </c>
      <c r="F661" s="206">
        <v>5697</v>
      </c>
      <c r="G661" s="206">
        <v>285</v>
      </c>
      <c r="H661" s="202">
        <f t="shared" si="10"/>
        <v>51561</v>
      </c>
      <c r="I661" s="205" t="s">
        <v>38</v>
      </c>
      <c r="J661" s="205" t="s">
        <v>23</v>
      </c>
      <c r="K661" s="201" t="s">
        <v>1028</v>
      </c>
      <c r="L661" s="205" t="s">
        <v>5697</v>
      </c>
      <c r="M661" s="201" t="s">
        <v>1030</v>
      </c>
      <c r="N661" s="205" t="s">
        <v>652</v>
      </c>
      <c r="O661" s="205" t="s">
        <v>652</v>
      </c>
      <c r="P661" s="208" t="s">
        <v>1534</v>
      </c>
      <c r="Q661" s="208" t="s">
        <v>3748</v>
      </c>
      <c r="R661" s="208" t="s">
        <v>4779</v>
      </c>
    </row>
    <row r="662" spans="1:18" s="205" customFormat="1" x14ac:dyDescent="0.2">
      <c r="A662" s="205" t="s">
        <v>5698</v>
      </c>
      <c r="B662" s="205" t="s">
        <v>229</v>
      </c>
      <c r="C662" s="200">
        <v>45470</v>
      </c>
      <c r="D662" s="199" t="s">
        <v>152</v>
      </c>
      <c r="E662" s="206">
        <v>30095</v>
      </c>
      <c r="F662" s="206">
        <v>3010</v>
      </c>
      <c r="G662" s="206">
        <v>150</v>
      </c>
      <c r="H662" s="202">
        <f t="shared" si="10"/>
        <v>27235</v>
      </c>
      <c r="I662" s="205" t="s">
        <v>38</v>
      </c>
      <c r="J662" s="205" t="s">
        <v>23</v>
      </c>
      <c r="K662" s="201" t="s">
        <v>1042</v>
      </c>
      <c r="L662" s="205" t="s">
        <v>5699</v>
      </c>
      <c r="M662" s="201" t="s">
        <v>1030</v>
      </c>
      <c r="N662" s="205" t="s">
        <v>652</v>
      </c>
      <c r="O662" s="205" t="s">
        <v>652</v>
      </c>
      <c r="P662" s="208" t="s">
        <v>724</v>
      </c>
      <c r="Q662" s="208" t="s">
        <v>725</v>
      </c>
      <c r="R662" s="208" t="s">
        <v>4779</v>
      </c>
    </row>
    <row r="663" spans="1:18" s="205" customFormat="1" x14ac:dyDescent="0.2">
      <c r="A663" s="205" t="s">
        <v>5700</v>
      </c>
      <c r="B663" s="205" t="s">
        <v>229</v>
      </c>
      <c r="C663" s="200">
        <v>45470</v>
      </c>
      <c r="D663" s="199" t="s">
        <v>152</v>
      </c>
      <c r="E663" s="206">
        <v>59699</v>
      </c>
      <c r="F663" s="206">
        <v>5970</v>
      </c>
      <c r="G663" s="206">
        <v>299</v>
      </c>
      <c r="H663" s="202">
        <f t="shared" si="10"/>
        <v>54028</v>
      </c>
      <c r="I663" s="205" t="s">
        <v>38</v>
      </c>
      <c r="J663" s="205" t="s">
        <v>23</v>
      </c>
      <c r="K663" s="201" t="s">
        <v>1028</v>
      </c>
      <c r="L663" s="205" t="s">
        <v>5701</v>
      </c>
      <c r="M663" s="201" t="s">
        <v>1030</v>
      </c>
      <c r="N663" s="205" t="s">
        <v>652</v>
      </c>
      <c r="O663" s="205" t="s">
        <v>652</v>
      </c>
      <c r="P663" s="208" t="s">
        <v>2191</v>
      </c>
      <c r="Q663" s="208" t="s">
        <v>2192</v>
      </c>
      <c r="R663" s="208" t="s">
        <v>4779</v>
      </c>
    </row>
    <row r="664" spans="1:18" s="205" customFormat="1" x14ac:dyDescent="0.2">
      <c r="A664" s="205" t="s">
        <v>5702</v>
      </c>
      <c r="B664" s="205" t="s">
        <v>229</v>
      </c>
      <c r="C664" s="200">
        <v>45470</v>
      </c>
      <c r="D664" s="199" t="s">
        <v>152</v>
      </c>
      <c r="E664" s="206">
        <v>51793</v>
      </c>
      <c r="F664" s="206">
        <v>5179</v>
      </c>
      <c r="G664" s="206">
        <v>259</v>
      </c>
      <c r="H664" s="202">
        <f t="shared" si="10"/>
        <v>46873</v>
      </c>
      <c r="I664" s="205" t="s">
        <v>38</v>
      </c>
      <c r="J664" s="205" t="s">
        <v>23</v>
      </c>
      <c r="K664" s="199" t="s">
        <v>1028</v>
      </c>
      <c r="L664" s="205" t="s">
        <v>5703</v>
      </c>
      <c r="M664" s="201" t="s">
        <v>1030</v>
      </c>
      <c r="N664" s="205" t="s">
        <v>652</v>
      </c>
      <c r="O664" s="205" t="s">
        <v>652</v>
      </c>
      <c r="P664" s="208" t="s">
        <v>1534</v>
      </c>
      <c r="Q664" s="208" t="s">
        <v>3748</v>
      </c>
      <c r="R664" s="208" t="s">
        <v>4779</v>
      </c>
    </row>
    <row r="665" spans="1:18" s="205" customFormat="1" x14ac:dyDescent="0.2">
      <c r="A665" s="205" t="s">
        <v>1552</v>
      </c>
      <c r="B665" s="205" t="s">
        <v>229</v>
      </c>
      <c r="C665" s="200">
        <v>45470</v>
      </c>
      <c r="D665" s="199" t="s">
        <v>152</v>
      </c>
      <c r="E665" s="206">
        <v>83824</v>
      </c>
      <c r="F665" s="206">
        <v>8382</v>
      </c>
      <c r="G665" s="206">
        <v>419</v>
      </c>
      <c r="H665" s="202">
        <f t="shared" si="10"/>
        <v>75861</v>
      </c>
      <c r="I665" s="205" t="s">
        <v>38</v>
      </c>
      <c r="J665" s="205" t="s">
        <v>23</v>
      </c>
      <c r="K665" s="199" t="s">
        <v>1028</v>
      </c>
      <c r="L665" s="205" t="s">
        <v>5704</v>
      </c>
      <c r="M665" s="201" t="s">
        <v>1030</v>
      </c>
      <c r="N665" s="205" t="s">
        <v>652</v>
      </c>
      <c r="O665" s="205" t="s">
        <v>652</v>
      </c>
      <c r="P665" s="208" t="s">
        <v>1534</v>
      </c>
      <c r="Q665" s="208" t="s">
        <v>3748</v>
      </c>
      <c r="R665" s="208" t="s">
        <v>4779</v>
      </c>
    </row>
    <row r="666" spans="1:18" s="205" customFormat="1" x14ac:dyDescent="0.2">
      <c r="A666" s="205" t="s">
        <v>5705</v>
      </c>
      <c r="B666" s="205" t="s">
        <v>229</v>
      </c>
      <c r="C666" s="200">
        <v>45470</v>
      </c>
      <c r="D666" s="199" t="s">
        <v>152</v>
      </c>
      <c r="E666" s="206">
        <v>84164</v>
      </c>
      <c r="F666" s="206">
        <v>8416</v>
      </c>
      <c r="G666" s="206">
        <v>421</v>
      </c>
      <c r="H666" s="202">
        <f t="shared" si="10"/>
        <v>76169</v>
      </c>
      <c r="I666" s="205" t="s">
        <v>38</v>
      </c>
      <c r="J666" s="205" t="s">
        <v>23</v>
      </c>
      <c r="K666" s="199" t="s">
        <v>1028</v>
      </c>
      <c r="L666" s="205" t="s">
        <v>5706</v>
      </c>
      <c r="M666" s="201" t="s">
        <v>1030</v>
      </c>
      <c r="N666" s="205" t="s">
        <v>652</v>
      </c>
      <c r="O666" s="205" t="s">
        <v>652</v>
      </c>
      <c r="P666" s="208" t="s">
        <v>1534</v>
      </c>
      <c r="Q666" s="208" t="s">
        <v>3748</v>
      </c>
      <c r="R666" s="208" t="s">
        <v>4779</v>
      </c>
    </row>
    <row r="667" spans="1:18" s="205" customFormat="1" x14ac:dyDescent="0.2">
      <c r="A667" s="205" t="s">
        <v>5707</v>
      </c>
      <c r="B667" s="205" t="s">
        <v>229</v>
      </c>
      <c r="C667" s="200">
        <v>45470</v>
      </c>
      <c r="D667" s="199" t="s">
        <v>152</v>
      </c>
      <c r="E667" s="206">
        <v>84164</v>
      </c>
      <c r="F667" s="206">
        <v>8416</v>
      </c>
      <c r="G667" s="206">
        <v>421</v>
      </c>
      <c r="H667" s="202">
        <f t="shared" si="10"/>
        <v>76169</v>
      </c>
      <c r="I667" s="205" t="s">
        <v>38</v>
      </c>
      <c r="J667" s="205" t="s">
        <v>23</v>
      </c>
      <c r="K667" s="199" t="s">
        <v>1028</v>
      </c>
      <c r="L667" s="205" t="s">
        <v>5708</v>
      </c>
      <c r="M667" s="201" t="s">
        <v>1030</v>
      </c>
      <c r="N667" s="205" t="s">
        <v>652</v>
      </c>
      <c r="O667" s="205" t="s">
        <v>652</v>
      </c>
      <c r="P667" s="214" t="s">
        <v>2191</v>
      </c>
      <c r="Q667" s="214" t="s">
        <v>2192</v>
      </c>
      <c r="R667" s="214" t="s">
        <v>4779</v>
      </c>
    </row>
    <row r="668" spans="1:18" s="205" customFormat="1" x14ac:dyDescent="0.2">
      <c r="A668" s="209" t="s">
        <v>5709</v>
      </c>
      <c r="B668" s="209" t="s">
        <v>229</v>
      </c>
      <c r="C668" s="210">
        <v>45470</v>
      </c>
      <c r="D668" s="199" t="s">
        <v>152</v>
      </c>
      <c r="E668" s="211">
        <v>87104</v>
      </c>
      <c r="F668" s="211">
        <v>8710</v>
      </c>
      <c r="G668" s="211">
        <v>436</v>
      </c>
      <c r="H668" s="202">
        <f t="shared" si="10"/>
        <v>78830</v>
      </c>
      <c r="I668" s="209" t="s">
        <v>38</v>
      </c>
      <c r="J668" s="209" t="s">
        <v>23</v>
      </c>
      <c r="K668" s="201" t="s">
        <v>1028</v>
      </c>
      <c r="L668" s="209" t="s">
        <v>5710</v>
      </c>
      <c r="M668" s="201" t="s">
        <v>1030</v>
      </c>
      <c r="N668" s="209" t="s">
        <v>652</v>
      </c>
      <c r="O668" s="209" t="s">
        <v>652</v>
      </c>
      <c r="P668" s="213" t="s">
        <v>2191</v>
      </c>
      <c r="Q668" s="213" t="s">
        <v>2192</v>
      </c>
      <c r="R668" s="213" t="s">
        <v>4779</v>
      </c>
    </row>
    <row r="669" spans="1:18" s="205" customFormat="1" x14ac:dyDescent="0.2">
      <c r="A669" s="209" t="s">
        <v>5711</v>
      </c>
      <c r="B669" s="209" t="s">
        <v>229</v>
      </c>
      <c r="C669" s="210">
        <v>45470</v>
      </c>
      <c r="D669" s="199" t="s">
        <v>152</v>
      </c>
      <c r="E669" s="211">
        <v>87104</v>
      </c>
      <c r="F669" s="211">
        <v>8710</v>
      </c>
      <c r="G669" s="211">
        <v>436</v>
      </c>
      <c r="H669" s="202">
        <f t="shared" si="10"/>
        <v>78830</v>
      </c>
      <c r="I669" s="209" t="s">
        <v>38</v>
      </c>
      <c r="J669" s="209" t="s">
        <v>23</v>
      </c>
      <c r="K669" s="201" t="s">
        <v>1028</v>
      </c>
      <c r="L669" s="209" t="s">
        <v>5712</v>
      </c>
      <c r="M669" s="201" t="s">
        <v>1030</v>
      </c>
      <c r="N669" s="209" t="s">
        <v>652</v>
      </c>
      <c r="O669" s="209" t="s">
        <v>652</v>
      </c>
      <c r="P669" s="213" t="s">
        <v>2191</v>
      </c>
      <c r="Q669" s="213" t="s">
        <v>2192</v>
      </c>
      <c r="R669" s="213" t="s">
        <v>4779</v>
      </c>
    </row>
    <row r="670" spans="1:18" s="205" customFormat="1" x14ac:dyDescent="0.2">
      <c r="A670" s="209" t="s">
        <v>5713</v>
      </c>
      <c r="B670" s="209" t="s">
        <v>229</v>
      </c>
      <c r="C670" s="210">
        <v>45470</v>
      </c>
      <c r="D670" s="199" t="s">
        <v>152</v>
      </c>
      <c r="E670" s="211">
        <v>17315</v>
      </c>
      <c r="F670" s="211">
        <v>1732</v>
      </c>
      <c r="G670" s="211">
        <v>87</v>
      </c>
      <c r="H670" s="202">
        <f t="shared" si="10"/>
        <v>15670</v>
      </c>
      <c r="I670" s="209" t="s">
        <v>38</v>
      </c>
      <c r="J670" s="209" t="s">
        <v>23</v>
      </c>
      <c r="K670" s="201" t="s">
        <v>1028</v>
      </c>
      <c r="L670" s="209" t="s">
        <v>5714</v>
      </c>
      <c r="M670" s="201" t="s">
        <v>1030</v>
      </c>
      <c r="N670" s="209" t="s">
        <v>652</v>
      </c>
      <c r="O670" s="209" t="s">
        <v>652</v>
      </c>
      <c r="P670" s="213" t="s">
        <v>2191</v>
      </c>
      <c r="Q670" s="213" t="s">
        <v>2192</v>
      </c>
      <c r="R670" s="213" t="s">
        <v>4779</v>
      </c>
    </row>
    <row r="671" spans="1:18" s="205" customFormat="1" x14ac:dyDescent="0.2">
      <c r="A671" s="205" t="s">
        <v>5715</v>
      </c>
      <c r="B671" s="205" t="s">
        <v>229</v>
      </c>
      <c r="C671" s="200">
        <v>45470</v>
      </c>
      <c r="D671" s="199" t="s">
        <v>152</v>
      </c>
      <c r="E671" s="206">
        <v>37984</v>
      </c>
      <c r="F671" s="206">
        <v>3798</v>
      </c>
      <c r="G671" s="206">
        <v>190</v>
      </c>
      <c r="H671" s="202">
        <f t="shared" si="10"/>
        <v>34376</v>
      </c>
      <c r="I671" s="205" t="s">
        <v>38</v>
      </c>
      <c r="J671" s="205" t="s">
        <v>23</v>
      </c>
      <c r="K671" s="201" t="s">
        <v>1028</v>
      </c>
      <c r="L671" s="205" t="s">
        <v>5716</v>
      </c>
      <c r="M671" s="201" t="s">
        <v>1030</v>
      </c>
      <c r="N671" s="205" t="s">
        <v>652</v>
      </c>
      <c r="O671" s="205" t="s">
        <v>652</v>
      </c>
      <c r="P671" s="208" t="s">
        <v>2191</v>
      </c>
      <c r="Q671" s="208" t="s">
        <v>2192</v>
      </c>
      <c r="R671" s="208" t="s">
        <v>4779</v>
      </c>
    </row>
    <row r="672" spans="1:18" s="205" customFormat="1" x14ac:dyDescent="0.2">
      <c r="A672" s="205" t="s">
        <v>5717</v>
      </c>
      <c r="B672" s="205" t="s">
        <v>229</v>
      </c>
      <c r="C672" s="200">
        <v>45470</v>
      </c>
      <c r="D672" s="199" t="s">
        <v>152</v>
      </c>
      <c r="E672" s="206">
        <v>87104</v>
      </c>
      <c r="F672" s="206">
        <v>8710</v>
      </c>
      <c r="G672" s="206">
        <v>436</v>
      </c>
      <c r="H672" s="202">
        <f t="shared" si="10"/>
        <v>78830</v>
      </c>
      <c r="I672" s="205" t="s">
        <v>38</v>
      </c>
      <c r="J672" s="205" t="s">
        <v>23</v>
      </c>
      <c r="K672" s="201" t="s">
        <v>1042</v>
      </c>
      <c r="L672" s="205" t="s">
        <v>5718</v>
      </c>
      <c r="M672" s="201" t="s">
        <v>1030</v>
      </c>
      <c r="N672" s="205" t="s">
        <v>652</v>
      </c>
      <c r="O672" s="205" t="s">
        <v>652</v>
      </c>
      <c r="P672" s="208" t="s">
        <v>2191</v>
      </c>
      <c r="Q672" s="208" t="s">
        <v>2192</v>
      </c>
      <c r="R672" s="208" t="s">
        <v>4779</v>
      </c>
    </row>
    <row r="673" spans="1:18" s="205" customFormat="1" x14ac:dyDescent="0.2">
      <c r="A673" s="205" t="s">
        <v>5719</v>
      </c>
      <c r="B673" s="205" t="s">
        <v>229</v>
      </c>
      <c r="C673" s="200">
        <v>45470</v>
      </c>
      <c r="D673" s="199" t="s">
        <v>152</v>
      </c>
      <c r="E673" s="206">
        <v>69284</v>
      </c>
      <c r="F673" s="206">
        <v>6928</v>
      </c>
      <c r="G673" s="206">
        <v>346</v>
      </c>
      <c r="H673" s="202">
        <f t="shared" si="10"/>
        <v>62702</v>
      </c>
      <c r="I673" s="205" t="s">
        <v>38</v>
      </c>
      <c r="J673" s="205" t="s">
        <v>23</v>
      </c>
      <c r="K673" s="201" t="s">
        <v>1028</v>
      </c>
      <c r="L673" s="205" t="s">
        <v>5720</v>
      </c>
      <c r="M673" s="201" t="s">
        <v>1030</v>
      </c>
      <c r="N673" s="205" t="s">
        <v>652</v>
      </c>
      <c r="O673" s="205" t="s">
        <v>652</v>
      </c>
      <c r="P673" s="208" t="s">
        <v>1534</v>
      </c>
      <c r="Q673" s="208" t="s">
        <v>3748</v>
      </c>
      <c r="R673" s="208" t="s">
        <v>4779</v>
      </c>
    </row>
    <row r="674" spans="1:18" s="205" customFormat="1" x14ac:dyDescent="0.2">
      <c r="A674" s="205" t="s">
        <v>5721</v>
      </c>
      <c r="B674" s="205" t="s">
        <v>229</v>
      </c>
      <c r="C674" s="200">
        <v>45470</v>
      </c>
      <c r="D674" s="199" t="s">
        <v>152</v>
      </c>
      <c r="E674" s="206">
        <v>59699</v>
      </c>
      <c r="F674" s="206">
        <v>5970</v>
      </c>
      <c r="G674" s="206">
        <v>299</v>
      </c>
      <c r="H674" s="202">
        <f t="shared" si="10"/>
        <v>54028</v>
      </c>
      <c r="I674" s="205" t="s">
        <v>38</v>
      </c>
      <c r="J674" s="205" t="s">
        <v>23</v>
      </c>
      <c r="K674" s="201" t="s">
        <v>1028</v>
      </c>
      <c r="L674" s="205" t="s">
        <v>5722</v>
      </c>
      <c r="M674" s="201" t="s">
        <v>1030</v>
      </c>
      <c r="N674" s="205" t="s">
        <v>652</v>
      </c>
      <c r="O674" s="205" t="s">
        <v>652</v>
      </c>
      <c r="P674" s="208" t="s">
        <v>1534</v>
      </c>
      <c r="Q674" s="208" t="s">
        <v>3748</v>
      </c>
      <c r="R674" s="208" t="s">
        <v>4779</v>
      </c>
    </row>
    <row r="675" spans="1:18" s="205" customFormat="1" x14ac:dyDescent="0.2">
      <c r="A675" s="205" t="s">
        <v>5723</v>
      </c>
      <c r="B675" s="205" t="s">
        <v>229</v>
      </c>
      <c r="C675" s="200">
        <v>45470</v>
      </c>
      <c r="D675" s="199" t="s">
        <v>152</v>
      </c>
      <c r="E675" s="206">
        <v>67331</v>
      </c>
      <c r="F675" s="206">
        <v>6733</v>
      </c>
      <c r="G675" s="206">
        <v>337</v>
      </c>
      <c r="H675" s="202">
        <f t="shared" si="10"/>
        <v>60935</v>
      </c>
      <c r="I675" s="205" t="s">
        <v>38</v>
      </c>
      <c r="J675" s="205" t="s">
        <v>23</v>
      </c>
      <c r="K675" s="201" t="s">
        <v>1028</v>
      </c>
      <c r="L675" s="205" t="s">
        <v>5724</v>
      </c>
      <c r="M675" s="201" t="s">
        <v>1030</v>
      </c>
      <c r="N675" s="205" t="s">
        <v>652</v>
      </c>
      <c r="O675" s="205" t="s">
        <v>652</v>
      </c>
      <c r="P675" s="216" t="s">
        <v>1534</v>
      </c>
      <c r="Q675" s="216" t="s">
        <v>3748</v>
      </c>
      <c r="R675" s="216" t="s">
        <v>4779</v>
      </c>
    </row>
    <row r="676" spans="1:18" s="205" customFormat="1" x14ac:dyDescent="0.2">
      <c r="A676" s="205" t="s">
        <v>5725</v>
      </c>
      <c r="B676" s="205" t="s">
        <v>229</v>
      </c>
      <c r="C676" s="200">
        <v>45470</v>
      </c>
      <c r="D676" s="199" t="s">
        <v>152</v>
      </c>
      <c r="E676" s="206">
        <v>110895</v>
      </c>
      <c r="F676" s="206">
        <v>11090</v>
      </c>
      <c r="G676" s="206">
        <v>554</v>
      </c>
      <c r="H676" s="202">
        <f t="shared" si="10"/>
        <v>100359</v>
      </c>
      <c r="I676" s="205" t="s">
        <v>38</v>
      </c>
      <c r="J676" s="205" t="s">
        <v>23</v>
      </c>
      <c r="K676" s="199" t="s">
        <v>1042</v>
      </c>
      <c r="L676" s="205" t="s">
        <v>5726</v>
      </c>
      <c r="M676" s="201" t="s">
        <v>1030</v>
      </c>
      <c r="N676" s="205" t="s">
        <v>652</v>
      </c>
      <c r="O676" s="205" t="s">
        <v>652</v>
      </c>
      <c r="P676" s="208" t="s">
        <v>1534</v>
      </c>
      <c r="Q676" s="208" t="s">
        <v>3748</v>
      </c>
      <c r="R676" s="208" t="s">
        <v>4779</v>
      </c>
    </row>
    <row r="677" spans="1:18" s="205" customFormat="1" x14ac:dyDescent="0.2">
      <c r="A677" s="209" t="s">
        <v>145</v>
      </c>
      <c r="B677" s="209" t="s">
        <v>543</v>
      </c>
      <c r="C677" s="210">
        <v>45470</v>
      </c>
      <c r="D677" s="199" t="s">
        <v>152</v>
      </c>
      <c r="E677" s="211">
        <v>34973</v>
      </c>
      <c r="F677" s="206">
        <v>3497</v>
      </c>
      <c r="G677" s="206">
        <v>175</v>
      </c>
      <c r="H677" s="202">
        <f t="shared" si="10"/>
        <v>31651</v>
      </c>
      <c r="I677" s="209" t="s">
        <v>38</v>
      </c>
      <c r="J677" s="209" t="s">
        <v>23</v>
      </c>
      <c r="K677" s="201" t="s">
        <v>1042</v>
      </c>
      <c r="L677" s="209" t="s">
        <v>5727</v>
      </c>
      <c r="M677" s="201" t="s">
        <v>1030</v>
      </c>
      <c r="N677" s="209" t="s">
        <v>652</v>
      </c>
      <c r="O677" s="209" t="s">
        <v>652</v>
      </c>
      <c r="P677" s="213" t="s">
        <v>812</v>
      </c>
      <c r="Q677" s="213" t="s">
        <v>857</v>
      </c>
      <c r="R677" s="213" t="s">
        <v>4779</v>
      </c>
    </row>
    <row r="678" spans="1:18" s="205" customFormat="1" x14ac:dyDescent="0.2">
      <c r="A678" s="205" t="s">
        <v>79</v>
      </c>
      <c r="B678" s="205" t="s">
        <v>535</v>
      </c>
      <c r="C678" s="200">
        <v>45471</v>
      </c>
      <c r="D678" s="199" t="s">
        <v>152</v>
      </c>
      <c r="E678" s="206">
        <v>70046</v>
      </c>
      <c r="F678" s="206">
        <v>7005</v>
      </c>
      <c r="G678" s="206">
        <v>350</v>
      </c>
      <c r="H678" s="202">
        <f t="shared" si="10"/>
        <v>63391</v>
      </c>
      <c r="I678" s="205" t="s">
        <v>22</v>
      </c>
      <c r="J678" s="205" t="s">
        <v>23</v>
      </c>
      <c r="K678" s="201" t="s">
        <v>1042</v>
      </c>
      <c r="L678" s="205" t="s">
        <v>5728</v>
      </c>
      <c r="M678" s="201" t="s">
        <v>1030</v>
      </c>
      <c r="N678" s="205" t="s">
        <v>652</v>
      </c>
      <c r="O678" s="205" t="s">
        <v>652</v>
      </c>
      <c r="P678" s="208" t="s">
        <v>674</v>
      </c>
      <c r="Q678" s="208" t="s">
        <v>675</v>
      </c>
      <c r="R678" s="208" t="s">
        <v>4782</v>
      </c>
    </row>
    <row r="679" spans="1:18" s="205" customFormat="1" x14ac:dyDescent="0.2">
      <c r="A679" s="205" t="s">
        <v>5729</v>
      </c>
      <c r="B679" s="205" t="s">
        <v>5730</v>
      </c>
      <c r="C679" s="200">
        <v>45472</v>
      </c>
      <c r="D679" s="199" t="s">
        <v>152</v>
      </c>
      <c r="E679" s="206">
        <v>137377</v>
      </c>
      <c r="F679" s="206">
        <v>13738</v>
      </c>
      <c r="G679" s="206">
        <v>687</v>
      </c>
      <c r="H679" s="202">
        <f t="shared" si="10"/>
        <v>124326</v>
      </c>
      <c r="I679" s="205" t="s">
        <v>5731</v>
      </c>
      <c r="J679" s="205" t="s">
        <v>23</v>
      </c>
      <c r="K679" s="201" t="s">
        <v>1028</v>
      </c>
      <c r="L679" s="205" t="s">
        <v>5732</v>
      </c>
      <c r="M679" s="201" t="s">
        <v>2041</v>
      </c>
      <c r="N679" s="205" t="s">
        <v>652</v>
      </c>
      <c r="O679" s="205" t="s">
        <v>652</v>
      </c>
      <c r="P679" s="208" t="s">
        <v>4450</v>
      </c>
      <c r="Q679" s="208" t="s">
        <v>4451</v>
      </c>
      <c r="R679" s="208" t="s">
        <v>845</v>
      </c>
    </row>
    <row r="680" spans="1:18" s="205" customFormat="1" x14ac:dyDescent="0.2">
      <c r="A680" s="205" t="s">
        <v>5733</v>
      </c>
      <c r="B680" s="205" t="s">
        <v>5734</v>
      </c>
      <c r="C680" s="200">
        <v>45472</v>
      </c>
      <c r="D680" s="199" t="s">
        <v>152</v>
      </c>
      <c r="E680" s="206">
        <v>51703</v>
      </c>
      <c r="F680" s="206">
        <v>5170</v>
      </c>
      <c r="G680" s="206">
        <v>259</v>
      </c>
      <c r="H680" s="202">
        <f t="shared" si="10"/>
        <v>46792</v>
      </c>
      <c r="I680" s="205" t="s">
        <v>37</v>
      </c>
      <c r="J680" s="205" t="s">
        <v>23</v>
      </c>
      <c r="K680" s="199" t="s">
        <v>1028</v>
      </c>
      <c r="L680" s="205" t="s">
        <v>5735</v>
      </c>
      <c r="M680" s="201" t="s">
        <v>1030</v>
      </c>
      <c r="N680" s="205" t="s">
        <v>652</v>
      </c>
      <c r="O680" s="205" t="s">
        <v>652</v>
      </c>
      <c r="P680" s="208" t="s">
        <v>1534</v>
      </c>
      <c r="Q680" s="208" t="s">
        <v>3748</v>
      </c>
      <c r="R680" s="208" t="s">
        <v>886</v>
      </c>
    </row>
    <row r="681" spans="1:18" s="205" customFormat="1" x14ac:dyDescent="0.2">
      <c r="A681" s="205" t="s">
        <v>5736</v>
      </c>
      <c r="B681" s="205" t="s">
        <v>5737</v>
      </c>
      <c r="C681" s="200">
        <v>45472</v>
      </c>
      <c r="D681" s="199" t="s">
        <v>152</v>
      </c>
      <c r="E681" s="206">
        <v>184824</v>
      </c>
      <c r="F681" s="206">
        <v>18482</v>
      </c>
      <c r="G681" s="206">
        <v>924</v>
      </c>
      <c r="H681" s="202">
        <f t="shared" si="10"/>
        <v>167266</v>
      </c>
      <c r="I681" s="205" t="s">
        <v>101</v>
      </c>
      <c r="J681" s="205" t="s">
        <v>23</v>
      </c>
      <c r="K681" s="199" t="s">
        <v>1028</v>
      </c>
      <c r="L681" s="205" t="s">
        <v>5738</v>
      </c>
      <c r="M681" s="201" t="s">
        <v>1030</v>
      </c>
      <c r="N681" s="205" t="s">
        <v>652</v>
      </c>
      <c r="O681" s="205" t="s">
        <v>652</v>
      </c>
      <c r="P681" s="208" t="s">
        <v>4635</v>
      </c>
      <c r="Q681" s="208" t="s">
        <v>4683</v>
      </c>
      <c r="R681" s="208" t="s">
        <v>4782</v>
      </c>
    </row>
    <row r="682" spans="1:18" s="205" customFormat="1" x14ac:dyDescent="0.2">
      <c r="A682" s="205" t="s">
        <v>362</v>
      </c>
      <c r="B682" s="205" t="s">
        <v>5739</v>
      </c>
      <c r="C682" s="200">
        <v>45472</v>
      </c>
      <c r="D682" s="199" t="s">
        <v>152</v>
      </c>
      <c r="E682" s="206">
        <v>130492</v>
      </c>
      <c r="F682" s="206">
        <v>13049</v>
      </c>
      <c r="G682" s="206">
        <v>652</v>
      </c>
      <c r="H682" s="202">
        <f t="shared" si="10"/>
        <v>118095</v>
      </c>
      <c r="I682" s="205" t="s">
        <v>108</v>
      </c>
      <c r="J682" s="205" t="s">
        <v>23</v>
      </c>
      <c r="K682" s="199" t="s">
        <v>1028</v>
      </c>
      <c r="L682" s="205" t="s">
        <v>5740</v>
      </c>
      <c r="M682" s="201" t="s">
        <v>1030</v>
      </c>
      <c r="N682" s="205" t="s">
        <v>652</v>
      </c>
      <c r="O682" s="205" t="s">
        <v>652</v>
      </c>
      <c r="P682" s="208" t="s">
        <v>5741</v>
      </c>
      <c r="Q682" s="208" t="s">
        <v>5742</v>
      </c>
      <c r="R682" s="208" t="s">
        <v>4801</v>
      </c>
    </row>
    <row r="683" spans="1:18" s="205" customFormat="1" x14ac:dyDescent="0.2">
      <c r="A683" s="205" t="s">
        <v>5743</v>
      </c>
      <c r="B683" s="205" t="s">
        <v>5744</v>
      </c>
      <c r="C683" s="200">
        <v>45472</v>
      </c>
      <c r="D683" s="199" t="s">
        <v>152</v>
      </c>
      <c r="E683" s="206">
        <v>52204</v>
      </c>
      <c r="F683" s="206">
        <v>5220</v>
      </c>
      <c r="G683" s="206">
        <v>261</v>
      </c>
      <c r="H683" s="202">
        <f t="shared" si="10"/>
        <v>47245</v>
      </c>
      <c r="I683" s="205" t="s">
        <v>37</v>
      </c>
      <c r="J683" s="205" t="s">
        <v>23</v>
      </c>
      <c r="K683" s="199" t="s">
        <v>1028</v>
      </c>
      <c r="L683" s="205" t="s">
        <v>5745</v>
      </c>
      <c r="M683" s="201" t="s">
        <v>1030</v>
      </c>
      <c r="N683" s="205" t="s">
        <v>652</v>
      </c>
      <c r="O683" s="205" t="s">
        <v>652</v>
      </c>
      <c r="P683" s="208" t="s">
        <v>4516</v>
      </c>
      <c r="Q683" s="208" t="s">
        <v>4612</v>
      </c>
      <c r="R683" s="208" t="s">
        <v>4801</v>
      </c>
    </row>
    <row r="684" spans="1:18" s="205" customFormat="1" x14ac:dyDescent="0.2">
      <c r="A684" s="209" t="s">
        <v>4886</v>
      </c>
      <c r="B684" s="209" t="s">
        <v>4887</v>
      </c>
      <c r="C684" s="210">
        <v>45472</v>
      </c>
      <c r="D684" s="199" t="s">
        <v>152</v>
      </c>
      <c r="E684" s="211">
        <v>24024</v>
      </c>
      <c r="F684" s="211">
        <v>2402</v>
      </c>
      <c r="G684" s="211">
        <v>120</v>
      </c>
      <c r="H684" s="202">
        <f t="shared" si="10"/>
        <v>21742</v>
      </c>
      <c r="I684" s="209" t="s">
        <v>94</v>
      </c>
      <c r="J684" s="209" t="s">
        <v>23</v>
      </c>
      <c r="K684" s="201" t="s">
        <v>1042</v>
      </c>
      <c r="L684" s="209" t="s">
        <v>5746</v>
      </c>
      <c r="M684" s="201" t="s">
        <v>1393</v>
      </c>
      <c r="N684" s="209" t="s">
        <v>4889</v>
      </c>
      <c r="O684" s="209" t="s">
        <v>1115</v>
      </c>
      <c r="P684" s="213" t="s">
        <v>1534</v>
      </c>
      <c r="Q684" s="213" t="s">
        <v>3748</v>
      </c>
      <c r="R684" s="213" t="s">
        <v>4801</v>
      </c>
    </row>
    <row r="685" spans="1:18" s="205" customFormat="1" x14ac:dyDescent="0.2">
      <c r="A685" s="205" t="s">
        <v>147</v>
      </c>
      <c r="B685" s="205" t="s">
        <v>389</v>
      </c>
      <c r="C685" s="200">
        <v>45472</v>
      </c>
      <c r="D685" s="199" t="s">
        <v>152</v>
      </c>
      <c r="E685" s="206">
        <v>4624</v>
      </c>
      <c r="F685" s="206">
        <v>462</v>
      </c>
      <c r="G685" s="206">
        <v>23</v>
      </c>
      <c r="H685" s="202">
        <f t="shared" si="10"/>
        <v>4185</v>
      </c>
      <c r="I685" s="205" t="s">
        <v>54</v>
      </c>
      <c r="J685" s="205" t="s">
        <v>23</v>
      </c>
      <c r="K685" s="201" t="s">
        <v>1042</v>
      </c>
      <c r="L685" s="205" t="s">
        <v>5747</v>
      </c>
      <c r="M685" s="201" t="s">
        <v>1030</v>
      </c>
      <c r="N685" s="205" t="s">
        <v>652</v>
      </c>
      <c r="O685" s="205" t="s">
        <v>652</v>
      </c>
      <c r="P685" s="208" t="s">
        <v>701</v>
      </c>
      <c r="Q685" s="208" t="s">
        <v>702</v>
      </c>
      <c r="R685" s="208" t="s">
        <v>4801</v>
      </c>
    </row>
    <row r="686" spans="1:18" s="205" customFormat="1" x14ac:dyDescent="0.2">
      <c r="A686" s="205" t="s">
        <v>84</v>
      </c>
      <c r="B686" s="205" t="s">
        <v>540</v>
      </c>
      <c r="C686" s="200">
        <v>45472</v>
      </c>
      <c r="D686" s="199" t="s">
        <v>152</v>
      </c>
      <c r="E686" s="206">
        <v>413919</v>
      </c>
      <c r="F686" s="206">
        <v>41392</v>
      </c>
      <c r="G686" s="206">
        <v>2070</v>
      </c>
      <c r="H686" s="202">
        <f t="shared" si="10"/>
        <v>374597</v>
      </c>
      <c r="I686" s="205" t="s">
        <v>66</v>
      </c>
      <c r="J686" s="205" t="s">
        <v>23</v>
      </c>
      <c r="K686" s="201" t="s">
        <v>1042</v>
      </c>
      <c r="L686" s="205" t="s">
        <v>5748</v>
      </c>
      <c r="M686" s="201" t="s">
        <v>1030</v>
      </c>
      <c r="N686" s="205" t="s">
        <v>652</v>
      </c>
      <c r="O686" s="205" t="s">
        <v>652</v>
      </c>
      <c r="P686" s="208" t="s">
        <v>688</v>
      </c>
      <c r="Q686" s="208" t="s">
        <v>689</v>
      </c>
      <c r="R686" s="208" t="s">
        <v>4801</v>
      </c>
    </row>
    <row r="687" spans="1:18" s="205" customFormat="1" x14ac:dyDescent="0.2">
      <c r="A687" s="205" t="s">
        <v>504</v>
      </c>
      <c r="B687" s="205" t="s">
        <v>587</v>
      </c>
      <c r="C687" s="200">
        <v>45472</v>
      </c>
      <c r="D687" s="199" t="s">
        <v>152</v>
      </c>
      <c r="E687" s="206">
        <v>18101</v>
      </c>
      <c r="F687" s="206">
        <v>1810</v>
      </c>
      <c r="G687" s="206">
        <v>91</v>
      </c>
      <c r="H687" s="202">
        <f t="shared" si="10"/>
        <v>16382</v>
      </c>
      <c r="I687" s="205" t="s">
        <v>22</v>
      </c>
      <c r="J687" s="205" t="s">
        <v>23</v>
      </c>
      <c r="K687" s="201" t="s">
        <v>1042</v>
      </c>
      <c r="L687" s="205" t="s">
        <v>5749</v>
      </c>
      <c r="M687" s="201" t="s">
        <v>1030</v>
      </c>
      <c r="N687" s="205" t="s">
        <v>652</v>
      </c>
      <c r="O687" s="205" t="s">
        <v>652</v>
      </c>
      <c r="P687" s="208" t="s">
        <v>653</v>
      </c>
      <c r="Q687" s="208" t="s">
        <v>654</v>
      </c>
      <c r="R687" s="208" t="s">
        <v>4801</v>
      </c>
    </row>
    <row r="688" spans="1:18" s="205" customFormat="1" x14ac:dyDescent="0.2">
      <c r="A688" s="205" t="s">
        <v>294</v>
      </c>
      <c r="B688" s="205" t="s">
        <v>2801</v>
      </c>
      <c r="C688" s="200">
        <v>45472</v>
      </c>
      <c r="D688" s="199" t="s">
        <v>152</v>
      </c>
      <c r="E688" s="206">
        <v>238542</v>
      </c>
      <c r="F688" s="206">
        <v>23854</v>
      </c>
      <c r="G688" s="206">
        <v>1193</v>
      </c>
      <c r="H688" s="202">
        <f t="shared" si="10"/>
        <v>215881</v>
      </c>
      <c r="I688" s="205" t="s">
        <v>22</v>
      </c>
      <c r="J688" s="205" t="s">
        <v>23</v>
      </c>
      <c r="K688" s="201" t="s">
        <v>1042</v>
      </c>
      <c r="L688" s="205" t="s">
        <v>5750</v>
      </c>
      <c r="M688" s="201" t="s">
        <v>1030</v>
      </c>
      <c r="N688" s="205" t="s">
        <v>652</v>
      </c>
      <c r="O688" s="205" t="s">
        <v>652</v>
      </c>
      <c r="P688" s="208" t="s">
        <v>755</v>
      </c>
      <c r="Q688" s="208" t="s">
        <v>2803</v>
      </c>
      <c r="R688" s="208" t="s">
        <v>4801</v>
      </c>
    </row>
    <row r="689" spans="1:18" s="205" customFormat="1" x14ac:dyDescent="0.2">
      <c r="A689" s="205" t="s">
        <v>213</v>
      </c>
      <c r="B689" s="205" t="s">
        <v>972</v>
      </c>
      <c r="C689" s="200">
        <v>45472</v>
      </c>
      <c r="D689" s="199" t="s">
        <v>152</v>
      </c>
      <c r="E689" s="206">
        <v>47534</v>
      </c>
      <c r="F689" s="206">
        <v>4753</v>
      </c>
      <c r="G689" s="206">
        <v>238</v>
      </c>
      <c r="H689" s="202">
        <f t="shared" si="10"/>
        <v>43019</v>
      </c>
      <c r="I689" s="205" t="s">
        <v>22</v>
      </c>
      <c r="J689" s="205" t="s">
        <v>23</v>
      </c>
      <c r="K689" s="201" t="s">
        <v>1042</v>
      </c>
      <c r="L689" s="205" t="s">
        <v>5751</v>
      </c>
      <c r="M689" s="201" t="s">
        <v>1030</v>
      </c>
      <c r="N689" s="205" t="s">
        <v>652</v>
      </c>
      <c r="O689" s="205" t="s">
        <v>652</v>
      </c>
      <c r="P689" s="208" t="s">
        <v>879</v>
      </c>
      <c r="Q689" s="208" t="s">
        <v>971</v>
      </c>
      <c r="R689" s="208" t="s">
        <v>4801</v>
      </c>
    </row>
    <row r="690" spans="1:18" s="205" customFormat="1" x14ac:dyDescent="0.2">
      <c r="A690" s="205" t="s">
        <v>5752</v>
      </c>
      <c r="B690" s="205" t="s">
        <v>248</v>
      </c>
      <c r="C690" s="200">
        <v>45472</v>
      </c>
      <c r="D690" s="199" t="s">
        <v>152</v>
      </c>
      <c r="E690" s="206">
        <v>57986</v>
      </c>
      <c r="F690" s="206">
        <v>5799</v>
      </c>
      <c r="G690" s="206">
        <v>290</v>
      </c>
      <c r="H690" s="202">
        <f t="shared" si="10"/>
        <v>52477</v>
      </c>
      <c r="I690" s="205" t="s">
        <v>193</v>
      </c>
      <c r="J690" s="205" t="s">
        <v>23</v>
      </c>
      <c r="K690" s="201" t="s">
        <v>1058</v>
      </c>
      <c r="L690" s="205" t="s">
        <v>5753</v>
      </c>
      <c r="M690" s="201" t="s">
        <v>1030</v>
      </c>
      <c r="N690" s="205" t="s">
        <v>652</v>
      </c>
      <c r="O690" s="205" t="s">
        <v>652</v>
      </c>
      <c r="P690" s="208" t="s">
        <v>718</v>
      </c>
      <c r="Q690" s="208" t="s">
        <v>719</v>
      </c>
      <c r="R690" s="208" t="s">
        <v>4801</v>
      </c>
    </row>
    <row r="691" spans="1:18" s="205" customFormat="1" x14ac:dyDescent="0.2">
      <c r="A691" s="205" t="s">
        <v>1008</v>
      </c>
      <c r="B691" s="205" t="s">
        <v>5754</v>
      </c>
      <c r="C691" s="200">
        <v>45472</v>
      </c>
      <c r="D691" s="199" t="s">
        <v>152</v>
      </c>
      <c r="E691" s="206">
        <v>89747</v>
      </c>
      <c r="F691" s="206">
        <v>8975</v>
      </c>
      <c r="G691" s="206">
        <v>449</v>
      </c>
      <c r="H691" s="202">
        <f t="shared" si="10"/>
        <v>81221</v>
      </c>
      <c r="I691" s="205" t="s">
        <v>44</v>
      </c>
      <c r="J691" s="205" t="s">
        <v>23</v>
      </c>
      <c r="K691" s="201" t="s">
        <v>1028</v>
      </c>
      <c r="L691" s="205" t="s">
        <v>5755</v>
      </c>
      <c r="M691" s="201" t="s">
        <v>1030</v>
      </c>
      <c r="N691" s="205" t="s">
        <v>652</v>
      </c>
      <c r="O691" s="205" t="s">
        <v>652</v>
      </c>
      <c r="P691" s="208" t="s">
        <v>678</v>
      </c>
      <c r="Q691" s="208" t="s">
        <v>3954</v>
      </c>
      <c r="R691" s="208" t="s">
        <v>4801</v>
      </c>
    </row>
    <row r="692" spans="1:18" s="205" customFormat="1" x14ac:dyDescent="0.2">
      <c r="A692" s="205" t="s">
        <v>466</v>
      </c>
      <c r="B692" s="205" t="s">
        <v>643</v>
      </c>
      <c r="C692" s="200">
        <v>45472</v>
      </c>
      <c r="D692" s="199" t="s">
        <v>152</v>
      </c>
      <c r="E692" s="206">
        <v>16459</v>
      </c>
      <c r="F692" s="206">
        <v>1646</v>
      </c>
      <c r="G692" s="206">
        <v>82</v>
      </c>
      <c r="H692" s="202">
        <f t="shared" si="10"/>
        <v>14895</v>
      </c>
      <c r="I692" s="205" t="s">
        <v>54</v>
      </c>
      <c r="J692" s="205" t="s">
        <v>23</v>
      </c>
      <c r="K692" s="201" t="s">
        <v>1042</v>
      </c>
      <c r="L692" s="205" t="s">
        <v>5756</v>
      </c>
      <c r="M692" s="201" t="s">
        <v>1030</v>
      </c>
      <c r="N692" s="205" t="s">
        <v>652</v>
      </c>
      <c r="O692" s="205" t="s">
        <v>652</v>
      </c>
      <c r="P692" s="208" t="s">
        <v>681</v>
      </c>
      <c r="Q692" s="208" t="s">
        <v>682</v>
      </c>
      <c r="R692" s="208" t="s">
        <v>4801</v>
      </c>
    </row>
    <row r="693" spans="1:18" s="205" customFormat="1" x14ac:dyDescent="0.2">
      <c r="A693" s="205" t="s">
        <v>97</v>
      </c>
      <c r="B693" s="205" t="s">
        <v>2714</v>
      </c>
      <c r="C693" s="200">
        <v>45472</v>
      </c>
      <c r="D693" s="199" t="s">
        <v>152</v>
      </c>
      <c r="E693" s="206">
        <v>220526</v>
      </c>
      <c r="F693" s="206">
        <v>22053</v>
      </c>
      <c r="G693" s="206">
        <v>1103</v>
      </c>
      <c r="H693" s="202">
        <f t="shared" si="10"/>
        <v>199576</v>
      </c>
      <c r="I693" s="205" t="s">
        <v>54</v>
      </c>
      <c r="J693" s="205" t="s">
        <v>23</v>
      </c>
      <c r="K693" s="201" t="s">
        <v>1042</v>
      </c>
      <c r="L693" s="205" t="s">
        <v>5757</v>
      </c>
      <c r="M693" s="201" t="s">
        <v>1030</v>
      </c>
      <c r="N693" s="205" t="s">
        <v>652</v>
      </c>
      <c r="O693" s="205" t="s">
        <v>652</v>
      </c>
      <c r="P693" s="208" t="s">
        <v>2716</v>
      </c>
      <c r="Q693" s="208" t="s">
        <v>2717</v>
      </c>
      <c r="R693" s="208" t="s">
        <v>4801</v>
      </c>
    </row>
    <row r="694" spans="1:18" s="205" customFormat="1" x14ac:dyDescent="0.2">
      <c r="A694" s="205" t="s">
        <v>47</v>
      </c>
      <c r="B694" s="205" t="s">
        <v>5758</v>
      </c>
      <c r="C694" s="200">
        <v>45472</v>
      </c>
      <c r="D694" s="199" t="s">
        <v>152</v>
      </c>
      <c r="E694" s="206">
        <v>2085141</v>
      </c>
      <c r="F694" s="206">
        <v>208514</v>
      </c>
      <c r="G694" s="206">
        <v>10426</v>
      </c>
      <c r="H694" s="202">
        <f t="shared" si="10"/>
        <v>1887053</v>
      </c>
      <c r="I694" s="205" t="s">
        <v>48</v>
      </c>
      <c r="J694" s="205" t="s">
        <v>23</v>
      </c>
      <c r="K694" s="209" t="s">
        <v>1028</v>
      </c>
      <c r="L694" s="205" t="s">
        <v>5759</v>
      </c>
      <c r="M694" s="201" t="s">
        <v>1030</v>
      </c>
      <c r="N694" s="205" t="s">
        <v>652</v>
      </c>
      <c r="O694" s="205" t="s">
        <v>652</v>
      </c>
      <c r="P694" s="208" t="s">
        <v>4779</v>
      </c>
      <c r="Q694" s="208" t="s">
        <v>5760</v>
      </c>
      <c r="R694" s="208" t="s">
        <v>4801</v>
      </c>
    </row>
    <row r="695" spans="1:18" s="205" customFormat="1" x14ac:dyDescent="0.2">
      <c r="A695" s="205" t="s">
        <v>266</v>
      </c>
      <c r="B695" s="205" t="s">
        <v>2651</v>
      </c>
      <c r="C695" s="200">
        <v>45472</v>
      </c>
      <c r="D695" s="199" t="s">
        <v>152</v>
      </c>
      <c r="E695" s="206">
        <v>40425</v>
      </c>
      <c r="F695" s="206">
        <v>4043</v>
      </c>
      <c r="G695" s="206">
        <v>202</v>
      </c>
      <c r="H695" s="202">
        <f t="shared" si="10"/>
        <v>36584</v>
      </c>
      <c r="I695" s="205" t="s">
        <v>59</v>
      </c>
      <c r="J695" s="205" t="s">
        <v>23</v>
      </c>
      <c r="K695" s="209" t="s">
        <v>1042</v>
      </c>
      <c r="L695" s="205" t="s">
        <v>5761</v>
      </c>
      <c r="M695" s="201" t="s">
        <v>1030</v>
      </c>
      <c r="N695" s="205" t="s">
        <v>652</v>
      </c>
      <c r="O695" s="205" t="s">
        <v>652</v>
      </c>
      <c r="P695" s="208" t="s">
        <v>2191</v>
      </c>
      <c r="Q695" s="208" t="s">
        <v>2192</v>
      </c>
      <c r="R695" s="208" t="s">
        <v>4801</v>
      </c>
    </row>
    <row r="696" spans="1:18" s="205" customFormat="1" x14ac:dyDescent="0.2">
      <c r="A696" s="205" t="s">
        <v>378</v>
      </c>
      <c r="B696" s="205" t="s">
        <v>377</v>
      </c>
      <c r="C696" s="200">
        <v>45472</v>
      </c>
      <c r="D696" s="199" t="s">
        <v>152</v>
      </c>
      <c r="E696" s="206">
        <v>12989</v>
      </c>
      <c r="F696" s="206">
        <v>1299</v>
      </c>
      <c r="G696" s="206">
        <v>65</v>
      </c>
      <c r="H696" s="202">
        <f t="shared" si="10"/>
        <v>11755</v>
      </c>
      <c r="I696" s="205" t="s">
        <v>94</v>
      </c>
      <c r="J696" s="205" t="s">
        <v>23</v>
      </c>
      <c r="K696" s="209" t="s">
        <v>1042</v>
      </c>
      <c r="L696" s="205" t="s">
        <v>5762</v>
      </c>
      <c r="M696" s="201" t="s">
        <v>1030</v>
      </c>
      <c r="N696" s="205" t="s">
        <v>1190</v>
      </c>
      <c r="O696" s="205" t="s">
        <v>1191</v>
      </c>
      <c r="P696" s="208" t="s">
        <v>498</v>
      </c>
      <c r="Q696" s="208" t="s">
        <v>828</v>
      </c>
      <c r="R696" s="208" t="s">
        <v>4801</v>
      </c>
    </row>
    <row r="697" spans="1:18" s="205" customFormat="1" x14ac:dyDescent="0.2">
      <c r="A697" s="205" t="s">
        <v>5763</v>
      </c>
      <c r="B697" s="205" t="s">
        <v>5764</v>
      </c>
      <c r="C697" s="200">
        <v>45472</v>
      </c>
      <c r="D697" s="199" t="s">
        <v>152</v>
      </c>
      <c r="E697" s="206">
        <v>656188</v>
      </c>
      <c r="F697" s="206">
        <v>65619</v>
      </c>
      <c r="G697" s="206">
        <v>3281</v>
      </c>
      <c r="H697" s="202">
        <f t="shared" si="10"/>
        <v>593850</v>
      </c>
      <c r="I697" s="205" t="s">
        <v>54</v>
      </c>
      <c r="J697" s="205" t="s">
        <v>23</v>
      </c>
      <c r="K697" s="209" t="s">
        <v>1028</v>
      </c>
      <c r="L697" s="205" t="s">
        <v>5765</v>
      </c>
      <c r="M697" s="201" t="s">
        <v>1030</v>
      </c>
      <c r="N697" s="205" t="s">
        <v>652</v>
      </c>
      <c r="O697" s="205" t="s">
        <v>652</v>
      </c>
      <c r="P697" s="208" t="s">
        <v>4481</v>
      </c>
      <c r="Q697" s="208" t="s">
        <v>4486</v>
      </c>
      <c r="R697" s="208" t="s">
        <v>4801</v>
      </c>
    </row>
    <row r="698" spans="1:18" s="205" customFormat="1" x14ac:dyDescent="0.2">
      <c r="A698" s="205" t="s">
        <v>5766</v>
      </c>
      <c r="B698" s="205" t="s">
        <v>5767</v>
      </c>
      <c r="C698" s="200">
        <v>45472</v>
      </c>
      <c r="D698" s="199" t="s">
        <v>152</v>
      </c>
      <c r="E698" s="206">
        <v>79184</v>
      </c>
      <c r="F698" s="206">
        <v>7918</v>
      </c>
      <c r="G698" s="206">
        <v>396</v>
      </c>
      <c r="H698" s="202">
        <f t="shared" si="10"/>
        <v>71662</v>
      </c>
      <c r="I698" s="205" t="s">
        <v>59</v>
      </c>
      <c r="J698" s="205" t="s">
        <v>23</v>
      </c>
      <c r="K698" s="209" t="s">
        <v>1058</v>
      </c>
      <c r="L698" s="205" t="s">
        <v>5768</v>
      </c>
      <c r="M698" s="201" t="s">
        <v>1030</v>
      </c>
      <c r="N698" s="205" t="s">
        <v>652</v>
      </c>
      <c r="O698" s="205" t="s">
        <v>652</v>
      </c>
      <c r="P698" s="208" t="s">
        <v>4779</v>
      </c>
      <c r="Q698" s="208" t="s">
        <v>5760</v>
      </c>
      <c r="R698" s="208" t="s">
        <v>4801</v>
      </c>
    </row>
    <row r="699" spans="1:18" s="205" customFormat="1" x14ac:dyDescent="0.2">
      <c r="A699" s="205" t="s">
        <v>5769</v>
      </c>
      <c r="B699" s="205" t="s">
        <v>5770</v>
      </c>
      <c r="C699" s="200">
        <v>45472</v>
      </c>
      <c r="D699" s="199" t="s">
        <v>152</v>
      </c>
      <c r="E699" s="206">
        <v>281915</v>
      </c>
      <c r="F699" s="206">
        <v>28192</v>
      </c>
      <c r="G699" s="206">
        <v>1410</v>
      </c>
      <c r="H699" s="202">
        <f t="shared" si="10"/>
        <v>255133</v>
      </c>
      <c r="I699" s="205" t="s">
        <v>74</v>
      </c>
      <c r="J699" s="205" t="s">
        <v>23</v>
      </c>
      <c r="K699" s="209" t="s">
        <v>1028</v>
      </c>
      <c r="L699" s="205" t="s">
        <v>5771</v>
      </c>
      <c r="M699" s="201" t="s">
        <v>1030</v>
      </c>
      <c r="N699" s="205" t="s">
        <v>652</v>
      </c>
      <c r="O699" s="205" t="s">
        <v>652</v>
      </c>
      <c r="P699" s="208" t="s">
        <v>1534</v>
      </c>
      <c r="Q699" s="208" t="s">
        <v>3748</v>
      </c>
      <c r="R699" s="208" t="s">
        <v>4801</v>
      </c>
    </row>
    <row r="700" spans="1:18" s="205" customFormat="1" x14ac:dyDescent="0.2">
      <c r="A700" s="205" t="s">
        <v>5772</v>
      </c>
      <c r="B700" s="205" t="s">
        <v>5773</v>
      </c>
      <c r="C700" s="200">
        <v>45472</v>
      </c>
      <c r="D700" s="199" t="s">
        <v>152</v>
      </c>
      <c r="E700" s="206">
        <v>35193</v>
      </c>
      <c r="F700" s="206">
        <v>3519</v>
      </c>
      <c r="G700" s="206">
        <v>176</v>
      </c>
      <c r="H700" s="202">
        <f t="shared" si="10"/>
        <v>31850</v>
      </c>
      <c r="I700" s="205" t="s">
        <v>103</v>
      </c>
      <c r="J700" s="205" t="s">
        <v>23</v>
      </c>
      <c r="K700" s="209" t="s">
        <v>1058</v>
      </c>
      <c r="L700" s="205" t="s">
        <v>5774</v>
      </c>
      <c r="M700" s="201" t="s">
        <v>1030</v>
      </c>
      <c r="N700" s="205" t="s">
        <v>652</v>
      </c>
      <c r="O700" s="205" t="s">
        <v>652</v>
      </c>
      <c r="P700" s="208" t="s">
        <v>2386</v>
      </c>
      <c r="Q700" s="208" t="s">
        <v>2387</v>
      </c>
      <c r="R700" s="208" t="s">
        <v>4801</v>
      </c>
    </row>
    <row r="701" spans="1:18" s="205" customFormat="1" x14ac:dyDescent="0.2">
      <c r="A701" s="205" t="s">
        <v>5775</v>
      </c>
      <c r="B701" s="205" t="s">
        <v>5776</v>
      </c>
      <c r="C701" s="200">
        <v>45473</v>
      </c>
      <c r="D701" s="199" t="s">
        <v>152</v>
      </c>
      <c r="E701" s="206">
        <v>81452</v>
      </c>
      <c r="F701" s="206">
        <v>8145</v>
      </c>
      <c r="G701" s="206">
        <v>407</v>
      </c>
      <c r="H701" s="202">
        <f t="shared" si="10"/>
        <v>73714</v>
      </c>
      <c r="I701" s="205" t="s">
        <v>292</v>
      </c>
      <c r="J701" s="205" t="s">
        <v>23</v>
      </c>
      <c r="K701" s="209" t="s">
        <v>1028</v>
      </c>
      <c r="L701" s="205" t="s">
        <v>5777</v>
      </c>
      <c r="M701" s="201" t="s">
        <v>1030</v>
      </c>
      <c r="N701" s="205" t="s">
        <v>652</v>
      </c>
      <c r="O701" s="205" t="s">
        <v>652</v>
      </c>
      <c r="P701" s="208" t="s">
        <v>4875</v>
      </c>
      <c r="Q701" s="208" t="s">
        <v>5778</v>
      </c>
      <c r="R701" s="208" t="s">
        <v>761</v>
      </c>
    </row>
    <row r="702" spans="1:18" s="205" customFormat="1" x14ac:dyDescent="0.2">
      <c r="A702" s="205" t="s">
        <v>518</v>
      </c>
      <c r="B702" s="205" t="s">
        <v>5779</v>
      </c>
      <c r="C702" s="200">
        <v>45473</v>
      </c>
      <c r="D702" s="199" t="s">
        <v>152</v>
      </c>
      <c r="E702" s="206">
        <v>62645</v>
      </c>
      <c r="F702" s="206">
        <v>6265</v>
      </c>
      <c r="G702" s="206">
        <v>313</v>
      </c>
      <c r="H702" s="202">
        <f t="shared" si="10"/>
        <v>56693</v>
      </c>
      <c r="I702" s="205" t="s">
        <v>292</v>
      </c>
      <c r="J702" s="205" t="s">
        <v>23</v>
      </c>
      <c r="K702" s="209" t="s">
        <v>1028</v>
      </c>
      <c r="L702" s="205" t="s">
        <v>5780</v>
      </c>
      <c r="M702" s="201" t="s">
        <v>1030</v>
      </c>
      <c r="N702" s="205" t="s">
        <v>652</v>
      </c>
      <c r="O702" s="205" t="s">
        <v>652</v>
      </c>
      <c r="P702" s="208" t="s">
        <v>4875</v>
      </c>
      <c r="Q702" s="208" t="s">
        <v>5778</v>
      </c>
      <c r="R702" s="208" t="s">
        <v>761</v>
      </c>
    </row>
    <row r="703" spans="1:18" s="205" customFormat="1" x14ac:dyDescent="0.2">
      <c r="A703" s="205" t="s">
        <v>5781</v>
      </c>
      <c r="B703" s="205" t="s">
        <v>5782</v>
      </c>
      <c r="C703" s="200">
        <v>45473</v>
      </c>
      <c r="D703" s="199" t="s">
        <v>152</v>
      </c>
      <c r="E703" s="206">
        <v>62052</v>
      </c>
      <c r="F703" s="206">
        <v>6205</v>
      </c>
      <c r="G703" s="206">
        <v>310</v>
      </c>
      <c r="H703" s="202">
        <f t="shared" si="10"/>
        <v>56157</v>
      </c>
      <c r="I703" s="205" t="s">
        <v>50</v>
      </c>
      <c r="J703" s="205" t="s">
        <v>23</v>
      </c>
      <c r="K703" s="209" t="s">
        <v>1028</v>
      </c>
      <c r="L703" s="205" t="s">
        <v>5783</v>
      </c>
      <c r="M703" s="201" t="s">
        <v>1030</v>
      </c>
      <c r="N703" s="205" t="s">
        <v>652</v>
      </c>
      <c r="O703" s="205" t="s">
        <v>652</v>
      </c>
      <c r="P703" s="208" t="s">
        <v>5784</v>
      </c>
      <c r="Q703" s="208" t="s">
        <v>5785</v>
      </c>
      <c r="R703" s="208" t="s">
        <v>884</v>
      </c>
    </row>
    <row r="704" spans="1:18" s="205" customFormat="1" x14ac:dyDescent="0.2">
      <c r="A704" s="205" t="s">
        <v>5786</v>
      </c>
      <c r="B704" s="205" t="s">
        <v>5787</v>
      </c>
      <c r="C704" s="200">
        <v>45473</v>
      </c>
      <c r="D704" s="199" t="s">
        <v>152</v>
      </c>
      <c r="E704" s="206">
        <v>130507</v>
      </c>
      <c r="F704" s="206">
        <v>13051</v>
      </c>
      <c r="G704" s="206">
        <v>653</v>
      </c>
      <c r="H704" s="202">
        <f t="shared" si="10"/>
        <v>118109</v>
      </c>
      <c r="I704" s="205" t="s">
        <v>5731</v>
      </c>
      <c r="J704" s="205" t="s">
        <v>23</v>
      </c>
      <c r="K704" s="209" t="s">
        <v>1028</v>
      </c>
      <c r="L704" s="205" t="s">
        <v>5788</v>
      </c>
      <c r="M704" s="201" t="s">
        <v>2041</v>
      </c>
      <c r="N704" s="205" t="s">
        <v>652</v>
      </c>
      <c r="O704" s="205" t="s">
        <v>652</v>
      </c>
      <c r="P704" s="208" t="s">
        <v>4450</v>
      </c>
      <c r="Q704" s="208" t="s">
        <v>4451</v>
      </c>
      <c r="R704" s="208" t="s">
        <v>4801</v>
      </c>
    </row>
    <row r="705" spans="1:18" s="205" customFormat="1" x14ac:dyDescent="0.2">
      <c r="A705" s="205" t="s">
        <v>215</v>
      </c>
      <c r="B705" s="205" t="s">
        <v>5789</v>
      </c>
      <c r="C705" s="200">
        <v>45473</v>
      </c>
      <c r="D705" s="199" t="s">
        <v>152</v>
      </c>
      <c r="E705" s="206">
        <v>873047</v>
      </c>
      <c r="F705" s="206">
        <v>87305</v>
      </c>
      <c r="G705" s="206">
        <v>4365</v>
      </c>
      <c r="H705" s="202">
        <f t="shared" si="10"/>
        <v>790107</v>
      </c>
      <c r="I705" s="205" t="s">
        <v>199</v>
      </c>
      <c r="J705" s="205" t="s">
        <v>23</v>
      </c>
      <c r="K705" s="209" t="s">
        <v>1028</v>
      </c>
      <c r="L705" s="205" t="s">
        <v>5790</v>
      </c>
      <c r="M705" s="201" t="s">
        <v>1030</v>
      </c>
      <c r="N705" s="205" t="s">
        <v>652</v>
      </c>
      <c r="O705" s="205" t="s">
        <v>652</v>
      </c>
      <c r="P705" s="208" t="s">
        <v>4764</v>
      </c>
      <c r="Q705" s="208" t="s">
        <v>5584</v>
      </c>
      <c r="R705" s="208" t="s">
        <v>697</v>
      </c>
    </row>
    <row r="706" spans="1:18" s="205" customFormat="1" x14ac:dyDescent="0.2">
      <c r="A706" s="205" t="s">
        <v>5791</v>
      </c>
      <c r="B706" s="205" t="s">
        <v>5792</v>
      </c>
      <c r="C706" s="200">
        <v>45473</v>
      </c>
      <c r="D706" s="199" t="s">
        <v>152</v>
      </c>
      <c r="E706" s="206">
        <v>69813</v>
      </c>
      <c r="F706" s="206">
        <v>6981</v>
      </c>
      <c r="G706" s="206">
        <v>349</v>
      </c>
      <c r="H706" s="202">
        <f t="shared" ref="H706:H769" si="11">E706+G706-F706</f>
        <v>63181</v>
      </c>
      <c r="I706" s="205" t="s">
        <v>74</v>
      </c>
      <c r="J706" s="205" t="s">
        <v>23</v>
      </c>
      <c r="K706" s="209" t="s">
        <v>1058</v>
      </c>
      <c r="L706" s="205" t="s">
        <v>5793</v>
      </c>
      <c r="M706" s="201" t="s">
        <v>1030</v>
      </c>
      <c r="N706" s="205" t="s">
        <v>652</v>
      </c>
      <c r="O706" s="205" t="s">
        <v>652</v>
      </c>
      <c r="P706" s="208" t="s">
        <v>861</v>
      </c>
      <c r="Q706" s="208" t="s">
        <v>4505</v>
      </c>
      <c r="R706" s="208" t="s">
        <v>697</v>
      </c>
    </row>
    <row r="707" spans="1:18" s="205" customFormat="1" x14ac:dyDescent="0.2">
      <c r="A707" s="205" t="s">
        <v>5794</v>
      </c>
      <c r="B707" s="205" t="s">
        <v>5795</v>
      </c>
      <c r="C707" s="200">
        <v>45473</v>
      </c>
      <c r="D707" s="199" t="s">
        <v>152</v>
      </c>
      <c r="E707" s="206">
        <v>39605</v>
      </c>
      <c r="F707" s="206">
        <v>3961</v>
      </c>
      <c r="G707" s="206">
        <v>198</v>
      </c>
      <c r="H707" s="202">
        <f t="shared" si="11"/>
        <v>35842</v>
      </c>
      <c r="I707" s="205" t="s">
        <v>37</v>
      </c>
      <c r="J707" s="205" t="s">
        <v>23</v>
      </c>
      <c r="K707" s="209" t="s">
        <v>1058</v>
      </c>
      <c r="L707" s="205" t="s">
        <v>5796</v>
      </c>
      <c r="M707" s="201" t="s">
        <v>1030</v>
      </c>
      <c r="N707" s="205" t="s">
        <v>652</v>
      </c>
      <c r="O707" s="205" t="s">
        <v>652</v>
      </c>
      <c r="P707" s="208" t="s">
        <v>761</v>
      </c>
      <c r="Q707" s="208" t="s">
        <v>5467</v>
      </c>
      <c r="R707" s="208" t="s">
        <v>697</v>
      </c>
    </row>
    <row r="708" spans="1:18" s="205" customFormat="1" x14ac:dyDescent="0.2">
      <c r="A708" s="205" t="s">
        <v>5797</v>
      </c>
      <c r="B708" s="205" t="s">
        <v>5798</v>
      </c>
      <c r="C708" s="200">
        <v>45473</v>
      </c>
      <c r="D708" s="199" t="s">
        <v>152</v>
      </c>
      <c r="E708" s="206">
        <v>39605</v>
      </c>
      <c r="F708" s="206">
        <v>3961</v>
      </c>
      <c r="G708" s="206">
        <v>198</v>
      </c>
      <c r="H708" s="202">
        <f t="shared" si="11"/>
        <v>35842</v>
      </c>
      <c r="I708" s="205" t="s">
        <v>37</v>
      </c>
      <c r="J708" s="205" t="s">
        <v>23</v>
      </c>
      <c r="K708" s="209" t="s">
        <v>1058</v>
      </c>
      <c r="L708" s="205" t="s">
        <v>5799</v>
      </c>
      <c r="M708" s="201" t="s">
        <v>1030</v>
      </c>
      <c r="N708" s="205" t="s">
        <v>652</v>
      </c>
      <c r="O708" s="205" t="s">
        <v>652</v>
      </c>
      <c r="P708" s="208" t="s">
        <v>761</v>
      </c>
      <c r="Q708" s="208" t="s">
        <v>5467</v>
      </c>
      <c r="R708" s="208" t="s">
        <v>697</v>
      </c>
    </row>
    <row r="709" spans="1:18" s="205" customFormat="1" x14ac:dyDescent="0.2">
      <c r="A709" s="205" t="s">
        <v>5800</v>
      </c>
      <c r="B709" s="205" t="s">
        <v>5801</v>
      </c>
      <c r="C709" s="200">
        <v>45473</v>
      </c>
      <c r="D709" s="199" t="s">
        <v>152</v>
      </c>
      <c r="E709" s="206">
        <v>112586</v>
      </c>
      <c r="F709" s="206">
        <v>11259</v>
      </c>
      <c r="G709" s="206">
        <v>563</v>
      </c>
      <c r="H709" s="202">
        <f t="shared" si="11"/>
        <v>101890</v>
      </c>
      <c r="I709" s="205" t="s">
        <v>54</v>
      </c>
      <c r="J709" s="205" t="s">
        <v>23</v>
      </c>
      <c r="K709" s="209" t="s">
        <v>1028</v>
      </c>
      <c r="L709" s="205" t="s">
        <v>5802</v>
      </c>
      <c r="M709" s="201" t="s">
        <v>1030</v>
      </c>
      <c r="N709" s="205" t="s">
        <v>652</v>
      </c>
      <c r="O709" s="205" t="s">
        <v>652</v>
      </c>
      <c r="P709" s="208" t="s">
        <v>722</v>
      </c>
      <c r="Q709" s="208" t="s">
        <v>723</v>
      </c>
      <c r="R709" s="208" t="s">
        <v>697</v>
      </c>
    </row>
    <row r="710" spans="1:18" s="205" customFormat="1" x14ac:dyDescent="0.2">
      <c r="A710" s="205" t="s">
        <v>5803</v>
      </c>
      <c r="B710" s="205" t="s">
        <v>5804</v>
      </c>
      <c r="C710" s="200">
        <v>45473</v>
      </c>
      <c r="D710" s="199" t="s">
        <v>152</v>
      </c>
      <c r="E710" s="206">
        <v>27214</v>
      </c>
      <c r="F710" s="206">
        <v>2721</v>
      </c>
      <c r="G710" s="206">
        <v>136</v>
      </c>
      <c r="H710" s="202">
        <f t="shared" si="11"/>
        <v>24629</v>
      </c>
      <c r="I710" s="205" t="s">
        <v>54</v>
      </c>
      <c r="J710" s="205" t="s">
        <v>23</v>
      </c>
      <c r="K710" s="209" t="s">
        <v>1028</v>
      </c>
      <c r="L710" s="205" t="s">
        <v>5805</v>
      </c>
      <c r="M710" s="201" t="s">
        <v>1030</v>
      </c>
      <c r="N710" s="205" t="s">
        <v>652</v>
      </c>
      <c r="O710" s="205" t="s">
        <v>652</v>
      </c>
      <c r="P710" s="208" t="s">
        <v>722</v>
      </c>
      <c r="Q710" s="208" t="s">
        <v>723</v>
      </c>
      <c r="R710" s="208" t="s">
        <v>697</v>
      </c>
    </row>
    <row r="711" spans="1:18" s="205" customFormat="1" x14ac:dyDescent="0.2">
      <c r="A711" s="205" t="s">
        <v>5806</v>
      </c>
      <c r="B711" s="205" t="s">
        <v>5807</v>
      </c>
      <c r="C711" s="200">
        <v>45473</v>
      </c>
      <c r="D711" s="199" t="s">
        <v>152</v>
      </c>
      <c r="E711" s="206">
        <v>29327</v>
      </c>
      <c r="F711" s="206">
        <v>2933</v>
      </c>
      <c r="G711" s="206">
        <v>147</v>
      </c>
      <c r="H711" s="202">
        <f t="shared" si="11"/>
        <v>26541</v>
      </c>
      <c r="I711" s="205" t="s">
        <v>22</v>
      </c>
      <c r="J711" s="205" t="s">
        <v>23</v>
      </c>
      <c r="K711" s="209" t="s">
        <v>1058</v>
      </c>
      <c r="L711" s="205" t="s">
        <v>5808</v>
      </c>
      <c r="M711" s="201" t="s">
        <v>1030</v>
      </c>
      <c r="N711" s="205" t="s">
        <v>652</v>
      </c>
      <c r="O711" s="205" t="s">
        <v>652</v>
      </c>
      <c r="P711" s="208" t="s">
        <v>1534</v>
      </c>
      <c r="Q711" s="208" t="s">
        <v>3748</v>
      </c>
      <c r="R711" s="208" t="s">
        <v>697</v>
      </c>
    </row>
    <row r="712" spans="1:18" s="205" customFormat="1" x14ac:dyDescent="0.2">
      <c r="A712" s="205" t="s">
        <v>5809</v>
      </c>
      <c r="B712" s="205" t="s">
        <v>5810</v>
      </c>
      <c r="C712" s="200">
        <v>45473</v>
      </c>
      <c r="D712" s="199" t="s">
        <v>152</v>
      </c>
      <c r="E712" s="206">
        <v>68648</v>
      </c>
      <c r="F712" s="206">
        <v>6865</v>
      </c>
      <c r="G712" s="206">
        <v>343</v>
      </c>
      <c r="H712" s="202">
        <f t="shared" si="11"/>
        <v>62126</v>
      </c>
      <c r="I712" s="205" t="s">
        <v>22</v>
      </c>
      <c r="J712" s="205" t="s">
        <v>23</v>
      </c>
      <c r="K712" s="209" t="s">
        <v>1058</v>
      </c>
      <c r="L712" s="205" t="s">
        <v>5811</v>
      </c>
      <c r="M712" s="201" t="s">
        <v>1030</v>
      </c>
      <c r="N712" s="205" t="s">
        <v>652</v>
      </c>
      <c r="O712" s="205" t="s">
        <v>652</v>
      </c>
      <c r="P712" s="208" t="s">
        <v>1534</v>
      </c>
      <c r="Q712" s="208" t="s">
        <v>3748</v>
      </c>
      <c r="R712" s="208" t="s">
        <v>697</v>
      </c>
    </row>
    <row r="713" spans="1:18" s="205" customFormat="1" x14ac:dyDescent="0.2">
      <c r="A713" s="205" t="s">
        <v>5812</v>
      </c>
      <c r="B713" s="205" t="s">
        <v>5813</v>
      </c>
      <c r="C713" s="200">
        <v>45473</v>
      </c>
      <c r="D713" s="199" t="s">
        <v>152</v>
      </c>
      <c r="E713" s="206">
        <v>31943</v>
      </c>
      <c r="F713" s="206">
        <v>3194</v>
      </c>
      <c r="G713" s="206">
        <v>160</v>
      </c>
      <c r="H713" s="202">
        <f t="shared" si="11"/>
        <v>28909</v>
      </c>
      <c r="I713" s="205" t="s">
        <v>22</v>
      </c>
      <c r="J713" s="205" t="s">
        <v>23</v>
      </c>
      <c r="K713" s="209" t="s">
        <v>1058</v>
      </c>
      <c r="L713" s="205" t="s">
        <v>5814</v>
      </c>
      <c r="M713" s="201" t="s">
        <v>1030</v>
      </c>
      <c r="N713" s="205" t="s">
        <v>652</v>
      </c>
      <c r="O713" s="205" t="s">
        <v>652</v>
      </c>
      <c r="P713" s="208" t="s">
        <v>1534</v>
      </c>
      <c r="Q713" s="208" t="s">
        <v>3748</v>
      </c>
      <c r="R713" s="208" t="s">
        <v>697</v>
      </c>
    </row>
    <row r="714" spans="1:18" s="205" customFormat="1" x14ac:dyDescent="0.2">
      <c r="A714" s="205" t="s">
        <v>196</v>
      </c>
      <c r="B714" s="205" t="s">
        <v>539</v>
      </c>
      <c r="C714" s="200">
        <v>45463</v>
      </c>
      <c r="D714" s="201" t="s">
        <v>166</v>
      </c>
      <c r="E714" s="206">
        <v>-14845</v>
      </c>
      <c r="F714" s="206">
        <v>-1485</v>
      </c>
      <c r="G714" s="237">
        <v>-74</v>
      </c>
      <c r="H714" s="202">
        <f t="shared" si="11"/>
        <v>-13434</v>
      </c>
      <c r="I714" s="205" t="s">
        <v>59</v>
      </c>
      <c r="J714" s="205" t="s">
        <v>23</v>
      </c>
      <c r="K714" s="209" t="s">
        <v>1325</v>
      </c>
      <c r="L714" s="205" t="s">
        <v>5815</v>
      </c>
      <c r="M714" s="201" t="s">
        <v>1030</v>
      </c>
      <c r="N714" s="205" t="s">
        <v>652</v>
      </c>
      <c r="O714" s="205" t="s">
        <v>652</v>
      </c>
      <c r="P714" s="208" t="s">
        <v>688</v>
      </c>
      <c r="Q714" s="208" t="s">
        <v>689</v>
      </c>
      <c r="R714" s="208" t="s">
        <v>4691</v>
      </c>
    </row>
    <row r="715" spans="1:18" s="205" customFormat="1" x14ac:dyDescent="0.2">
      <c r="A715" s="205" t="s">
        <v>47</v>
      </c>
      <c r="B715" s="205" t="s">
        <v>336</v>
      </c>
      <c r="C715" s="200">
        <v>45472</v>
      </c>
      <c r="D715" s="201" t="s">
        <v>166</v>
      </c>
      <c r="E715" s="206">
        <v>-16477</v>
      </c>
      <c r="F715" s="206">
        <v>-1648</v>
      </c>
      <c r="G715" s="206">
        <v>-82</v>
      </c>
      <c r="H715" s="202">
        <f t="shared" si="11"/>
        <v>-14911</v>
      </c>
      <c r="I715" s="205" t="s">
        <v>48</v>
      </c>
      <c r="J715" s="205" t="s">
        <v>23</v>
      </c>
      <c r="K715" s="209" t="s">
        <v>1068</v>
      </c>
      <c r="L715" s="205" t="s">
        <v>5816</v>
      </c>
      <c r="M715" s="201" t="s">
        <v>1030</v>
      </c>
      <c r="N715" s="205" t="s">
        <v>652</v>
      </c>
      <c r="O715" s="205" t="s">
        <v>652</v>
      </c>
      <c r="P715" s="208" t="s">
        <v>887</v>
      </c>
      <c r="Q715" s="208" t="s">
        <v>888</v>
      </c>
      <c r="R715" s="208" t="s">
        <v>4801</v>
      </c>
    </row>
    <row r="716" spans="1:18" s="205" customFormat="1" x14ac:dyDescent="0.2">
      <c r="A716" s="205" t="s">
        <v>473</v>
      </c>
      <c r="B716" s="205" t="s">
        <v>626</v>
      </c>
      <c r="C716" s="200">
        <v>45449</v>
      </c>
      <c r="D716" s="201" t="s">
        <v>166</v>
      </c>
      <c r="E716" s="206">
        <v>-18939</v>
      </c>
      <c r="F716" s="206">
        <v>-1894</v>
      </c>
      <c r="G716" s="206">
        <v>-95</v>
      </c>
      <c r="H716" s="202">
        <f t="shared" si="11"/>
        <v>-17140</v>
      </c>
      <c r="I716" s="205" t="s">
        <v>44</v>
      </c>
      <c r="J716" s="205" t="s">
        <v>23</v>
      </c>
      <c r="K716" s="209" t="s">
        <v>1068</v>
      </c>
      <c r="L716" s="205" t="s">
        <v>5817</v>
      </c>
      <c r="M716" s="201" t="s">
        <v>1030</v>
      </c>
      <c r="N716" s="205" t="s">
        <v>652</v>
      </c>
      <c r="O716" s="205" t="s">
        <v>652</v>
      </c>
      <c r="P716" s="208" t="s">
        <v>653</v>
      </c>
      <c r="Q716" s="208" t="s">
        <v>654</v>
      </c>
      <c r="R716" s="208" t="s">
        <v>4456</v>
      </c>
    </row>
    <row r="717" spans="1:18" s="205" customFormat="1" x14ac:dyDescent="0.2">
      <c r="A717" s="205" t="s">
        <v>99</v>
      </c>
      <c r="B717" s="205" t="s">
        <v>624</v>
      </c>
      <c r="C717" s="200">
        <v>45463</v>
      </c>
      <c r="D717" s="201" t="s">
        <v>166</v>
      </c>
      <c r="E717" s="206">
        <v>-30347</v>
      </c>
      <c r="F717" s="206">
        <v>-3035</v>
      </c>
      <c r="G717" s="206">
        <v>-152</v>
      </c>
      <c r="H717" s="202">
        <f t="shared" si="11"/>
        <v>-27464</v>
      </c>
      <c r="I717" s="205" t="s">
        <v>44</v>
      </c>
      <c r="J717" s="205" t="s">
        <v>23</v>
      </c>
      <c r="K717" s="209" t="s">
        <v>1068</v>
      </c>
      <c r="L717" s="205" t="s">
        <v>5818</v>
      </c>
      <c r="M717" s="201" t="s">
        <v>1030</v>
      </c>
      <c r="N717" s="205" t="s">
        <v>652</v>
      </c>
      <c r="O717" s="205" t="s">
        <v>652</v>
      </c>
      <c r="P717" s="208" t="s">
        <v>653</v>
      </c>
      <c r="Q717" s="208" t="s">
        <v>654</v>
      </c>
      <c r="R717" s="208" t="s">
        <v>4691</v>
      </c>
    </row>
    <row r="718" spans="1:18" s="205" customFormat="1" x14ac:dyDescent="0.2">
      <c r="A718" s="205" t="s">
        <v>308</v>
      </c>
      <c r="B718" s="205" t="s">
        <v>534</v>
      </c>
      <c r="C718" s="200">
        <v>45455</v>
      </c>
      <c r="D718" s="201" t="s">
        <v>166</v>
      </c>
      <c r="E718" s="206">
        <v>-30649</v>
      </c>
      <c r="F718" s="206">
        <v>-3065</v>
      </c>
      <c r="G718" s="206">
        <v>-153</v>
      </c>
      <c r="H718" s="202">
        <f t="shared" si="11"/>
        <v>-27737</v>
      </c>
      <c r="I718" s="205" t="s">
        <v>22</v>
      </c>
      <c r="J718" s="205" t="s">
        <v>23</v>
      </c>
      <c r="K718" s="205" t="s">
        <v>1068</v>
      </c>
      <c r="L718" s="205" t="s">
        <v>5819</v>
      </c>
      <c r="M718" s="201" t="s">
        <v>1030</v>
      </c>
      <c r="N718" s="205" t="s">
        <v>652</v>
      </c>
      <c r="O718" s="205" t="s">
        <v>652</v>
      </c>
      <c r="P718" s="208" t="s">
        <v>694</v>
      </c>
      <c r="Q718" s="208" t="s">
        <v>695</v>
      </c>
      <c r="R718" s="208" t="s">
        <v>4516</v>
      </c>
    </row>
    <row r="719" spans="1:18" s="205" customFormat="1" x14ac:dyDescent="0.2">
      <c r="A719" s="205" t="s">
        <v>130</v>
      </c>
      <c r="B719" s="205" t="s">
        <v>623</v>
      </c>
      <c r="C719" s="200">
        <v>45448</v>
      </c>
      <c r="D719" s="201" t="s">
        <v>166</v>
      </c>
      <c r="E719" s="206">
        <v>-33333</v>
      </c>
      <c r="F719" s="206">
        <v>-3333</v>
      </c>
      <c r="G719" s="206">
        <v>-167</v>
      </c>
      <c r="H719" s="202">
        <f t="shared" si="11"/>
        <v>-30167</v>
      </c>
      <c r="I719" s="205" t="s">
        <v>44</v>
      </c>
      <c r="J719" s="205" t="s">
        <v>23</v>
      </c>
      <c r="K719" s="205" t="s">
        <v>1068</v>
      </c>
      <c r="L719" s="205" t="s">
        <v>5820</v>
      </c>
      <c r="M719" s="201" t="s">
        <v>1030</v>
      </c>
      <c r="N719" s="205" t="s">
        <v>652</v>
      </c>
      <c r="O719" s="205" t="s">
        <v>652</v>
      </c>
      <c r="P719" s="208" t="s">
        <v>653</v>
      </c>
      <c r="Q719" s="208" t="s">
        <v>654</v>
      </c>
      <c r="R719" s="208" t="s">
        <v>4438</v>
      </c>
    </row>
    <row r="720" spans="1:18" s="205" customFormat="1" x14ac:dyDescent="0.2">
      <c r="A720" s="209" t="s">
        <v>413</v>
      </c>
      <c r="B720" s="209" t="s">
        <v>630</v>
      </c>
      <c r="C720" s="210">
        <v>45449</v>
      </c>
      <c r="D720" s="201" t="s">
        <v>166</v>
      </c>
      <c r="E720" s="211">
        <v>-33855</v>
      </c>
      <c r="F720" s="211">
        <v>-3385</v>
      </c>
      <c r="G720" s="211">
        <v>-169</v>
      </c>
      <c r="H720" s="202">
        <f t="shared" si="11"/>
        <v>-30639</v>
      </c>
      <c r="I720" s="209" t="s">
        <v>44</v>
      </c>
      <c r="J720" s="209" t="s">
        <v>23</v>
      </c>
      <c r="K720" s="209" t="s">
        <v>1068</v>
      </c>
      <c r="L720" s="209" t="s">
        <v>5821</v>
      </c>
      <c r="M720" s="201" t="s">
        <v>1030</v>
      </c>
      <c r="N720" s="209" t="s">
        <v>652</v>
      </c>
      <c r="O720" s="209" t="s">
        <v>652</v>
      </c>
      <c r="P720" s="213" t="s">
        <v>822</v>
      </c>
      <c r="Q720" s="213" t="s">
        <v>823</v>
      </c>
      <c r="R720" s="213" t="s">
        <v>4456</v>
      </c>
    </row>
    <row r="721" spans="1:18" s="205" customFormat="1" x14ac:dyDescent="0.2">
      <c r="A721" s="209" t="s">
        <v>116</v>
      </c>
      <c r="B721" s="209" t="s">
        <v>524</v>
      </c>
      <c r="C721" s="210">
        <v>45455</v>
      </c>
      <c r="D721" s="201" t="s">
        <v>166</v>
      </c>
      <c r="E721" s="211">
        <v>-35363</v>
      </c>
      <c r="F721" s="211">
        <v>-3536</v>
      </c>
      <c r="G721" s="211">
        <v>-177</v>
      </c>
      <c r="H721" s="202">
        <f t="shared" si="11"/>
        <v>-32004</v>
      </c>
      <c r="I721" s="209" t="s">
        <v>44</v>
      </c>
      <c r="J721" s="209" t="s">
        <v>23</v>
      </c>
      <c r="K721" s="209" t="s">
        <v>1325</v>
      </c>
      <c r="L721" s="209" t="s">
        <v>5822</v>
      </c>
      <c r="M721" s="201" t="s">
        <v>1030</v>
      </c>
      <c r="N721" s="209" t="s">
        <v>652</v>
      </c>
      <c r="O721" s="209" t="s">
        <v>652</v>
      </c>
      <c r="P721" s="213" t="s">
        <v>666</v>
      </c>
      <c r="Q721" s="213" t="s">
        <v>667</v>
      </c>
      <c r="R721" s="213" t="s">
        <v>4516</v>
      </c>
    </row>
    <row r="722" spans="1:18" s="205" customFormat="1" x14ac:dyDescent="0.2">
      <c r="A722" s="209" t="s">
        <v>84</v>
      </c>
      <c r="B722" s="209" t="s">
        <v>540</v>
      </c>
      <c r="C722" s="210">
        <v>45467</v>
      </c>
      <c r="D722" s="201" t="s">
        <v>166</v>
      </c>
      <c r="E722" s="211">
        <v>-42745</v>
      </c>
      <c r="F722" s="206">
        <v>-4275</v>
      </c>
      <c r="G722" s="206">
        <v>-214</v>
      </c>
      <c r="H722" s="202">
        <f t="shared" si="11"/>
        <v>-38684</v>
      </c>
      <c r="I722" s="209" t="s">
        <v>66</v>
      </c>
      <c r="J722" s="209" t="s">
        <v>23</v>
      </c>
      <c r="K722" s="209" t="s">
        <v>1068</v>
      </c>
      <c r="L722" s="209" t="s">
        <v>5823</v>
      </c>
      <c r="M722" s="201" t="s">
        <v>1030</v>
      </c>
      <c r="N722" s="209" t="s">
        <v>652</v>
      </c>
      <c r="O722" s="209" t="s">
        <v>652</v>
      </c>
      <c r="P722" s="213" t="s">
        <v>688</v>
      </c>
      <c r="Q722" s="213" t="s">
        <v>689</v>
      </c>
      <c r="R722" s="213" t="s">
        <v>886</v>
      </c>
    </row>
    <row r="723" spans="1:18" s="205" customFormat="1" x14ac:dyDescent="0.2">
      <c r="A723" s="209" t="s">
        <v>554</v>
      </c>
      <c r="B723" s="209" t="s">
        <v>922</v>
      </c>
      <c r="C723" s="210">
        <v>45449</v>
      </c>
      <c r="D723" s="201" t="s">
        <v>166</v>
      </c>
      <c r="E723" s="211">
        <v>-43150</v>
      </c>
      <c r="F723" s="206">
        <v>-4315</v>
      </c>
      <c r="G723" s="206">
        <v>-216</v>
      </c>
      <c r="H723" s="202">
        <f t="shared" si="11"/>
        <v>-39051</v>
      </c>
      <c r="I723" s="209" t="s">
        <v>554</v>
      </c>
      <c r="J723" s="209" t="s">
        <v>23</v>
      </c>
      <c r="K723" s="209" t="s">
        <v>1068</v>
      </c>
      <c r="L723" s="209" t="s">
        <v>5824</v>
      </c>
      <c r="M723" s="201" t="s">
        <v>1030</v>
      </c>
      <c r="N723" s="209" t="s">
        <v>652</v>
      </c>
      <c r="O723" s="209" t="s">
        <v>652</v>
      </c>
      <c r="P723" s="213" t="s">
        <v>722</v>
      </c>
      <c r="Q723" s="213" t="s">
        <v>723</v>
      </c>
      <c r="R723" s="213" t="s">
        <v>4456</v>
      </c>
    </row>
    <row r="724" spans="1:18" s="205" customFormat="1" x14ac:dyDescent="0.2">
      <c r="A724" s="205" t="s">
        <v>79</v>
      </c>
      <c r="B724" s="205" t="s">
        <v>535</v>
      </c>
      <c r="C724" s="200">
        <v>45472</v>
      </c>
      <c r="D724" s="201" t="s">
        <v>166</v>
      </c>
      <c r="E724" s="206">
        <v>-51613</v>
      </c>
      <c r="F724" s="206">
        <v>-5161</v>
      </c>
      <c r="G724" s="206">
        <v>-258</v>
      </c>
      <c r="H724" s="202">
        <f t="shared" si="11"/>
        <v>-46710</v>
      </c>
      <c r="I724" s="205" t="s">
        <v>22</v>
      </c>
      <c r="J724" s="205" t="s">
        <v>23</v>
      </c>
      <c r="K724" s="209" t="s">
        <v>1068</v>
      </c>
      <c r="L724" s="205" t="s">
        <v>5825</v>
      </c>
      <c r="M724" s="201" t="s">
        <v>1030</v>
      </c>
      <c r="N724" s="205" t="s">
        <v>652</v>
      </c>
      <c r="O724" s="205" t="s">
        <v>652</v>
      </c>
      <c r="P724" s="208" t="s">
        <v>674</v>
      </c>
      <c r="Q724" s="208" t="s">
        <v>675</v>
      </c>
      <c r="R724" s="208" t="s">
        <v>4801</v>
      </c>
    </row>
    <row r="725" spans="1:18" s="205" customFormat="1" x14ac:dyDescent="0.2">
      <c r="A725" s="205" t="s">
        <v>476</v>
      </c>
      <c r="B725" s="205" t="s">
        <v>573</v>
      </c>
      <c r="C725" s="200">
        <v>45463</v>
      </c>
      <c r="D725" s="201" t="s">
        <v>166</v>
      </c>
      <c r="E725" s="206">
        <v>-51821</v>
      </c>
      <c r="F725" s="206">
        <v>-5182</v>
      </c>
      <c r="G725" s="206">
        <v>-259</v>
      </c>
      <c r="H725" s="202">
        <f t="shared" si="11"/>
        <v>-46898</v>
      </c>
      <c r="I725" s="205" t="s">
        <v>138</v>
      </c>
      <c r="J725" s="205" t="s">
        <v>23</v>
      </c>
      <c r="K725" s="209" t="s">
        <v>1068</v>
      </c>
      <c r="L725" s="205" t="s">
        <v>5826</v>
      </c>
      <c r="M725" s="201" t="s">
        <v>1030</v>
      </c>
      <c r="N725" s="205" t="s">
        <v>652</v>
      </c>
      <c r="O725" s="205" t="s">
        <v>652</v>
      </c>
      <c r="P725" s="208" t="s">
        <v>653</v>
      </c>
      <c r="Q725" s="208" t="s">
        <v>654</v>
      </c>
      <c r="R725" s="208" t="s">
        <v>4691</v>
      </c>
    </row>
    <row r="726" spans="1:18" s="205" customFormat="1" x14ac:dyDescent="0.2">
      <c r="A726" s="205" t="s">
        <v>221</v>
      </c>
      <c r="B726" s="205" t="s">
        <v>1062</v>
      </c>
      <c r="C726" s="200">
        <v>45447</v>
      </c>
      <c r="D726" s="201" t="s">
        <v>166</v>
      </c>
      <c r="E726" s="206">
        <v>-55176</v>
      </c>
      <c r="F726" s="206">
        <v>-5518</v>
      </c>
      <c r="G726" s="206">
        <v>-276</v>
      </c>
      <c r="H726" s="202">
        <f t="shared" si="11"/>
        <v>-49934</v>
      </c>
      <c r="I726" s="205" t="s">
        <v>224</v>
      </c>
      <c r="J726" s="205" t="s">
        <v>23</v>
      </c>
      <c r="K726" s="209" t="s">
        <v>1068</v>
      </c>
      <c r="L726" s="205" t="s">
        <v>5827</v>
      </c>
      <c r="M726" s="201" t="s">
        <v>1030</v>
      </c>
      <c r="N726" s="205" t="s">
        <v>652</v>
      </c>
      <c r="O726" s="205" t="s">
        <v>652</v>
      </c>
      <c r="P726" s="216" t="s">
        <v>987</v>
      </c>
      <c r="Q726" s="216" t="s">
        <v>988</v>
      </c>
      <c r="R726" s="208" t="s">
        <v>4422</v>
      </c>
    </row>
    <row r="727" spans="1:18" s="205" customFormat="1" x14ac:dyDescent="0.2">
      <c r="A727" s="205" t="s">
        <v>79</v>
      </c>
      <c r="B727" s="205" t="s">
        <v>535</v>
      </c>
      <c r="C727" s="200">
        <v>45446</v>
      </c>
      <c r="D727" s="201" t="s">
        <v>166</v>
      </c>
      <c r="E727" s="206">
        <v>-61093</v>
      </c>
      <c r="F727" s="206">
        <v>-6109</v>
      </c>
      <c r="G727" s="206">
        <v>-305</v>
      </c>
      <c r="H727" s="202">
        <f t="shared" si="11"/>
        <v>-55289</v>
      </c>
      <c r="I727" s="205" t="s">
        <v>22</v>
      </c>
      <c r="J727" s="205" t="s">
        <v>23</v>
      </c>
      <c r="K727" s="205" t="s">
        <v>1068</v>
      </c>
      <c r="L727" s="205" t="s">
        <v>5828</v>
      </c>
      <c r="M727" s="201" t="s">
        <v>1030</v>
      </c>
      <c r="N727" s="205" t="s">
        <v>652</v>
      </c>
      <c r="O727" s="205" t="s">
        <v>652</v>
      </c>
      <c r="P727" s="208" t="s">
        <v>674</v>
      </c>
      <c r="Q727" s="208" t="s">
        <v>675</v>
      </c>
      <c r="R727" s="208" t="s">
        <v>4413</v>
      </c>
    </row>
    <row r="728" spans="1:18" s="205" customFormat="1" x14ac:dyDescent="0.2">
      <c r="A728" s="205" t="s">
        <v>5492</v>
      </c>
      <c r="B728" s="205" t="s">
        <v>229</v>
      </c>
      <c r="C728" s="200">
        <v>45462</v>
      </c>
      <c r="D728" s="201" t="s">
        <v>166</v>
      </c>
      <c r="E728" s="206">
        <v>-63379</v>
      </c>
      <c r="F728" s="206">
        <v>-6338</v>
      </c>
      <c r="G728" s="206">
        <v>-317</v>
      </c>
      <c r="H728" s="202">
        <f t="shared" si="11"/>
        <v>-57358</v>
      </c>
      <c r="I728" s="205" t="s">
        <v>38</v>
      </c>
      <c r="J728" s="205" t="s">
        <v>23</v>
      </c>
      <c r="K728" s="205" t="s">
        <v>1325</v>
      </c>
      <c r="L728" s="205" t="s">
        <v>5829</v>
      </c>
      <c r="M728" s="201" t="s">
        <v>1030</v>
      </c>
      <c r="N728" s="205" t="s">
        <v>652</v>
      </c>
      <c r="O728" s="205" t="s">
        <v>652</v>
      </c>
      <c r="P728" s="208" t="s">
        <v>858</v>
      </c>
      <c r="Q728" s="208" t="s">
        <v>858</v>
      </c>
      <c r="R728" s="208" t="s">
        <v>884</v>
      </c>
    </row>
    <row r="729" spans="1:18" s="205" customFormat="1" x14ac:dyDescent="0.2">
      <c r="A729" s="205" t="s">
        <v>999</v>
      </c>
      <c r="B729" s="205" t="s">
        <v>5830</v>
      </c>
      <c r="C729" s="200">
        <v>45446</v>
      </c>
      <c r="D729" s="201" t="s">
        <v>166</v>
      </c>
      <c r="E729" s="206">
        <v>-63671</v>
      </c>
      <c r="F729" s="206">
        <v>-6367</v>
      </c>
      <c r="G729" s="206">
        <v>-318</v>
      </c>
      <c r="H729" s="202">
        <f t="shared" si="11"/>
        <v>-57622</v>
      </c>
      <c r="I729" s="205" t="s">
        <v>199</v>
      </c>
      <c r="J729" s="205" t="s">
        <v>23</v>
      </c>
      <c r="K729" s="205" t="s">
        <v>1068</v>
      </c>
      <c r="L729" s="205" t="s">
        <v>5831</v>
      </c>
      <c r="M729" s="201" t="s">
        <v>1030</v>
      </c>
      <c r="N729" s="205" t="s">
        <v>652</v>
      </c>
      <c r="O729" s="205" t="s">
        <v>652</v>
      </c>
      <c r="P729" s="208" t="s">
        <v>724</v>
      </c>
      <c r="Q729" s="208" t="s">
        <v>725</v>
      </c>
      <c r="R729" s="208" t="s">
        <v>4413</v>
      </c>
    </row>
    <row r="730" spans="1:18" s="205" customFormat="1" x14ac:dyDescent="0.2">
      <c r="A730" s="205" t="s">
        <v>566</v>
      </c>
      <c r="B730" s="205" t="s">
        <v>567</v>
      </c>
      <c r="C730" s="200">
        <v>45447</v>
      </c>
      <c r="D730" s="201" t="s">
        <v>166</v>
      </c>
      <c r="E730" s="206">
        <v>-64975</v>
      </c>
      <c r="F730" s="206">
        <v>-6498</v>
      </c>
      <c r="G730" s="206">
        <v>-325</v>
      </c>
      <c r="H730" s="202">
        <f t="shared" si="11"/>
        <v>-58802</v>
      </c>
      <c r="I730" s="205" t="s">
        <v>22</v>
      </c>
      <c r="J730" s="205" t="s">
        <v>23</v>
      </c>
      <c r="K730" s="205" t="s">
        <v>1068</v>
      </c>
      <c r="L730" s="205" t="s">
        <v>5832</v>
      </c>
      <c r="M730" s="201" t="s">
        <v>1030</v>
      </c>
      <c r="N730" s="205" t="s">
        <v>1186</v>
      </c>
      <c r="O730" s="205" t="s">
        <v>1187</v>
      </c>
      <c r="P730" s="214" t="s">
        <v>653</v>
      </c>
      <c r="Q730" s="214" t="s">
        <v>654</v>
      </c>
      <c r="R730" s="214" t="s">
        <v>4422</v>
      </c>
    </row>
    <row r="731" spans="1:18" s="205" customFormat="1" x14ac:dyDescent="0.2">
      <c r="A731" s="209" t="s">
        <v>612</v>
      </c>
      <c r="B731" s="209" t="s">
        <v>613</v>
      </c>
      <c r="C731" s="210">
        <v>45447</v>
      </c>
      <c r="D731" s="201" t="s">
        <v>166</v>
      </c>
      <c r="E731" s="211">
        <v>-77970</v>
      </c>
      <c r="F731" s="211">
        <v>-7797</v>
      </c>
      <c r="G731" s="211">
        <v>-390</v>
      </c>
      <c r="H731" s="202">
        <f t="shared" si="11"/>
        <v>-70563</v>
      </c>
      <c r="I731" s="209" t="s">
        <v>22</v>
      </c>
      <c r="J731" s="209" t="s">
        <v>23</v>
      </c>
      <c r="K731" s="209" t="s">
        <v>1068</v>
      </c>
      <c r="L731" s="209" t="s">
        <v>5833</v>
      </c>
      <c r="M731" s="201" t="s">
        <v>1030</v>
      </c>
      <c r="N731" s="209" t="s">
        <v>652</v>
      </c>
      <c r="O731" s="209" t="s">
        <v>652</v>
      </c>
      <c r="P731" s="213" t="s">
        <v>653</v>
      </c>
      <c r="Q731" s="213" t="s">
        <v>654</v>
      </c>
      <c r="R731" s="213" t="s">
        <v>4422</v>
      </c>
    </row>
    <row r="732" spans="1:18" s="205" customFormat="1" x14ac:dyDescent="0.2">
      <c r="A732" s="205" t="s">
        <v>197</v>
      </c>
      <c r="B732" s="205" t="s">
        <v>927</v>
      </c>
      <c r="C732" s="200">
        <v>45447</v>
      </c>
      <c r="D732" s="201" t="s">
        <v>166</v>
      </c>
      <c r="E732" s="206">
        <v>-90405</v>
      </c>
      <c r="F732" s="206">
        <v>-9040</v>
      </c>
      <c r="G732" s="206">
        <v>-452</v>
      </c>
      <c r="H732" s="202">
        <f t="shared" si="11"/>
        <v>-81817</v>
      </c>
      <c r="I732" s="205" t="s">
        <v>59</v>
      </c>
      <c r="J732" s="205" t="s">
        <v>23</v>
      </c>
      <c r="K732" s="209" t="s">
        <v>1068</v>
      </c>
      <c r="L732" s="205" t="s">
        <v>5834</v>
      </c>
      <c r="M732" s="201" t="s">
        <v>1030</v>
      </c>
      <c r="N732" s="205" t="s">
        <v>2719</v>
      </c>
      <c r="O732" s="205" t="s">
        <v>1187</v>
      </c>
      <c r="P732" s="208" t="s">
        <v>722</v>
      </c>
      <c r="Q732" s="208" t="s">
        <v>723</v>
      </c>
      <c r="R732" s="208" t="s">
        <v>4422</v>
      </c>
    </row>
    <row r="733" spans="1:18" s="205" customFormat="1" x14ac:dyDescent="0.2">
      <c r="A733" s="205" t="s">
        <v>105</v>
      </c>
      <c r="B733" s="205" t="s">
        <v>620</v>
      </c>
      <c r="C733" s="200">
        <v>45446</v>
      </c>
      <c r="D733" s="201" t="s">
        <v>166</v>
      </c>
      <c r="E733" s="206">
        <v>-90469</v>
      </c>
      <c r="F733" s="206">
        <v>-9047</v>
      </c>
      <c r="G733" s="206">
        <v>-452</v>
      </c>
      <c r="H733" s="202">
        <f t="shared" si="11"/>
        <v>-81874</v>
      </c>
      <c r="I733" s="205" t="s">
        <v>44</v>
      </c>
      <c r="J733" s="205" t="s">
        <v>23</v>
      </c>
      <c r="K733" s="209" t="s">
        <v>1068</v>
      </c>
      <c r="L733" s="205" t="s">
        <v>5835</v>
      </c>
      <c r="M733" s="201" t="s">
        <v>1030</v>
      </c>
      <c r="N733" s="205" t="s">
        <v>652</v>
      </c>
      <c r="O733" s="205" t="s">
        <v>652</v>
      </c>
      <c r="P733" s="208" t="s">
        <v>653</v>
      </c>
      <c r="Q733" s="208" t="s">
        <v>654</v>
      </c>
      <c r="R733" s="208" t="s">
        <v>4413</v>
      </c>
    </row>
    <row r="734" spans="1:18" s="205" customFormat="1" x14ac:dyDescent="0.2">
      <c r="A734" s="205" t="s">
        <v>122</v>
      </c>
      <c r="B734" s="205" t="s">
        <v>966</v>
      </c>
      <c r="C734" s="200">
        <v>45455</v>
      </c>
      <c r="D734" s="201" t="s">
        <v>166</v>
      </c>
      <c r="E734" s="206">
        <v>-99626</v>
      </c>
      <c r="F734" s="206">
        <v>-9963</v>
      </c>
      <c r="G734" s="206">
        <v>-498</v>
      </c>
      <c r="H734" s="202">
        <f t="shared" si="11"/>
        <v>-90161</v>
      </c>
      <c r="I734" s="205" t="s">
        <v>22</v>
      </c>
      <c r="J734" s="205" t="s">
        <v>23</v>
      </c>
      <c r="K734" s="209" t="s">
        <v>1068</v>
      </c>
      <c r="L734" s="205" t="s">
        <v>5836</v>
      </c>
      <c r="M734" s="201" t="s">
        <v>1030</v>
      </c>
      <c r="N734" s="205" t="s">
        <v>652</v>
      </c>
      <c r="O734" s="205" t="s">
        <v>652</v>
      </c>
      <c r="P734" s="208" t="s">
        <v>786</v>
      </c>
      <c r="Q734" s="208" t="s">
        <v>962</v>
      </c>
      <c r="R734" s="208" t="s">
        <v>4516</v>
      </c>
    </row>
    <row r="735" spans="1:18" s="205" customFormat="1" x14ac:dyDescent="0.2">
      <c r="A735" s="205" t="s">
        <v>417</v>
      </c>
      <c r="B735" s="205" t="s">
        <v>3399</v>
      </c>
      <c r="C735" s="200">
        <v>45468</v>
      </c>
      <c r="D735" s="201" t="s">
        <v>166</v>
      </c>
      <c r="E735" s="206">
        <v>-152141</v>
      </c>
      <c r="F735" s="206">
        <v>-15214</v>
      </c>
      <c r="G735" s="206">
        <v>-761</v>
      </c>
      <c r="H735" s="202">
        <f t="shared" si="11"/>
        <v>-137688</v>
      </c>
      <c r="I735" s="205" t="s">
        <v>54</v>
      </c>
      <c r="J735" s="205" t="s">
        <v>23</v>
      </c>
      <c r="K735" s="209" t="s">
        <v>1151</v>
      </c>
      <c r="L735" s="205" t="s">
        <v>5837</v>
      </c>
      <c r="M735" s="201" t="s">
        <v>1030</v>
      </c>
      <c r="N735" s="205" t="s">
        <v>652</v>
      </c>
      <c r="O735" s="205" t="s">
        <v>652</v>
      </c>
      <c r="P735" s="208" t="s">
        <v>3226</v>
      </c>
      <c r="Q735" s="208" t="s">
        <v>3375</v>
      </c>
      <c r="R735" s="208" t="s">
        <v>4764</v>
      </c>
    </row>
    <row r="736" spans="1:18" s="205" customFormat="1" x14ac:dyDescent="0.2">
      <c r="A736" s="205" t="s">
        <v>105</v>
      </c>
      <c r="B736" s="205" t="s">
        <v>619</v>
      </c>
      <c r="C736" s="200">
        <v>45446</v>
      </c>
      <c r="D736" s="201" t="s">
        <v>166</v>
      </c>
      <c r="E736" s="206">
        <v>-194157</v>
      </c>
      <c r="F736" s="206">
        <v>-19416</v>
      </c>
      <c r="G736" s="206">
        <v>-971</v>
      </c>
      <c r="H736" s="202">
        <f t="shared" si="11"/>
        <v>-175712</v>
      </c>
      <c r="I736" s="205" t="s">
        <v>44</v>
      </c>
      <c r="J736" s="205" t="s">
        <v>23</v>
      </c>
      <c r="K736" s="209" t="s">
        <v>1068</v>
      </c>
      <c r="L736" s="205" t="s">
        <v>5838</v>
      </c>
      <c r="M736" s="201" t="s">
        <v>1030</v>
      </c>
      <c r="N736" s="205" t="s">
        <v>652</v>
      </c>
      <c r="O736" s="205" t="s">
        <v>652</v>
      </c>
      <c r="P736" s="208" t="s">
        <v>653</v>
      </c>
      <c r="Q736" s="208" t="s">
        <v>654</v>
      </c>
      <c r="R736" s="208" t="s">
        <v>4413</v>
      </c>
    </row>
    <row r="737" spans="1:18" s="205" customFormat="1" x14ac:dyDescent="0.2">
      <c r="A737" s="205" t="s">
        <v>51</v>
      </c>
      <c r="B737" s="205" t="s">
        <v>575</v>
      </c>
      <c r="C737" s="200">
        <v>45449</v>
      </c>
      <c r="D737" s="201" t="s">
        <v>166</v>
      </c>
      <c r="E737" s="206">
        <v>-224871</v>
      </c>
      <c r="F737" s="206">
        <v>-22487</v>
      </c>
      <c r="G737" s="206">
        <v>-1124</v>
      </c>
      <c r="H737" s="202">
        <f t="shared" si="11"/>
        <v>-203508</v>
      </c>
      <c r="I737" s="205" t="s">
        <v>44</v>
      </c>
      <c r="J737" s="205" t="s">
        <v>23</v>
      </c>
      <c r="K737" s="209" t="s">
        <v>1068</v>
      </c>
      <c r="L737" s="205" t="s">
        <v>5839</v>
      </c>
      <c r="M737" s="201" t="s">
        <v>1030</v>
      </c>
      <c r="N737" s="205" t="s">
        <v>652</v>
      </c>
      <c r="O737" s="205" t="s">
        <v>652</v>
      </c>
      <c r="P737" s="208" t="s">
        <v>653</v>
      </c>
      <c r="Q737" s="208" t="s">
        <v>654</v>
      </c>
      <c r="R737" s="216" t="s">
        <v>4456</v>
      </c>
    </row>
    <row r="738" spans="1:18" s="205" customFormat="1" x14ac:dyDescent="0.2">
      <c r="A738" s="205" t="s">
        <v>115</v>
      </c>
      <c r="B738" s="205" t="s">
        <v>650</v>
      </c>
      <c r="C738" s="200">
        <v>45455</v>
      </c>
      <c r="D738" s="201" t="s">
        <v>166</v>
      </c>
      <c r="E738" s="206">
        <v>-256511</v>
      </c>
      <c r="F738" s="206">
        <v>-25651</v>
      </c>
      <c r="G738" s="206">
        <v>-1283</v>
      </c>
      <c r="H738" s="202">
        <f t="shared" si="11"/>
        <v>-232143</v>
      </c>
      <c r="I738" s="205" t="s">
        <v>44</v>
      </c>
      <c r="J738" s="205" t="s">
        <v>23</v>
      </c>
      <c r="K738" s="209" t="s">
        <v>1068</v>
      </c>
      <c r="L738" s="205" t="s">
        <v>5840</v>
      </c>
      <c r="M738" s="201" t="s">
        <v>1030</v>
      </c>
      <c r="N738" s="205" t="s">
        <v>652</v>
      </c>
      <c r="O738" s="205" t="s">
        <v>652</v>
      </c>
      <c r="P738" s="208" t="s">
        <v>653</v>
      </c>
      <c r="Q738" s="208" t="s">
        <v>654</v>
      </c>
      <c r="R738" s="208" t="s">
        <v>4516</v>
      </c>
    </row>
    <row r="739" spans="1:18" s="205" customFormat="1" x14ac:dyDescent="0.2">
      <c r="A739" s="205" t="s">
        <v>105</v>
      </c>
      <c r="B739" s="205" t="s">
        <v>618</v>
      </c>
      <c r="C739" s="200">
        <v>45446</v>
      </c>
      <c r="D739" s="201" t="s">
        <v>166</v>
      </c>
      <c r="E739" s="206">
        <v>-297209</v>
      </c>
      <c r="F739" s="206">
        <v>-29721</v>
      </c>
      <c r="G739" s="206">
        <v>-1486</v>
      </c>
      <c r="H739" s="202">
        <f t="shared" si="11"/>
        <v>-268974</v>
      </c>
      <c r="I739" s="205" t="s">
        <v>44</v>
      </c>
      <c r="J739" s="205" t="s">
        <v>23</v>
      </c>
      <c r="K739" s="209" t="s">
        <v>1068</v>
      </c>
      <c r="L739" s="205" t="s">
        <v>5841</v>
      </c>
      <c r="M739" s="201" t="s">
        <v>1030</v>
      </c>
      <c r="N739" s="205" t="s">
        <v>652</v>
      </c>
      <c r="O739" s="205" t="s">
        <v>652</v>
      </c>
      <c r="P739" s="208" t="s">
        <v>653</v>
      </c>
      <c r="Q739" s="208" t="s">
        <v>654</v>
      </c>
      <c r="R739" s="208" t="s">
        <v>4413</v>
      </c>
    </row>
    <row r="740" spans="1:18" s="205" customFormat="1" x14ac:dyDescent="0.2">
      <c r="A740" s="205" t="s">
        <v>423</v>
      </c>
      <c r="B740" s="205" t="s">
        <v>5842</v>
      </c>
      <c r="C740" s="200">
        <v>45473</v>
      </c>
      <c r="D740" s="201" t="s">
        <v>166</v>
      </c>
      <c r="E740" s="206">
        <v>-432234</v>
      </c>
      <c r="F740" s="206">
        <v>-43223</v>
      </c>
      <c r="G740" s="206">
        <v>-2161</v>
      </c>
      <c r="H740" s="202">
        <f t="shared" si="11"/>
        <v>-391172</v>
      </c>
      <c r="I740" s="205" t="s">
        <v>5843</v>
      </c>
      <c r="J740" s="205" t="s">
        <v>23</v>
      </c>
      <c r="K740" s="209"/>
      <c r="L740" s="205" t="s">
        <v>5844</v>
      </c>
      <c r="M740" s="201"/>
      <c r="P740" s="253" t="s">
        <v>5845</v>
      </c>
      <c r="Q740" s="253" t="s">
        <v>5846</v>
      </c>
      <c r="R740" s="253" t="s">
        <v>861</v>
      </c>
    </row>
    <row r="741" spans="1:18" s="205" customFormat="1" x14ac:dyDescent="0.2">
      <c r="A741" s="205" t="s">
        <v>327</v>
      </c>
      <c r="B741" s="205" t="s">
        <v>328</v>
      </c>
      <c r="C741" s="200">
        <v>45446</v>
      </c>
      <c r="D741" s="199" t="s">
        <v>152</v>
      </c>
      <c r="E741" s="206">
        <v>3399</v>
      </c>
      <c r="F741" s="206"/>
      <c r="G741" s="206"/>
      <c r="H741" s="202">
        <f t="shared" si="11"/>
        <v>3399</v>
      </c>
      <c r="I741" s="205" t="s">
        <v>25</v>
      </c>
      <c r="J741" s="205" t="s">
        <v>214</v>
      </c>
      <c r="K741" s="205" t="s">
        <v>1042</v>
      </c>
      <c r="L741" s="205" t="s">
        <v>5847</v>
      </c>
      <c r="M741" s="201" t="s">
        <v>1393</v>
      </c>
      <c r="N741" s="205" t="s">
        <v>1190</v>
      </c>
      <c r="O741" s="205" t="s">
        <v>1191</v>
      </c>
      <c r="P741" s="208" t="s">
        <v>669</v>
      </c>
      <c r="Q741" s="208" t="s">
        <v>670</v>
      </c>
      <c r="R741" s="208" t="s">
        <v>4413</v>
      </c>
    </row>
    <row r="742" spans="1:18" s="205" customFormat="1" x14ac:dyDescent="0.2">
      <c r="A742" s="205" t="s">
        <v>148</v>
      </c>
      <c r="B742" s="205" t="s">
        <v>2804</v>
      </c>
      <c r="C742" s="200">
        <v>45446</v>
      </c>
      <c r="D742" s="199" t="s">
        <v>152</v>
      </c>
      <c r="E742" s="206">
        <v>115834</v>
      </c>
      <c r="F742" s="206"/>
      <c r="G742" s="206"/>
      <c r="H742" s="202">
        <f t="shared" si="11"/>
        <v>115834</v>
      </c>
      <c r="I742" s="205" t="s">
        <v>25</v>
      </c>
      <c r="J742" s="205" t="s">
        <v>214</v>
      </c>
      <c r="K742" s="205" t="s">
        <v>1141</v>
      </c>
      <c r="L742" s="205" t="s">
        <v>5848</v>
      </c>
      <c r="M742" s="199" t="s">
        <v>652</v>
      </c>
      <c r="N742" s="205" t="s">
        <v>652</v>
      </c>
      <c r="O742" s="205" t="s">
        <v>652</v>
      </c>
      <c r="P742" s="208" t="s">
        <v>2191</v>
      </c>
      <c r="Q742" s="208" t="s">
        <v>2192</v>
      </c>
      <c r="R742" s="208" t="s">
        <v>4413</v>
      </c>
    </row>
    <row r="743" spans="1:18" s="205" customFormat="1" x14ac:dyDescent="0.2">
      <c r="A743" s="205" t="s">
        <v>225</v>
      </c>
      <c r="B743" s="205" t="s">
        <v>5849</v>
      </c>
      <c r="C743" s="200">
        <v>45447</v>
      </c>
      <c r="D743" s="199" t="s">
        <v>152</v>
      </c>
      <c r="E743" s="206">
        <v>2583768</v>
      </c>
      <c r="F743" s="206"/>
      <c r="G743" s="206"/>
      <c r="H743" s="202">
        <f t="shared" si="11"/>
        <v>2583768</v>
      </c>
      <c r="I743" s="205" t="s">
        <v>25</v>
      </c>
      <c r="J743" s="205" t="s">
        <v>214</v>
      </c>
      <c r="K743" s="205" t="s">
        <v>1028</v>
      </c>
      <c r="L743" s="205" t="s">
        <v>5850</v>
      </c>
      <c r="M743" s="201" t="s">
        <v>1030</v>
      </c>
      <c r="N743" s="205" t="s">
        <v>652</v>
      </c>
      <c r="O743" s="205" t="s">
        <v>652</v>
      </c>
      <c r="P743" s="208" t="s">
        <v>1534</v>
      </c>
      <c r="Q743" s="208" t="s">
        <v>3748</v>
      </c>
      <c r="R743" s="208" t="s">
        <v>4413</v>
      </c>
    </row>
    <row r="744" spans="1:18" s="205" customFormat="1" x14ac:dyDescent="0.2">
      <c r="A744" s="209" t="s">
        <v>225</v>
      </c>
      <c r="B744" s="209" t="s">
        <v>5851</v>
      </c>
      <c r="C744" s="210">
        <v>45447</v>
      </c>
      <c r="D744" s="199" t="s">
        <v>152</v>
      </c>
      <c r="E744" s="211">
        <v>20877078</v>
      </c>
      <c r="F744" s="211"/>
      <c r="G744" s="211"/>
      <c r="H744" s="202">
        <f t="shared" si="11"/>
        <v>20877078</v>
      </c>
      <c r="I744" s="209" t="s">
        <v>25</v>
      </c>
      <c r="J744" s="209" t="s">
        <v>214</v>
      </c>
      <c r="K744" s="209" t="s">
        <v>1028</v>
      </c>
      <c r="L744" s="209" t="s">
        <v>5852</v>
      </c>
      <c r="M744" s="201" t="s">
        <v>1030</v>
      </c>
      <c r="N744" s="209" t="s">
        <v>652</v>
      </c>
      <c r="O744" s="209" t="s">
        <v>652</v>
      </c>
      <c r="P744" s="213" t="s">
        <v>1534</v>
      </c>
      <c r="Q744" s="213" t="s">
        <v>3748</v>
      </c>
      <c r="R744" s="213" t="s">
        <v>4422</v>
      </c>
    </row>
    <row r="745" spans="1:18" s="205" customFormat="1" x14ac:dyDescent="0.2">
      <c r="A745" s="205" t="s">
        <v>366</v>
      </c>
      <c r="B745" s="205" t="s">
        <v>365</v>
      </c>
      <c r="C745" s="200">
        <v>45447</v>
      </c>
      <c r="D745" s="199" t="s">
        <v>152</v>
      </c>
      <c r="E745" s="206">
        <v>7236</v>
      </c>
      <c r="F745" s="206"/>
      <c r="G745" s="206"/>
      <c r="H745" s="202">
        <f t="shared" si="11"/>
        <v>7236</v>
      </c>
      <c r="I745" s="205" t="s">
        <v>25</v>
      </c>
      <c r="J745" s="205" t="s">
        <v>214</v>
      </c>
      <c r="K745" s="209" t="s">
        <v>1042</v>
      </c>
      <c r="L745" s="205" t="s">
        <v>5853</v>
      </c>
      <c r="M745" s="201" t="s">
        <v>1030</v>
      </c>
      <c r="N745" s="205" t="s">
        <v>1190</v>
      </c>
      <c r="O745" s="205" t="s">
        <v>1191</v>
      </c>
      <c r="P745" s="208" t="s">
        <v>494</v>
      </c>
      <c r="Q745" s="208" t="s">
        <v>780</v>
      </c>
      <c r="R745" s="208" t="s">
        <v>4422</v>
      </c>
    </row>
    <row r="746" spans="1:18" s="205" customFormat="1" x14ac:dyDescent="0.2">
      <c r="A746" s="205" t="s">
        <v>154</v>
      </c>
      <c r="B746" s="205" t="s">
        <v>542</v>
      </c>
      <c r="C746" s="200">
        <v>45447</v>
      </c>
      <c r="D746" s="199" t="s">
        <v>152</v>
      </c>
      <c r="E746" s="206">
        <v>353042</v>
      </c>
      <c r="F746" s="206"/>
      <c r="G746" s="206"/>
      <c r="H746" s="202">
        <f t="shared" si="11"/>
        <v>353042</v>
      </c>
      <c r="I746" s="205" t="s">
        <v>25</v>
      </c>
      <c r="J746" s="205" t="s">
        <v>214</v>
      </c>
      <c r="K746" s="209" t="s">
        <v>1042</v>
      </c>
      <c r="L746" s="205" t="s">
        <v>5854</v>
      </c>
      <c r="M746" s="201" t="s">
        <v>1030</v>
      </c>
      <c r="N746" s="205" t="s">
        <v>652</v>
      </c>
      <c r="O746" s="205" t="s">
        <v>652</v>
      </c>
      <c r="P746" s="208" t="s">
        <v>688</v>
      </c>
      <c r="Q746" s="208" t="s">
        <v>689</v>
      </c>
      <c r="R746" s="208" t="s">
        <v>4422</v>
      </c>
    </row>
    <row r="747" spans="1:18" s="205" customFormat="1" x14ac:dyDescent="0.2">
      <c r="A747" s="205" t="s">
        <v>226</v>
      </c>
      <c r="B747" s="205" t="s">
        <v>546</v>
      </c>
      <c r="C747" s="200">
        <v>45448</v>
      </c>
      <c r="D747" s="199" t="s">
        <v>152</v>
      </c>
      <c r="E747" s="206">
        <v>25412</v>
      </c>
      <c r="F747" s="206"/>
      <c r="G747" s="206"/>
      <c r="H747" s="202">
        <f t="shared" si="11"/>
        <v>25412</v>
      </c>
      <c r="I747" s="205" t="s">
        <v>25</v>
      </c>
      <c r="J747" s="205" t="s">
        <v>214</v>
      </c>
      <c r="K747" s="209" t="s">
        <v>1042</v>
      </c>
      <c r="L747" s="205" t="s">
        <v>5855</v>
      </c>
      <c r="M747" s="201" t="s">
        <v>1030</v>
      </c>
      <c r="N747" s="205" t="s">
        <v>652</v>
      </c>
      <c r="O747" s="205" t="s">
        <v>652</v>
      </c>
      <c r="P747" s="208" t="s">
        <v>699</v>
      </c>
      <c r="Q747" s="208" t="s">
        <v>700</v>
      </c>
      <c r="R747" s="208" t="s">
        <v>4438</v>
      </c>
    </row>
    <row r="748" spans="1:18" s="205" customFormat="1" x14ac:dyDescent="0.2">
      <c r="A748" s="205" t="s">
        <v>309</v>
      </c>
      <c r="B748" s="205" t="s">
        <v>3182</v>
      </c>
      <c r="C748" s="200">
        <v>45448</v>
      </c>
      <c r="D748" s="199" t="s">
        <v>152</v>
      </c>
      <c r="E748" s="206">
        <v>42463</v>
      </c>
      <c r="F748" s="206"/>
      <c r="G748" s="206"/>
      <c r="H748" s="202">
        <f t="shared" si="11"/>
        <v>42463</v>
      </c>
      <c r="I748" s="205" t="s">
        <v>25</v>
      </c>
      <c r="J748" s="205" t="s">
        <v>214</v>
      </c>
      <c r="K748" s="209" t="s">
        <v>1042</v>
      </c>
      <c r="L748" s="205" t="s">
        <v>5856</v>
      </c>
      <c r="M748" s="201" t="s">
        <v>1030</v>
      </c>
      <c r="N748" s="205" t="s">
        <v>1295</v>
      </c>
      <c r="O748" s="205" t="s">
        <v>1061</v>
      </c>
      <c r="P748" s="208" t="s">
        <v>846</v>
      </c>
      <c r="Q748" s="208" t="s">
        <v>2922</v>
      </c>
      <c r="R748" s="208" t="s">
        <v>4438</v>
      </c>
    </row>
    <row r="749" spans="1:18" s="205" customFormat="1" x14ac:dyDescent="0.2">
      <c r="A749" s="205" t="s">
        <v>148</v>
      </c>
      <c r="B749" s="205" t="s">
        <v>2804</v>
      </c>
      <c r="C749" s="200">
        <v>45448</v>
      </c>
      <c r="D749" s="199" t="s">
        <v>152</v>
      </c>
      <c r="E749" s="206">
        <v>135097</v>
      </c>
      <c r="F749" s="206"/>
      <c r="G749" s="206"/>
      <c r="H749" s="202">
        <f t="shared" si="11"/>
        <v>135097</v>
      </c>
      <c r="I749" s="205" t="s">
        <v>25</v>
      </c>
      <c r="J749" s="205" t="s">
        <v>214</v>
      </c>
      <c r="K749" s="205" t="s">
        <v>1042</v>
      </c>
      <c r="L749" s="205" t="s">
        <v>5857</v>
      </c>
      <c r="M749" s="201" t="s">
        <v>652</v>
      </c>
      <c r="N749" s="205" t="s">
        <v>652</v>
      </c>
      <c r="O749" s="205" t="s">
        <v>652</v>
      </c>
      <c r="P749" s="208" t="s">
        <v>2191</v>
      </c>
      <c r="Q749" s="208" t="s">
        <v>2192</v>
      </c>
      <c r="R749" s="208" t="s">
        <v>4438</v>
      </c>
    </row>
    <row r="750" spans="1:18" s="205" customFormat="1" x14ac:dyDescent="0.2">
      <c r="A750" s="205" t="s">
        <v>994</v>
      </c>
      <c r="B750" s="205" t="s">
        <v>5858</v>
      </c>
      <c r="C750" s="200">
        <v>45448</v>
      </c>
      <c r="D750" s="199" t="s">
        <v>152</v>
      </c>
      <c r="E750" s="206">
        <v>24268</v>
      </c>
      <c r="F750" s="206"/>
      <c r="G750" s="206"/>
      <c r="H750" s="202">
        <f t="shared" si="11"/>
        <v>24268</v>
      </c>
      <c r="I750" s="205" t="s">
        <v>25</v>
      </c>
      <c r="J750" s="205" t="s">
        <v>214</v>
      </c>
      <c r="K750" s="205" t="s">
        <v>1042</v>
      </c>
      <c r="L750" s="205" t="s">
        <v>5859</v>
      </c>
      <c r="M750" s="201" t="s">
        <v>1030</v>
      </c>
      <c r="N750" s="205" t="s">
        <v>1190</v>
      </c>
      <c r="O750" s="205" t="s">
        <v>1191</v>
      </c>
      <c r="P750" s="208" t="s">
        <v>863</v>
      </c>
      <c r="Q750" s="208" t="s">
        <v>5860</v>
      </c>
      <c r="R750" s="208" t="s">
        <v>4438</v>
      </c>
    </row>
    <row r="751" spans="1:18" s="205" customFormat="1" x14ac:dyDescent="0.2">
      <c r="A751" s="205" t="s">
        <v>5861</v>
      </c>
      <c r="B751" s="205" t="s">
        <v>5862</v>
      </c>
      <c r="C751" s="200">
        <v>45449</v>
      </c>
      <c r="D751" s="199" t="s">
        <v>152</v>
      </c>
      <c r="E751" s="206">
        <v>95488</v>
      </c>
      <c r="F751" s="206"/>
      <c r="G751" s="206"/>
      <c r="H751" s="202">
        <f t="shared" si="11"/>
        <v>95488</v>
      </c>
      <c r="I751" s="205" t="s">
        <v>25</v>
      </c>
      <c r="J751" s="205" t="s">
        <v>214</v>
      </c>
      <c r="K751" s="205" t="s">
        <v>1028</v>
      </c>
      <c r="L751" s="205" t="s">
        <v>5863</v>
      </c>
      <c r="M751" s="201" t="s">
        <v>1030</v>
      </c>
      <c r="N751" s="205" t="s">
        <v>652</v>
      </c>
      <c r="O751" s="205" t="s">
        <v>652</v>
      </c>
      <c r="P751" s="208" t="s">
        <v>3226</v>
      </c>
      <c r="Q751" s="208" t="s">
        <v>3375</v>
      </c>
      <c r="R751" s="208" t="s">
        <v>4456</v>
      </c>
    </row>
    <row r="752" spans="1:18" s="205" customFormat="1" x14ac:dyDescent="0.2">
      <c r="A752" s="205" t="s">
        <v>148</v>
      </c>
      <c r="B752" s="205" t="s">
        <v>2804</v>
      </c>
      <c r="C752" s="200">
        <v>45449</v>
      </c>
      <c r="D752" s="199" t="s">
        <v>152</v>
      </c>
      <c r="E752" s="206">
        <v>51180</v>
      </c>
      <c r="F752" s="206"/>
      <c r="G752" s="206"/>
      <c r="H752" s="202">
        <f t="shared" si="11"/>
        <v>51180</v>
      </c>
      <c r="I752" s="205" t="s">
        <v>25</v>
      </c>
      <c r="J752" s="205" t="s">
        <v>214</v>
      </c>
      <c r="K752" s="209" t="s">
        <v>1141</v>
      </c>
      <c r="L752" s="205" t="s">
        <v>5864</v>
      </c>
      <c r="M752" s="201" t="s">
        <v>652</v>
      </c>
      <c r="N752" s="205" t="s">
        <v>652</v>
      </c>
      <c r="O752" s="205" t="s">
        <v>652</v>
      </c>
      <c r="P752" s="208" t="s">
        <v>2191</v>
      </c>
      <c r="Q752" s="208" t="s">
        <v>2192</v>
      </c>
      <c r="R752" s="208" t="s">
        <v>4456</v>
      </c>
    </row>
    <row r="753" spans="1:18" s="205" customFormat="1" x14ac:dyDescent="0.2">
      <c r="A753" s="205" t="s">
        <v>4046</v>
      </c>
      <c r="B753" s="205" t="s">
        <v>4047</v>
      </c>
      <c r="C753" s="200">
        <v>45449</v>
      </c>
      <c r="D753" s="199" t="s">
        <v>152</v>
      </c>
      <c r="E753" s="206">
        <v>98583</v>
      </c>
      <c r="F753" s="206"/>
      <c r="G753" s="206"/>
      <c r="H753" s="202">
        <f t="shared" si="11"/>
        <v>98583</v>
      </c>
      <c r="I753" s="205" t="s">
        <v>25</v>
      </c>
      <c r="J753" s="205" t="s">
        <v>214</v>
      </c>
      <c r="K753" s="209" t="s">
        <v>1042</v>
      </c>
      <c r="L753" s="205" t="s">
        <v>5865</v>
      </c>
      <c r="M753" s="201" t="s">
        <v>1030</v>
      </c>
      <c r="N753" s="205" t="s">
        <v>1614</v>
      </c>
      <c r="O753" s="205" t="s">
        <v>1191</v>
      </c>
      <c r="P753" s="208" t="s">
        <v>3890</v>
      </c>
      <c r="Q753" s="208" t="s">
        <v>4049</v>
      </c>
      <c r="R753" s="208" t="s">
        <v>4456</v>
      </c>
    </row>
    <row r="754" spans="1:18" s="205" customFormat="1" x14ac:dyDescent="0.2">
      <c r="A754" s="205" t="s">
        <v>35</v>
      </c>
      <c r="B754" s="205" t="s">
        <v>351</v>
      </c>
      <c r="C754" s="200">
        <v>45449</v>
      </c>
      <c r="D754" s="199" t="s">
        <v>152</v>
      </c>
      <c r="E754" s="206">
        <v>139162</v>
      </c>
      <c r="F754" s="206"/>
      <c r="G754" s="206"/>
      <c r="H754" s="202">
        <f t="shared" si="11"/>
        <v>139162</v>
      </c>
      <c r="I754" s="205" t="s">
        <v>25</v>
      </c>
      <c r="J754" s="205" t="s">
        <v>214</v>
      </c>
      <c r="K754" s="209" t="s">
        <v>1042</v>
      </c>
      <c r="L754" s="205" t="s">
        <v>5866</v>
      </c>
      <c r="M754" s="201" t="s">
        <v>1030</v>
      </c>
      <c r="N754" s="205" t="s">
        <v>652</v>
      </c>
      <c r="O754" s="205" t="s">
        <v>652</v>
      </c>
      <c r="P754" s="216" t="s">
        <v>771</v>
      </c>
      <c r="Q754" s="216" t="s">
        <v>772</v>
      </c>
      <c r="R754" s="208" t="s">
        <v>4456</v>
      </c>
    </row>
    <row r="755" spans="1:18" s="205" customFormat="1" x14ac:dyDescent="0.2">
      <c r="A755" s="205" t="s">
        <v>34</v>
      </c>
      <c r="B755" s="205" t="s">
        <v>583</v>
      </c>
      <c r="C755" s="200">
        <v>45450</v>
      </c>
      <c r="D755" s="199" t="s">
        <v>152</v>
      </c>
      <c r="E755" s="206">
        <v>93193</v>
      </c>
      <c r="F755" s="206"/>
      <c r="G755" s="206"/>
      <c r="H755" s="202">
        <f t="shared" si="11"/>
        <v>93193</v>
      </c>
      <c r="I755" s="205" t="s">
        <v>25</v>
      </c>
      <c r="J755" s="205" t="s">
        <v>214</v>
      </c>
      <c r="K755" s="209" t="s">
        <v>1042</v>
      </c>
      <c r="L755" s="205" t="s">
        <v>5867</v>
      </c>
      <c r="M755" s="201" t="s">
        <v>1030</v>
      </c>
      <c r="N755" s="205" t="s">
        <v>652</v>
      </c>
      <c r="O755" s="205" t="s">
        <v>652</v>
      </c>
      <c r="P755" s="208" t="s">
        <v>653</v>
      </c>
      <c r="Q755" s="208" t="s">
        <v>654</v>
      </c>
      <c r="R755" s="208" t="s">
        <v>3035</v>
      </c>
    </row>
    <row r="756" spans="1:18" s="205" customFormat="1" x14ac:dyDescent="0.2">
      <c r="A756" s="205" t="s">
        <v>148</v>
      </c>
      <c r="B756" s="205" t="s">
        <v>2804</v>
      </c>
      <c r="C756" s="200">
        <v>45450</v>
      </c>
      <c r="D756" s="199" t="s">
        <v>152</v>
      </c>
      <c r="E756" s="206">
        <v>72009</v>
      </c>
      <c r="F756" s="206"/>
      <c r="G756" s="206"/>
      <c r="H756" s="202">
        <f t="shared" si="11"/>
        <v>72009</v>
      </c>
      <c r="I756" s="205" t="s">
        <v>25</v>
      </c>
      <c r="J756" s="205" t="s">
        <v>214</v>
      </c>
      <c r="K756" s="209" t="s">
        <v>1042</v>
      </c>
      <c r="L756" s="205" t="s">
        <v>5868</v>
      </c>
      <c r="M756" s="201" t="s">
        <v>652</v>
      </c>
      <c r="N756" s="205" t="s">
        <v>652</v>
      </c>
      <c r="O756" s="205" t="s">
        <v>652</v>
      </c>
      <c r="P756" s="208" t="s">
        <v>2191</v>
      </c>
      <c r="Q756" s="208" t="s">
        <v>2192</v>
      </c>
      <c r="R756" s="208" t="s">
        <v>3035</v>
      </c>
    </row>
    <row r="757" spans="1:18" s="205" customFormat="1" x14ac:dyDescent="0.2">
      <c r="A757" s="205" t="s">
        <v>34</v>
      </c>
      <c r="B757" s="205" t="s">
        <v>583</v>
      </c>
      <c r="C757" s="200">
        <v>45450</v>
      </c>
      <c r="D757" s="199" t="s">
        <v>152</v>
      </c>
      <c r="E757" s="206">
        <v>20517</v>
      </c>
      <c r="F757" s="206"/>
      <c r="G757" s="206"/>
      <c r="H757" s="202">
        <f t="shared" si="11"/>
        <v>20517</v>
      </c>
      <c r="I757" s="205" t="s">
        <v>25</v>
      </c>
      <c r="J757" s="205" t="s">
        <v>214</v>
      </c>
      <c r="K757" s="209" t="s">
        <v>1042</v>
      </c>
      <c r="L757" s="205" t="s">
        <v>5869</v>
      </c>
      <c r="M757" s="201" t="s">
        <v>1030</v>
      </c>
      <c r="N757" s="205" t="s">
        <v>652</v>
      </c>
      <c r="O757" s="205" t="s">
        <v>652</v>
      </c>
      <c r="P757" s="208" t="s">
        <v>653</v>
      </c>
      <c r="Q757" s="208" t="s">
        <v>654</v>
      </c>
      <c r="R757" s="208" t="s">
        <v>3035</v>
      </c>
    </row>
    <row r="758" spans="1:18" s="205" customFormat="1" x14ac:dyDescent="0.2">
      <c r="A758" s="205" t="s">
        <v>164</v>
      </c>
      <c r="B758" s="205" t="s">
        <v>301</v>
      </c>
      <c r="C758" s="200">
        <v>45453</v>
      </c>
      <c r="D758" s="199" t="s">
        <v>152</v>
      </c>
      <c r="E758" s="206">
        <v>20861</v>
      </c>
      <c r="F758" s="206"/>
      <c r="G758" s="206"/>
      <c r="H758" s="202">
        <f t="shared" si="11"/>
        <v>20861</v>
      </c>
      <c r="I758" s="205" t="s">
        <v>25</v>
      </c>
      <c r="J758" s="205" t="s">
        <v>214</v>
      </c>
      <c r="K758" s="209" t="s">
        <v>1042</v>
      </c>
      <c r="L758" s="205" t="s">
        <v>5870</v>
      </c>
      <c r="M758" s="201" t="s">
        <v>1030</v>
      </c>
      <c r="N758" s="205" t="s">
        <v>652</v>
      </c>
      <c r="O758" s="205" t="s">
        <v>652</v>
      </c>
      <c r="P758" s="208" t="s">
        <v>491</v>
      </c>
      <c r="Q758" s="208" t="s">
        <v>884</v>
      </c>
      <c r="R758" s="208" t="s">
        <v>4481</v>
      </c>
    </row>
    <row r="759" spans="1:18" s="205" customFormat="1" x14ac:dyDescent="0.2">
      <c r="A759" s="205" t="s">
        <v>165</v>
      </c>
      <c r="B759" s="205" t="s">
        <v>302</v>
      </c>
      <c r="C759" s="200">
        <v>45453</v>
      </c>
      <c r="D759" s="199" t="s">
        <v>152</v>
      </c>
      <c r="E759" s="206">
        <v>17866</v>
      </c>
      <c r="F759" s="206"/>
      <c r="G759" s="206"/>
      <c r="H759" s="202">
        <f t="shared" si="11"/>
        <v>17866</v>
      </c>
      <c r="I759" s="205" t="s">
        <v>25</v>
      </c>
      <c r="J759" s="205" t="s">
        <v>214</v>
      </c>
      <c r="K759" s="205" t="s">
        <v>1042</v>
      </c>
      <c r="L759" s="205" t="s">
        <v>5871</v>
      </c>
      <c r="M759" s="201" t="s">
        <v>1030</v>
      </c>
      <c r="N759" s="205" t="s">
        <v>652</v>
      </c>
      <c r="O759" s="205" t="s">
        <v>652</v>
      </c>
      <c r="P759" s="208" t="s">
        <v>491</v>
      </c>
      <c r="Q759" s="208" t="s">
        <v>884</v>
      </c>
      <c r="R759" s="208" t="s">
        <v>4481</v>
      </c>
    </row>
    <row r="760" spans="1:18" s="205" customFormat="1" x14ac:dyDescent="0.2">
      <c r="A760" s="205" t="s">
        <v>60</v>
      </c>
      <c r="B760" s="205" t="s">
        <v>541</v>
      </c>
      <c r="C760" s="200">
        <v>45453</v>
      </c>
      <c r="D760" s="199" t="s">
        <v>152</v>
      </c>
      <c r="E760" s="206">
        <v>8671</v>
      </c>
      <c r="F760" s="206"/>
      <c r="G760" s="206"/>
      <c r="H760" s="202">
        <f t="shared" si="11"/>
        <v>8671</v>
      </c>
      <c r="I760" s="205" t="s">
        <v>25</v>
      </c>
      <c r="J760" s="205" t="s">
        <v>214</v>
      </c>
      <c r="K760" s="205" t="s">
        <v>1042</v>
      </c>
      <c r="L760" s="205" t="s">
        <v>5872</v>
      </c>
      <c r="M760" s="201" t="s">
        <v>1030</v>
      </c>
      <c r="N760" s="205" t="s">
        <v>652</v>
      </c>
      <c r="O760" s="205" t="s">
        <v>652</v>
      </c>
      <c r="P760" s="214" t="s">
        <v>688</v>
      </c>
      <c r="Q760" s="214" t="s">
        <v>689</v>
      </c>
      <c r="R760" s="214" t="s">
        <v>4481</v>
      </c>
    </row>
    <row r="761" spans="1:18" s="205" customFormat="1" x14ac:dyDescent="0.2">
      <c r="A761" s="205" t="s">
        <v>34</v>
      </c>
      <c r="B761" s="205" t="s">
        <v>583</v>
      </c>
      <c r="C761" s="200">
        <v>45453</v>
      </c>
      <c r="D761" s="199" t="s">
        <v>152</v>
      </c>
      <c r="E761" s="206">
        <v>75620</v>
      </c>
      <c r="F761" s="206"/>
      <c r="G761" s="206"/>
      <c r="H761" s="202">
        <f t="shared" si="11"/>
        <v>75620</v>
      </c>
      <c r="I761" s="205" t="s">
        <v>25</v>
      </c>
      <c r="J761" s="205" t="s">
        <v>214</v>
      </c>
      <c r="K761" s="205" t="s">
        <v>1151</v>
      </c>
      <c r="L761" s="205" t="s">
        <v>5873</v>
      </c>
      <c r="M761" s="201" t="s">
        <v>1030</v>
      </c>
      <c r="N761" s="205" t="s">
        <v>652</v>
      </c>
      <c r="O761" s="205" t="s">
        <v>652</v>
      </c>
      <c r="P761" s="214" t="s">
        <v>653</v>
      </c>
      <c r="Q761" s="214" t="s">
        <v>654</v>
      </c>
      <c r="R761" s="214" t="s">
        <v>4481</v>
      </c>
    </row>
    <row r="762" spans="1:18" s="205" customFormat="1" x14ac:dyDescent="0.2">
      <c r="A762" s="205" t="s">
        <v>946</v>
      </c>
      <c r="B762" s="205" t="s">
        <v>947</v>
      </c>
      <c r="C762" s="200">
        <v>45453</v>
      </c>
      <c r="D762" s="199" t="s">
        <v>152</v>
      </c>
      <c r="E762" s="206">
        <v>357912</v>
      </c>
      <c r="F762" s="206"/>
      <c r="G762" s="206"/>
      <c r="H762" s="202">
        <f t="shared" si="11"/>
        <v>357912</v>
      </c>
      <c r="I762" s="205" t="s">
        <v>25</v>
      </c>
      <c r="J762" s="205" t="s">
        <v>214</v>
      </c>
      <c r="K762" s="205" t="s">
        <v>1042</v>
      </c>
      <c r="L762" s="205" t="s">
        <v>5874</v>
      </c>
      <c r="M762" s="201" t="s">
        <v>1072</v>
      </c>
      <c r="N762" s="205" t="s">
        <v>1073</v>
      </c>
      <c r="O762" s="205" t="s">
        <v>1074</v>
      </c>
      <c r="P762" s="208" t="s">
        <v>874</v>
      </c>
      <c r="Q762" s="208" t="s">
        <v>945</v>
      </c>
      <c r="R762" s="208" t="s">
        <v>4481</v>
      </c>
    </row>
    <row r="763" spans="1:18" s="205" customFormat="1" x14ac:dyDescent="0.2">
      <c r="A763" s="205" t="s">
        <v>226</v>
      </c>
      <c r="B763" s="205" t="s">
        <v>546</v>
      </c>
      <c r="C763" s="200">
        <v>45453</v>
      </c>
      <c r="D763" s="199" t="s">
        <v>152</v>
      </c>
      <c r="E763" s="206">
        <v>11566</v>
      </c>
      <c r="F763" s="206"/>
      <c r="G763" s="206"/>
      <c r="H763" s="202">
        <f t="shared" si="11"/>
        <v>11566</v>
      </c>
      <c r="I763" s="205" t="s">
        <v>25</v>
      </c>
      <c r="J763" s="205" t="s">
        <v>214</v>
      </c>
      <c r="K763" s="209" t="s">
        <v>1042</v>
      </c>
      <c r="L763" s="205" t="s">
        <v>5875</v>
      </c>
      <c r="M763" s="201" t="s">
        <v>1030</v>
      </c>
      <c r="N763" s="205" t="s">
        <v>652</v>
      </c>
      <c r="O763" s="205" t="s">
        <v>652</v>
      </c>
      <c r="P763" s="208" t="s">
        <v>699</v>
      </c>
      <c r="Q763" s="208" t="s">
        <v>700</v>
      </c>
      <c r="R763" s="208" t="s">
        <v>4481</v>
      </c>
    </row>
    <row r="764" spans="1:18" s="205" customFormat="1" x14ac:dyDescent="0.2">
      <c r="A764" s="205" t="s">
        <v>34</v>
      </c>
      <c r="B764" s="205" t="s">
        <v>583</v>
      </c>
      <c r="C764" s="200">
        <v>45454</v>
      </c>
      <c r="D764" s="199" t="s">
        <v>152</v>
      </c>
      <c r="E764" s="206">
        <v>42150</v>
      </c>
      <c r="F764" s="206"/>
      <c r="G764" s="206"/>
      <c r="H764" s="202">
        <f t="shared" si="11"/>
        <v>42150</v>
      </c>
      <c r="I764" s="205" t="s">
        <v>25</v>
      </c>
      <c r="J764" s="205" t="s">
        <v>214</v>
      </c>
      <c r="K764" s="209" t="s">
        <v>1042</v>
      </c>
      <c r="L764" s="205" t="s">
        <v>5876</v>
      </c>
      <c r="M764" s="201" t="s">
        <v>1030</v>
      </c>
      <c r="N764" s="205" t="s">
        <v>652</v>
      </c>
      <c r="O764" s="205" t="s">
        <v>652</v>
      </c>
      <c r="P764" s="208" t="s">
        <v>653</v>
      </c>
      <c r="Q764" s="208" t="s">
        <v>654</v>
      </c>
      <c r="R764" s="208" t="s">
        <v>761</v>
      </c>
    </row>
    <row r="765" spans="1:18" s="205" customFormat="1" x14ac:dyDescent="0.2">
      <c r="A765" s="205" t="s">
        <v>148</v>
      </c>
      <c r="B765" s="205" t="s">
        <v>2804</v>
      </c>
      <c r="C765" s="200">
        <v>45455</v>
      </c>
      <c r="D765" s="199" t="s">
        <v>152</v>
      </c>
      <c r="E765" s="206">
        <v>52097</v>
      </c>
      <c r="F765" s="206"/>
      <c r="G765" s="206"/>
      <c r="H765" s="202">
        <f t="shared" si="11"/>
        <v>52097</v>
      </c>
      <c r="I765" s="205" t="s">
        <v>25</v>
      </c>
      <c r="J765" s="205" t="s">
        <v>214</v>
      </c>
      <c r="K765" s="209" t="s">
        <v>1141</v>
      </c>
      <c r="L765" s="205" t="s">
        <v>5877</v>
      </c>
      <c r="M765" s="201" t="s">
        <v>652</v>
      </c>
      <c r="N765" s="205" t="s">
        <v>652</v>
      </c>
      <c r="O765" s="205" t="s">
        <v>652</v>
      </c>
      <c r="P765" s="208" t="s">
        <v>2191</v>
      </c>
      <c r="Q765" s="208" t="s">
        <v>2192</v>
      </c>
      <c r="R765" s="208" t="s">
        <v>4516</v>
      </c>
    </row>
    <row r="766" spans="1:18" s="205" customFormat="1" x14ac:dyDescent="0.2">
      <c r="A766" s="205" t="s">
        <v>164</v>
      </c>
      <c r="B766" s="205" t="s">
        <v>301</v>
      </c>
      <c r="C766" s="200">
        <v>45455</v>
      </c>
      <c r="D766" s="199" t="s">
        <v>152</v>
      </c>
      <c r="E766" s="206">
        <v>69161</v>
      </c>
      <c r="F766" s="206"/>
      <c r="G766" s="206"/>
      <c r="H766" s="202">
        <f t="shared" si="11"/>
        <v>69161</v>
      </c>
      <c r="I766" s="205" t="s">
        <v>25</v>
      </c>
      <c r="J766" s="205" t="s">
        <v>214</v>
      </c>
      <c r="K766" s="209" t="s">
        <v>1151</v>
      </c>
      <c r="L766" s="205" t="s">
        <v>5878</v>
      </c>
      <c r="M766" s="201" t="s">
        <v>1030</v>
      </c>
      <c r="N766" s="205" t="s">
        <v>652</v>
      </c>
      <c r="O766" s="205" t="s">
        <v>652</v>
      </c>
      <c r="P766" s="208" t="s">
        <v>491</v>
      </c>
      <c r="Q766" s="208" t="s">
        <v>884</v>
      </c>
      <c r="R766" s="208" t="s">
        <v>4516</v>
      </c>
    </row>
    <row r="767" spans="1:18" s="205" customFormat="1" x14ac:dyDescent="0.2">
      <c r="A767" s="205" t="s">
        <v>453</v>
      </c>
      <c r="B767" s="205" t="s">
        <v>478</v>
      </c>
      <c r="C767" s="200">
        <v>45455</v>
      </c>
      <c r="D767" s="199" t="s">
        <v>152</v>
      </c>
      <c r="E767" s="206">
        <v>214313</v>
      </c>
      <c r="F767" s="206"/>
      <c r="G767" s="206"/>
      <c r="H767" s="202">
        <f t="shared" si="11"/>
        <v>214313</v>
      </c>
      <c r="I767" s="205" t="s">
        <v>25</v>
      </c>
      <c r="J767" s="205" t="s">
        <v>214</v>
      </c>
      <c r="K767" s="209" t="s">
        <v>1042</v>
      </c>
      <c r="L767" s="205" t="s">
        <v>5879</v>
      </c>
      <c r="M767" s="201" t="s">
        <v>1030</v>
      </c>
      <c r="N767" s="205" t="s">
        <v>652</v>
      </c>
      <c r="O767" s="205" t="s">
        <v>652</v>
      </c>
      <c r="P767" s="208" t="s">
        <v>491</v>
      </c>
      <c r="Q767" s="208" t="s">
        <v>884</v>
      </c>
      <c r="R767" s="208" t="s">
        <v>4516</v>
      </c>
    </row>
    <row r="768" spans="1:18" s="205" customFormat="1" x14ac:dyDescent="0.2">
      <c r="A768" s="205" t="s">
        <v>225</v>
      </c>
      <c r="B768" s="205" t="s">
        <v>5851</v>
      </c>
      <c r="C768" s="200">
        <v>45455</v>
      </c>
      <c r="D768" s="199" t="s">
        <v>152</v>
      </c>
      <c r="E768" s="206">
        <v>29365</v>
      </c>
      <c r="F768" s="206"/>
      <c r="G768" s="206"/>
      <c r="H768" s="202">
        <f t="shared" si="11"/>
        <v>29365</v>
      </c>
      <c r="I768" s="205" t="s">
        <v>25</v>
      </c>
      <c r="J768" s="205" t="s">
        <v>214</v>
      </c>
      <c r="K768" s="205" t="s">
        <v>1141</v>
      </c>
      <c r="L768" s="205" t="s">
        <v>5880</v>
      </c>
      <c r="M768" s="201" t="s">
        <v>1030</v>
      </c>
      <c r="N768" s="205" t="s">
        <v>652</v>
      </c>
      <c r="O768" s="205" t="s">
        <v>652</v>
      </c>
      <c r="P768" s="208" t="s">
        <v>1534</v>
      </c>
      <c r="Q768" s="208" t="s">
        <v>3748</v>
      </c>
      <c r="R768" s="208" t="s">
        <v>4516</v>
      </c>
    </row>
    <row r="769" spans="1:18" s="205" customFormat="1" x14ac:dyDescent="0.2">
      <c r="A769" s="205" t="s">
        <v>68</v>
      </c>
      <c r="B769" s="205" t="s">
        <v>600</v>
      </c>
      <c r="C769" s="200">
        <v>45455</v>
      </c>
      <c r="D769" s="199" t="s">
        <v>152</v>
      </c>
      <c r="E769" s="206">
        <v>36064</v>
      </c>
      <c r="F769" s="206"/>
      <c r="G769" s="206"/>
      <c r="H769" s="202">
        <f t="shared" si="11"/>
        <v>36064</v>
      </c>
      <c r="I769" s="205" t="s">
        <v>25</v>
      </c>
      <c r="J769" s="205" t="s">
        <v>214</v>
      </c>
      <c r="K769" s="205" t="s">
        <v>1042</v>
      </c>
      <c r="L769" s="205" t="s">
        <v>5881</v>
      </c>
      <c r="M769" s="201" t="s">
        <v>1030</v>
      </c>
      <c r="N769" s="205" t="s">
        <v>652</v>
      </c>
      <c r="O769" s="205" t="s">
        <v>652</v>
      </c>
      <c r="P769" s="208" t="s">
        <v>653</v>
      </c>
      <c r="Q769" s="208" t="s">
        <v>654</v>
      </c>
      <c r="R769" s="208" t="s">
        <v>4516</v>
      </c>
    </row>
    <row r="770" spans="1:18" s="205" customFormat="1" x14ac:dyDescent="0.2">
      <c r="A770" s="205" t="s">
        <v>34</v>
      </c>
      <c r="B770" s="205" t="s">
        <v>583</v>
      </c>
      <c r="C770" s="200">
        <v>45455</v>
      </c>
      <c r="D770" s="199" t="s">
        <v>152</v>
      </c>
      <c r="E770" s="206">
        <v>12435</v>
      </c>
      <c r="F770" s="206"/>
      <c r="G770" s="206"/>
      <c r="H770" s="202">
        <f t="shared" ref="H770:H833" si="12">E770+G770-F770</f>
        <v>12435</v>
      </c>
      <c r="I770" s="205" t="s">
        <v>25</v>
      </c>
      <c r="J770" s="205" t="s">
        <v>214</v>
      </c>
      <c r="K770" s="205" t="s">
        <v>1042</v>
      </c>
      <c r="L770" s="205" t="s">
        <v>5882</v>
      </c>
      <c r="M770" s="201" t="s">
        <v>1030</v>
      </c>
      <c r="N770" s="205" t="s">
        <v>652</v>
      </c>
      <c r="O770" s="205" t="s">
        <v>652</v>
      </c>
      <c r="P770" s="208" t="s">
        <v>653</v>
      </c>
      <c r="Q770" s="208" t="s">
        <v>654</v>
      </c>
      <c r="R770" s="208" t="s">
        <v>4516</v>
      </c>
    </row>
    <row r="771" spans="1:18" s="205" customFormat="1" x14ac:dyDescent="0.2">
      <c r="A771" s="205" t="s">
        <v>309</v>
      </c>
      <c r="B771" s="205" t="s">
        <v>3182</v>
      </c>
      <c r="C771" s="200">
        <v>45455</v>
      </c>
      <c r="D771" s="199" t="s">
        <v>152</v>
      </c>
      <c r="E771" s="206">
        <v>35380</v>
      </c>
      <c r="F771" s="206"/>
      <c r="G771" s="206"/>
      <c r="H771" s="202">
        <f t="shared" si="12"/>
        <v>35380</v>
      </c>
      <c r="I771" s="205" t="s">
        <v>25</v>
      </c>
      <c r="J771" s="205" t="s">
        <v>214</v>
      </c>
      <c r="K771" s="205" t="s">
        <v>1141</v>
      </c>
      <c r="L771" s="205" t="s">
        <v>5883</v>
      </c>
      <c r="M771" s="201" t="s">
        <v>1030</v>
      </c>
      <c r="N771" s="205" t="s">
        <v>1295</v>
      </c>
      <c r="O771" s="205" t="s">
        <v>1061</v>
      </c>
      <c r="P771" s="208" t="s">
        <v>846</v>
      </c>
      <c r="Q771" s="208" t="s">
        <v>2922</v>
      </c>
      <c r="R771" s="208" t="s">
        <v>4516</v>
      </c>
    </row>
    <row r="772" spans="1:18" s="205" customFormat="1" x14ac:dyDescent="0.2">
      <c r="A772" s="205" t="s">
        <v>5884</v>
      </c>
      <c r="B772" s="205" t="s">
        <v>5885</v>
      </c>
      <c r="C772" s="200">
        <v>45456</v>
      </c>
      <c r="D772" s="199" t="s">
        <v>152</v>
      </c>
      <c r="E772" s="206">
        <v>185248</v>
      </c>
      <c r="F772" s="206"/>
      <c r="G772" s="206"/>
      <c r="H772" s="202">
        <f t="shared" si="12"/>
        <v>185248</v>
      </c>
      <c r="I772" s="205" t="s">
        <v>25</v>
      </c>
      <c r="J772" s="205" t="s">
        <v>214</v>
      </c>
      <c r="K772" s="205" t="s">
        <v>1028</v>
      </c>
      <c r="L772" s="205" t="s">
        <v>5886</v>
      </c>
      <c r="M772" s="201" t="s">
        <v>1030</v>
      </c>
      <c r="N772" s="205" t="s">
        <v>652</v>
      </c>
      <c r="O772" s="205" t="s">
        <v>652</v>
      </c>
      <c r="P772" s="208" t="s">
        <v>847</v>
      </c>
      <c r="Q772" s="208" t="s">
        <v>848</v>
      </c>
      <c r="R772" s="208" t="s">
        <v>4516</v>
      </c>
    </row>
    <row r="773" spans="1:18" s="205" customFormat="1" x14ac:dyDescent="0.2">
      <c r="A773" s="205" t="s">
        <v>78</v>
      </c>
      <c r="B773" s="205" t="s">
        <v>967</v>
      </c>
      <c r="C773" s="200">
        <v>45456</v>
      </c>
      <c r="D773" s="199" t="s">
        <v>152</v>
      </c>
      <c r="E773" s="206">
        <v>109231</v>
      </c>
      <c r="F773" s="206"/>
      <c r="G773" s="206"/>
      <c r="H773" s="202">
        <f t="shared" si="12"/>
        <v>109231</v>
      </c>
      <c r="I773" s="205" t="s">
        <v>25</v>
      </c>
      <c r="J773" s="205" t="s">
        <v>214</v>
      </c>
      <c r="K773" s="205" t="s">
        <v>1042</v>
      </c>
      <c r="L773" s="205" t="s">
        <v>5887</v>
      </c>
      <c r="M773" s="201" t="s">
        <v>1030</v>
      </c>
      <c r="N773" s="205" t="s">
        <v>652</v>
      </c>
      <c r="O773" s="205" t="s">
        <v>652</v>
      </c>
      <c r="P773" s="208" t="s">
        <v>786</v>
      </c>
      <c r="Q773" s="208" t="s">
        <v>962</v>
      </c>
      <c r="R773" s="208" t="s">
        <v>4635</v>
      </c>
    </row>
    <row r="774" spans="1:18" s="205" customFormat="1" x14ac:dyDescent="0.2">
      <c r="A774" s="205" t="s">
        <v>260</v>
      </c>
      <c r="B774" s="205" t="s">
        <v>2428</v>
      </c>
      <c r="C774" s="200">
        <v>45456</v>
      </c>
      <c r="D774" s="199" t="s">
        <v>152</v>
      </c>
      <c r="E774" s="206">
        <v>18717</v>
      </c>
      <c r="F774" s="206"/>
      <c r="G774" s="206"/>
      <c r="H774" s="202">
        <f t="shared" si="12"/>
        <v>18717</v>
      </c>
      <c r="I774" s="205" t="s">
        <v>25</v>
      </c>
      <c r="J774" s="205" t="s">
        <v>214</v>
      </c>
      <c r="K774" s="205" t="s">
        <v>1141</v>
      </c>
      <c r="L774" s="205" t="s">
        <v>5888</v>
      </c>
      <c r="M774" s="201" t="s">
        <v>1030</v>
      </c>
      <c r="N774" s="205" t="s">
        <v>652</v>
      </c>
      <c r="O774" s="205" t="s">
        <v>652</v>
      </c>
      <c r="P774" s="208" t="s">
        <v>2430</v>
      </c>
      <c r="Q774" s="208" t="s">
        <v>2431</v>
      </c>
      <c r="R774" s="208" t="s">
        <v>4635</v>
      </c>
    </row>
    <row r="775" spans="1:18" s="205" customFormat="1" x14ac:dyDescent="0.2">
      <c r="A775" s="209" t="s">
        <v>225</v>
      </c>
      <c r="B775" s="209" t="s">
        <v>5849</v>
      </c>
      <c r="C775" s="210">
        <v>45456</v>
      </c>
      <c r="D775" s="199" t="s">
        <v>152</v>
      </c>
      <c r="E775" s="211">
        <v>299441</v>
      </c>
      <c r="F775" s="211"/>
      <c r="G775" s="211"/>
      <c r="H775" s="202">
        <f t="shared" si="12"/>
        <v>299441</v>
      </c>
      <c r="I775" s="209" t="s">
        <v>25</v>
      </c>
      <c r="J775" s="209" t="s">
        <v>214</v>
      </c>
      <c r="K775" s="209" t="s">
        <v>1042</v>
      </c>
      <c r="L775" s="209" t="s">
        <v>5889</v>
      </c>
      <c r="M775" s="201" t="s">
        <v>1030</v>
      </c>
      <c r="N775" s="209" t="s">
        <v>652</v>
      </c>
      <c r="O775" s="209" t="s">
        <v>652</v>
      </c>
      <c r="P775" s="213" t="s">
        <v>1534</v>
      </c>
      <c r="Q775" s="213" t="s">
        <v>3748</v>
      </c>
      <c r="R775" s="213" t="s">
        <v>4635</v>
      </c>
    </row>
    <row r="776" spans="1:18" s="205" customFormat="1" x14ac:dyDescent="0.2">
      <c r="A776" s="209" t="s">
        <v>5884</v>
      </c>
      <c r="B776" s="209" t="s">
        <v>5890</v>
      </c>
      <c r="C776" s="210">
        <v>45457</v>
      </c>
      <c r="D776" s="199" t="s">
        <v>152</v>
      </c>
      <c r="E776" s="211">
        <v>185248</v>
      </c>
      <c r="F776" s="211"/>
      <c r="G776" s="211"/>
      <c r="H776" s="202">
        <f t="shared" si="12"/>
        <v>185248</v>
      </c>
      <c r="I776" s="209" t="s">
        <v>25</v>
      </c>
      <c r="J776" s="209" t="s">
        <v>214</v>
      </c>
      <c r="K776" s="209" t="s">
        <v>1028</v>
      </c>
      <c r="L776" s="209" t="s">
        <v>5891</v>
      </c>
      <c r="M776" s="201" t="s">
        <v>1030</v>
      </c>
      <c r="N776" s="209" t="s">
        <v>652</v>
      </c>
      <c r="O776" s="209" t="s">
        <v>652</v>
      </c>
      <c r="P776" s="213" t="s">
        <v>2054</v>
      </c>
      <c r="Q776" s="213" t="s">
        <v>2055</v>
      </c>
      <c r="R776" s="213" t="s">
        <v>861</v>
      </c>
    </row>
    <row r="777" spans="1:18" s="205" customFormat="1" x14ac:dyDescent="0.2">
      <c r="A777" s="205" t="s">
        <v>148</v>
      </c>
      <c r="B777" s="205" t="s">
        <v>2804</v>
      </c>
      <c r="C777" s="200">
        <v>45457</v>
      </c>
      <c r="D777" s="199" t="s">
        <v>152</v>
      </c>
      <c r="E777" s="206">
        <v>794633</v>
      </c>
      <c r="F777" s="206"/>
      <c r="G777" s="206"/>
      <c r="H777" s="202">
        <f t="shared" si="12"/>
        <v>794633</v>
      </c>
      <c r="I777" s="205" t="s">
        <v>25</v>
      </c>
      <c r="J777" s="205" t="s">
        <v>214</v>
      </c>
      <c r="K777" s="209" t="s">
        <v>1042</v>
      </c>
      <c r="L777" s="205" t="s">
        <v>5892</v>
      </c>
      <c r="M777" s="201" t="s">
        <v>652</v>
      </c>
      <c r="N777" s="205" t="s">
        <v>652</v>
      </c>
      <c r="O777" s="205" t="s">
        <v>652</v>
      </c>
      <c r="P777" s="208" t="s">
        <v>2191</v>
      </c>
      <c r="Q777" s="208" t="s">
        <v>2192</v>
      </c>
      <c r="R777" s="208" t="s">
        <v>861</v>
      </c>
    </row>
    <row r="778" spans="1:18" s="205" customFormat="1" x14ac:dyDescent="0.2">
      <c r="A778" s="205" t="s">
        <v>34</v>
      </c>
      <c r="B778" s="205" t="s">
        <v>583</v>
      </c>
      <c r="C778" s="200">
        <v>45457</v>
      </c>
      <c r="D778" s="199" t="s">
        <v>152</v>
      </c>
      <c r="E778" s="206">
        <v>12374</v>
      </c>
      <c r="F778" s="206"/>
      <c r="G778" s="206"/>
      <c r="H778" s="202">
        <f t="shared" si="12"/>
        <v>12374</v>
      </c>
      <c r="I778" s="205" t="s">
        <v>25</v>
      </c>
      <c r="J778" s="205" t="s">
        <v>214</v>
      </c>
      <c r="K778" s="209" t="s">
        <v>1042</v>
      </c>
      <c r="L778" s="205" t="s">
        <v>5893</v>
      </c>
      <c r="M778" s="201" t="s">
        <v>1030</v>
      </c>
      <c r="N778" s="205" t="s">
        <v>652</v>
      </c>
      <c r="O778" s="205" t="s">
        <v>652</v>
      </c>
      <c r="P778" s="208" t="s">
        <v>653</v>
      </c>
      <c r="Q778" s="208" t="s">
        <v>654</v>
      </c>
      <c r="R778" s="208" t="s">
        <v>861</v>
      </c>
    </row>
    <row r="779" spans="1:18" s="205" customFormat="1" x14ac:dyDescent="0.2">
      <c r="A779" s="205" t="s">
        <v>154</v>
      </c>
      <c r="B779" s="205" t="s">
        <v>542</v>
      </c>
      <c r="C779" s="200">
        <v>45457</v>
      </c>
      <c r="D779" s="199" t="s">
        <v>152</v>
      </c>
      <c r="E779" s="206">
        <v>17498</v>
      </c>
      <c r="F779" s="206"/>
      <c r="G779" s="206"/>
      <c r="H779" s="202">
        <f t="shared" si="12"/>
        <v>17498</v>
      </c>
      <c r="I779" s="205" t="s">
        <v>25</v>
      </c>
      <c r="J779" s="205" t="s">
        <v>214</v>
      </c>
      <c r="K779" s="209" t="s">
        <v>1042</v>
      </c>
      <c r="L779" s="205" t="s">
        <v>5894</v>
      </c>
      <c r="M779" s="201" t="s">
        <v>1030</v>
      </c>
      <c r="N779" s="205" t="s">
        <v>652</v>
      </c>
      <c r="O779" s="205" t="s">
        <v>652</v>
      </c>
      <c r="P779" s="208" t="s">
        <v>688</v>
      </c>
      <c r="Q779" s="208" t="s">
        <v>689</v>
      </c>
      <c r="R779" s="208" t="s">
        <v>861</v>
      </c>
    </row>
    <row r="780" spans="1:18" s="205" customFormat="1" x14ac:dyDescent="0.2">
      <c r="A780" s="205" t="s">
        <v>5895</v>
      </c>
      <c r="B780" s="205" t="s">
        <v>5896</v>
      </c>
      <c r="C780" s="200">
        <v>45457</v>
      </c>
      <c r="D780" s="199" t="s">
        <v>152</v>
      </c>
      <c r="E780" s="206">
        <v>35142</v>
      </c>
      <c r="F780" s="206"/>
      <c r="G780" s="206"/>
      <c r="H780" s="202">
        <f t="shared" si="12"/>
        <v>35142</v>
      </c>
      <c r="I780" s="205" t="s">
        <v>25</v>
      </c>
      <c r="J780" s="205" t="s">
        <v>214</v>
      </c>
      <c r="K780" s="209" t="s">
        <v>1028</v>
      </c>
      <c r="L780" s="205" t="s">
        <v>5897</v>
      </c>
      <c r="M780" s="201" t="s">
        <v>1030</v>
      </c>
      <c r="N780" s="205" t="s">
        <v>652</v>
      </c>
      <c r="O780" s="205" t="s">
        <v>652</v>
      </c>
      <c r="P780" s="208" t="s">
        <v>4875</v>
      </c>
      <c r="Q780" s="208" t="s">
        <v>5778</v>
      </c>
      <c r="R780" s="208" t="s">
        <v>861</v>
      </c>
    </row>
    <row r="781" spans="1:18" s="205" customFormat="1" x14ac:dyDescent="0.2">
      <c r="A781" s="205" t="s">
        <v>1298</v>
      </c>
      <c r="B781" s="205" t="s">
        <v>1299</v>
      </c>
      <c r="C781" s="200">
        <v>45457</v>
      </c>
      <c r="D781" s="199" t="s">
        <v>152</v>
      </c>
      <c r="E781" s="206">
        <v>51428</v>
      </c>
      <c r="F781" s="206"/>
      <c r="G781" s="206"/>
      <c r="H781" s="202">
        <f t="shared" si="12"/>
        <v>51428</v>
      </c>
      <c r="I781" s="205" t="s">
        <v>25</v>
      </c>
      <c r="J781" s="205" t="s">
        <v>214</v>
      </c>
      <c r="K781" s="209" t="s">
        <v>1042</v>
      </c>
      <c r="L781" s="205" t="s">
        <v>5898</v>
      </c>
      <c r="M781" s="201" t="s">
        <v>1301</v>
      </c>
      <c r="N781" s="205" t="s">
        <v>1302</v>
      </c>
      <c r="O781" s="205" t="s">
        <v>1066</v>
      </c>
      <c r="P781" s="208" t="s">
        <v>866</v>
      </c>
      <c r="Q781" s="208" t="s">
        <v>986</v>
      </c>
      <c r="R781" s="208" t="s">
        <v>861</v>
      </c>
    </row>
    <row r="782" spans="1:18" s="205" customFormat="1" x14ac:dyDescent="0.2">
      <c r="A782" s="205" t="s">
        <v>35</v>
      </c>
      <c r="B782" s="205" t="s">
        <v>351</v>
      </c>
      <c r="C782" s="200">
        <v>45457</v>
      </c>
      <c r="D782" s="199" t="s">
        <v>152</v>
      </c>
      <c r="E782" s="206">
        <v>8919</v>
      </c>
      <c r="F782" s="206"/>
      <c r="G782" s="206"/>
      <c r="H782" s="202">
        <f t="shared" si="12"/>
        <v>8919</v>
      </c>
      <c r="I782" s="205" t="s">
        <v>25</v>
      </c>
      <c r="J782" s="205" t="s">
        <v>214</v>
      </c>
      <c r="K782" s="209" t="s">
        <v>1042</v>
      </c>
      <c r="L782" s="205" t="s">
        <v>5899</v>
      </c>
      <c r="M782" s="201" t="s">
        <v>1030</v>
      </c>
      <c r="N782" s="205" t="s">
        <v>652</v>
      </c>
      <c r="O782" s="205" t="s">
        <v>652</v>
      </c>
      <c r="P782" s="208" t="s">
        <v>771</v>
      </c>
      <c r="Q782" s="208" t="s">
        <v>772</v>
      </c>
      <c r="R782" s="208" t="s">
        <v>861</v>
      </c>
    </row>
    <row r="783" spans="1:18" s="205" customFormat="1" x14ac:dyDescent="0.2">
      <c r="A783" s="205" t="s">
        <v>260</v>
      </c>
      <c r="B783" s="205" t="s">
        <v>2428</v>
      </c>
      <c r="C783" s="200">
        <v>45459</v>
      </c>
      <c r="D783" s="199" t="s">
        <v>152</v>
      </c>
      <c r="E783" s="206">
        <v>20764</v>
      </c>
      <c r="F783" s="206"/>
      <c r="G783" s="206"/>
      <c r="H783" s="202">
        <f t="shared" si="12"/>
        <v>20764</v>
      </c>
      <c r="I783" s="205" t="s">
        <v>25</v>
      </c>
      <c r="J783" s="205" t="s">
        <v>214</v>
      </c>
      <c r="K783" s="209" t="s">
        <v>1042</v>
      </c>
      <c r="L783" s="205" t="s">
        <v>5900</v>
      </c>
      <c r="M783" s="201" t="s">
        <v>1030</v>
      </c>
      <c r="N783" s="205" t="s">
        <v>652</v>
      </c>
      <c r="O783" s="205" t="s">
        <v>652</v>
      </c>
      <c r="P783" s="216" t="s">
        <v>2430</v>
      </c>
      <c r="Q783" s="216" t="s">
        <v>2431</v>
      </c>
      <c r="R783" s="208" t="s">
        <v>3738</v>
      </c>
    </row>
    <row r="784" spans="1:18" s="205" customFormat="1" x14ac:dyDescent="0.2">
      <c r="A784" s="205" t="s">
        <v>60</v>
      </c>
      <c r="B784" s="205" t="s">
        <v>541</v>
      </c>
      <c r="C784" s="200">
        <v>45461</v>
      </c>
      <c r="D784" s="199" t="s">
        <v>152</v>
      </c>
      <c r="E784" s="206">
        <v>413303</v>
      </c>
      <c r="F784" s="206"/>
      <c r="G784" s="206"/>
      <c r="H784" s="202">
        <f t="shared" si="12"/>
        <v>413303</v>
      </c>
      <c r="I784" s="205" t="s">
        <v>25</v>
      </c>
      <c r="J784" s="205" t="s">
        <v>214</v>
      </c>
      <c r="K784" s="205" t="s">
        <v>1042</v>
      </c>
      <c r="L784" s="205" t="s">
        <v>5901</v>
      </c>
      <c r="M784" s="201" t="s">
        <v>1030</v>
      </c>
      <c r="N784" s="205" t="s">
        <v>652</v>
      </c>
      <c r="O784" s="205" t="s">
        <v>652</v>
      </c>
      <c r="P784" s="208" t="s">
        <v>688</v>
      </c>
      <c r="Q784" s="208" t="s">
        <v>689</v>
      </c>
      <c r="R784" s="208" t="s">
        <v>4662</v>
      </c>
    </row>
    <row r="785" spans="1:18" s="205" customFormat="1" x14ac:dyDescent="0.2">
      <c r="A785" s="205" t="s">
        <v>148</v>
      </c>
      <c r="B785" s="205" t="s">
        <v>2804</v>
      </c>
      <c r="C785" s="200">
        <v>45461</v>
      </c>
      <c r="D785" s="199" t="s">
        <v>152</v>
      </c>
      <c r="E785" s="206">
        <v>157778</v>
      </c>
      <c r="F785" s="206"/>
      <c r="G785" s="206"/>
      <c r="H785" s="202">
        <f t="shared" si="12"/>
        <v>157778</v>
      </c>
      <c r="I785" s="205" t="s">
        <v>25</v>
      </c>
      <c r="J785" s="205" t="s">
        <v>214</v>
      </c>
      <c r="K785" s="205" t="s">
        <v>1141</v>
      </c>
      <c r="L785" s="205" t="s">
        <v>5902</v>
      </c>
      <c r="M785" s="201" t="s">
        <v>652</v>
      </c>
      <c r="N785" s="205" t="s">
        <v>652</v>
      </c>
      <c r="O785" s="205" t="s">
        <v>652</v>
      </c>
      <c r="P785" s="208" t="s">
        <v>2191</v>
      </c>
      <c r="Q785" s="208" t="s">
        <v>2192</v>
      </c>
      <c r="R785" s="208" t="s">
        <v>4662</v>
      </c>
    </row>
    <row r="786" spans="1:18" s="205" customFormat="1" x14ac:dyDescent="0.2">
      <c r="A786" s="205" t="s">
        <v>420</v>
      </c>
      <c r="B786" s="205" t="s">
        <v>640</v>
      </c>
      <c r="C786" s="200">
        <v>45461</v>
      </c>
      <c r="D786" s="199" t="s">
        <v>152</v>
      </c>
      <c r="E786" s="206">
        <v>889224</v>
      </c>
      <c r="F786" s="206"/>
      <c r="G786" s="206"/>
      <c r="H786" s="202">
        <f t="shared" si="12"/>
        <v>889224</v>
      </c>
      <c r="I786" s="205" t="s">
        <v>25</v>
      </c>
      <c r="J786" s="205" t="s">
        <v>214</v>
      </c>
      <c r="K786" s="205" t="s">
        <v>1042</v>
      </c>
      <c r="L786" s="205" t="s">
        <v>5903</v>
      </c>
      <c r="M786" s="201" t="s">
        <v>1030</v>
      </c>
      <c r="N786" s="205" t="s">
        <v>652</v>
      </c>
      <c r="O786" s="205" t="s">
        <v>652</v>
      </c>
      <c r="P786" s="208" t="s">
        <v>2186</v>
      </c>
      <c r="Q786" s="208" t="s">
        <v>2187</v>
      </c>
      <c r="R786" s="208" t="s">
        <v>4662</v>
      </c>
    </row>
    <row r="787" spans="1:18" s="205" customFormat="1" x14ac:dyDescent="0.2">
      <c r="A787" s="209" t="s">
        <v>164</v>
      </c>
      <c r="B787" s="209" t="s">
        <v>301</v>
      </c>
      <c r="C787" s="210">
        <v>45462</v>
      </c>
      <c r="D787" s="199" t="s">
        <v>152</v>
      </c>
      <c r="E787" s="211">
        <v>207482</v>
      </c>
      <c r="F787" s="211"/>
      <c r="G787" s="211"/>
      <c r="H787" s="202">
        <f t="shared" si="12"/>
        <v>207482</v>
      </c>
      <c r="I787" s="209" t="s">
        <v>25</v>
      </c>
      <c r="J787" s="209" t="s">
        <v>214</v>
      </c>
      <c r="K787" s="209" t="s">
        <v>1151</v>
      </c>
      <c r="L787" s="209" t="s">
        <v>5904</v>
      </c>
      <c r="M787" s="201" t="s">
        <v>1030</v>
      </c>
      <c r="N787" s="209" t="s">
        <v>652</v>
      </c>
      <c r="O787" s="209" t="s">
        <v>652</v>
      </c>
      <c r="P787" s="213" t="s">
        <v>491</v>
      </c>
      <c r="Q787" s="213" t="s">
        <v>884</v>
      </c>
      <c r="R787" s="213" t="s">
        <v>884</v>
      </c>
    </row>
    <row r="788" spans="1:18" s="205" customFormat="1" x14ac:dyDescent="0.2">
      <c r="A788" s="209" t="s">
        <v>164</v>
      </c>
      <c r="B788" s="209" t="s">
        <v>301</v>
      </c>
      <c r="C788" s="210">
        <v>45462</v>
      </c>
      <c r="D788" s="199" t="s">
        <v>152</v>
      </c>
      <c r="E788" s="211">
        <v>4013</v>
      </c>
      <c r="F788" s="206"/>
      <c r="G788" s="206"/>
      <c r="H788" s="202">
        <f t="shared" si="12"/>
        <v>4013</v>
      </c>
      <c r="I788" s="209" t="s">
        <v>25</v>
      </c>
      <c r="J788" s="209" t="s">
        <v>214</v>
      </c>
      <c r="K788" s="209" t="s">
        <v>1042</v>
      </c>
      <c r="L788" s="209" t="s">
        <v>5905</v>
      </c>
      <c r="M788" s="201" t="s">
        <v>1030</v>
      </c>
      <c r="N788" s="209" t="s">
        <v>652</v>
      </c>
      <c r="O788" s="209" t="s">
        <v>652</v>
      </c>
      <c r="P788" s="213" t="s">
        <v>491</v>
      </c>
      <c r="Q788" s="213" t="s">
        <v>884</v>
      </c>
      <c r="R788" s="213" t="s">
        <v>884</v>
      </c>
    </row>
    <row r="789" spans="1:18" s="205" customFormat="1" x14ac:dyDescent="0.2">
      <c r="A789" s="205" t="s">
        <v>164</v>
      </c>
      <c r="B789" s="205" t="s">
        <v>301</v>
      </c>
      <c r="C789" s="200">
        <v>45462</v>
      </c>
      <c r="D789" s="205" t="s">
        <v>152</v>
      </c>
      <c r="E789" s="206">
        <v>4901</v>
      </c>
      <c r="F789" s="206"/>
      <c r="G789" s="206"/>
      <c r="H789" s="202">
        <f t="shared" si="12"/>
        <v>4901</v>
      </c>
      <c r="I789" s="205" t="s">
        <v>25</v>
      </c>
      <c r="J789" s="205" t="s">
        <v>214</v>
      </c>
      <c r="K789" s="209" t="s">
        <v>1042</v>
      </c>
      <c r="L789" s="205" t="s">
        <v>5906</v>
      </c>
      <c r="M789" s="201" t="s">
        <v>1030</v>
      </c>
      <c r="N789" s="205" t="s">
        <v>652</v>
      </c>
      <c r="O789" s="205" t="s">
        <v>652</v>
      </c>
      <c r="P789" s="208" t="s">
        <v>491</v>
      </c>
      <c r="Q789" s="208" t="s">
        <v>884</v>
      </c>
      <c r="R789" s="208" t="s">
        <v>884</v>
      </c>
    </row>
    <row r="790" spans="1:18" s="205" customFormat="1" x14ac:dyDescent="0.2">
      <c r="A790" s="205" t="s">
        <v>165</v>
      </c>
      <c r="B790" s="205" t="s">
        <v>302</v>
      </c>
      <c r="C790" s="200">
        <v>45462</v>
      </c>
      <c r="D790" s="205" t="s">
        <v>152</v>
      </c>
      <c r="E790" s="206">
        <v>11874</v>
      </c>
      <c r="F790" s="206"/>
      <c r="G790" s="206"/>
      <c r="H790" s="202">
        <f t="shared" si="12"/>
        <v>11874</v>
      </c>
      <c r="I790" s="205" t="s">
        <v>25</v>
      </c>
      <c r="J790" s="205" t="s">
        <v>214</v>
      </c>
      <c r="K790" s="209" t="s">
        <v>1042</v>
      </c>
      <c r="L790" s="205" t="s">
        <v>5907</v>
      </c>
      <c r="M790" s="201" t="s">
        <v>1030</v>
      </c>
      <c r="N790" s="205" t="s">
        <v>652</v>
      </c>
      <c r="O790" s="205" t="s">
        <v>652</v>
      </c>
      <c r="P790" s="208" t="s">
        <v>491</v>
      </c>
      <c r="Q790" s="208" t="s">
        <v>884</v>
      </c>
      <c r="R790" s="208" t="s">
        <v>884</v>
      </c>
    </row>
    <row r="791" spans="1:18" s="205" customFormat="1" x14ac:dyDescent="0.2">
      <c r="A791" s="205" t="s">
        <v>164</v>
      </c>
      <c r="B791" s="205" t="s">
        <v>5908</v>
      </c>
      <c r="C791" s="200">
        <v>45462</v>
      </c>
      <c r="D791" s="205" t="s">
        <v>152</v>
      </c>
      <c r="E791" s="206">
        <v>65564920</v>
      </c>
      <c r="F791" s="206"/>
      <c r="G791" s="206"/>
      <c r="H791" s="202">
        <f t="shared" si="12"/>
        <v>65564920</v>
      </c>
      <c r="I791" s="205" t="s">
        <v>25</v>
      </c>
      <c r="J791" s="205" t="s">
        <v>214</v>
      </c>
      <c r="K791" s="209" t="s">
        <v>1028</v>
      </c>
      <c r="L791" s="205" t="s">
        <v>5909</v>
      </c>
      <c r="M791" s="201" t="s">
        <v>1030</v>
      </c>
      <c r="N791" s="205" t="s">
        <v>652</v>
      </c>
      <c r="O791" s="205" t="s">
        <v>652</v>
      </c>
      <c r="P791" s="208" t="s">
        <v>4691</v>
      </c>
      <c r="Q791" s="208" t="s">
        <v>5910</v>
      </c>
      <c r="R791" s="208" t="s">
        <v>884</v>
      </c>
    </row>
    <row r="792" spans="1:18" s="205" customFormat="1" x14ac:dyDescent="0.2">
      <c r="A792" s="205" t="s">
        <v>453</v>
      </c>
      <c r="B792" s="205" t="s">
        <v>5911</v>
      </c>
      <c r="C792" s="200">
        <v>45462</v>
      </c>
      <c r="D792" s="205" t="s">
        <v>152</v>
      </c>
      <c r="E792" s="206">
        <v>609509</v>
      </c>
      <c r="F792" s="206"/>
      <c r="G792" s="206"/>
      <c r="H792" s="202">
        <f t="shared" si="12"/>
        <v>609509</v>
      </c>
      <c r="I792" s="205" t="s">
        <v>25</v>
      </c>
      <c r="J792" s="205" t="s">
        <v>214</v>
      </c>
      <c r="K792" s="205" t="s">
        <v>1028</v>
      </c>
      <c r="L792" s="205" t="s">
        <v>5912</v>
      </c>
      <c r="M792" s="201" t="s">
        <v>1030</v>
      </c>
      <c r="N792" s="205" t="s">
        <v>652</v>
      </c>
      <c r="O792" s="205" t="s">
        <v>652</v>
      </c>
      <c r="P792" s="208" t="s">
        <v>4691</v>
      </c>
      <c r="Q792" s="208" t="s">
        <v>5910</v>
      </c>
      <c r="R792" s="208" t="s">
        <v>884</v>
      </c>
    </row>
    <row r="793" spans="1:18" s="205" customFormat="1" x14ac:dyDescent="0.2">
      <c r="A793" s="205" t="s">
        <v>162</v>
      </c>
      <c r="B793" s="205" t="s">
        <v>5913</v>
      </c>
      <c r="C793" s="200">
        <v>45462</v>
      </c>
      <c r="D793" s="205" t="s">
        <v>152</v>
      </c>
      <c r="E793" s="206">
        <v>741402</v>
      </c>
      <c r="F793" s="206"/>
      <c r="G793" s="206"/>
      <c r="H793" s="202">
        <f t="shared" si="12"/>
        <v>741402</v>
      </c>
      <c r="I793" s="205" t="s">
        <v>25</v>
      </c>
      <c r="J793" s="205" t="s">
        <v>214</v>
      </c>
      <c r="K793" s="205" t="s">
        <v>1028</v>
      </c>
      <c r="L793" s="205" t="s">
        <v>5914</v>
      </c>
      <c r="M793" s="201" t="s">
        <v>1030</v>
      </c>
      <c r="N793" s="205" t="s">
        <v>652</v>
      </c>
      <c r="O793" s="205" t="s">
        <v>652</v>
      </c>
      <c r="P793" s="208" t="s">
        <v>4691</v>
      </c>
      <c r="Q793" s="208" t="s">
        <v>907</v>
      </c>
      <c r="R793" s="208" t="s">
        <v>884</v>
      </c>
    </row>
    <row r="794" spans="1:18" s="205" customFormat="1" x14ac:dyDescent="0.2">
      <c r="A794" s="209" t="s">
        <v>163</v>
      </c>
      <c r="B794" s="209" t="s">
        <v>5915</v>
      </c>
      <c r="C794" s="210">
        <v>45462</v>
      </c>
      <c r="D794" s="205" t="s">
        <v>152</v>
      </c>
      <c r="E794" s="211">
        <v>3496627</v>
      </c>
      <c r="F794" s="211"/>
      <c r="G794" s="211"/>
      <c r="H794" s="202">
        <f t="shared" si="12"/>
        <v>3496627</v>
      </c>
      <c r="I794" s="209" t="s">
        <v>25</v>
      </c>
      <c r="J794" s="209" t="s">
        <v>214</v>
      </c>
      <c r="K794" s="209" t="s">
        <v>1028</v>
      </c>
      <c r="L794" s="209" t="s">
        <v>5916</v>
      </c>
      <c r="M794" s="201" t="s">
        <v>1030</v>
      </c>
      <c r="N794" s="209" t="s">
        <v>652</v>
      </c>
      <c r="O794" s="209" t="s">
        <v>652</v>
      </c>
      <c r="P794" s="213" t="s">
        <v>4691</v>
      </c>
      <c r="Q794" s="213" t="s">
        <v>5910</v>
      </c>
      <c r="R794" s="213" t="s">
        <v>884</v>
      </c>
    </row>
    <row r="795" spans="1:18" s="199" customFormat="1" x14ac:dyDescent="0.2">
      <c r="A795" s="199" t="s">
        <v>472</v>
      </c>
      <c r="B795" s="199" t="s">
        <v>5917</v>
      </c>
      <c r="C795" s="200">
        <v>45462</v>
      </c>
      <c r="D795" s="205" t="s">
        <v>152</v>
      </c>
      <c r="E795" s="202">
        <v>737930</v>
      </c>
      <c r="F795" s="202"/>
      <c r="G795" s="202"/>
      <c r="H795" s="202">
        <f t="shared" si="12"/>
        <v>737930</v>
      </c>
      <c r="I795" s="199" t="s">
        <v>25</v>
      </c>
      <c r="J795" s="199" t="s">
        <v>214</v>
      </c>
      <c r="K795" s="201" t="s">
        <v>1028</v>
      </c>
      <c r="L795" s="199" t="s">
        <v>5918</v>
      </c>
      <c r="M795" s="201" t="s">
        <v>1030</v>
      </c>
      <c r="N795" s="199" t="s">
        <v>652</v>
      </c>
      <c r="O795" s="199" t="s">
        <v>652</v>
      </c>
      <c r="P795" s="204" t="s">
        <v>4691</v>
      </c>
      <c r="Q795" s="204" t="s">
        <v>5910</v>
      </c>
      <c r="R795" s="204" t="s">
        <v>884</v>
      </c>
    </row>
    <row r="796" spans="1:18" s="205" customFormat="1" x14ac:dyDescent="0.2">
      <c r="A796" s="205" t="s">
        <v>165</v>
      </c>
      <c r="B796" s="205" t="s">
        <v>5919</v>
      </c>
      <c r="C796" s="200">
        <v>45462</v>
      </c>
      <c r="D796" s="205" t="s">
        <v>152</v>
      </c>
      <c r="E796" s="206">
        <v>21642996</v>
      </c>
      <c r="F796" s="206"/>
      <c r="G796" s="206"/>
      <c r="H796" s="202">
        <f t="shared" si="12"/>
        <v>21642996</v>
      </c>
      <c r="I796" s="205" t="s">
        <v>25</v>
      </c>
      <c r="J796" s="205" t="s">
        <v>214</v>
      </c>
      <c r="K796" s="209" t="s">
        <v>1028</v>
      </c>
      <c r="L796" s="205" t="s">
        <v>5920</v>
      </c>
      <c r="M796" s="201" t="s">
        <v>1030</v>
      </c>
      <c r="N796" s="205" t="s">
        <v>652</v>
      </c>
      <c r="O796" s="205" t="s">
        <v>652</v>
      </c>
      <c r="P796" s="208" t="s">
        <v>4691</v>
      </c>
      <c r="Q796" s="208" t="s">
        <v>5910</v>
      </c>
      <c r="R796" s="208" t="s">
        <v>884</v>
      </c>
    </row>
    <row r="797" spans="1:18" s="205" customFormat="1" x14ac:dyDescent="0.2">
      <c r="A797" s="205" t="s">
        <v>148</v>
      </c>
      <c r="B797" s="205" t="s">
        <v>2804</v>
      </c>
      <c r="C797" s="200">
        <v>45463</v>
      </c>
      <c r="D797" s="205" t="s">
        <v>152</v>
      </c>
      <c r="E797" s="206">
        <v>400382</v>
      </c>
      <c r="F797" s="206"/>
      <c r="G797" s="206"/>
      <c r="H797" s="202">
        <f t="shared" si="12"/>
        <v>400382</v>
      </c>
      <c r="I797" s="205" t="s">
        <v>25</v>
      </c>
      <c r="J797" s="205" t="s">
        <v>214</v>
      </c>
      <c r="K797" s="209" t="s">
        <v>1042</v>
      </c>
      <c r="L797" s="205" t="s">
        <v>5921</v>
      </c>
      <c r="M797" s="201" t="s">
        <v>652</v>
      </c>
      <c r="N797" s="205" t="s">
        <v>652</v>
      </c>
      <c r="O797" s="205" t="s">
        <v>652</v>
      </c>
      <c r="P797" s="208" t="s">
        <v>2191</v>
      </c>
      <c r="Q797" s="208" t="s">
        <v>2192</v>
      </c>
      <c r="R797" s="208" t="s">
        <v>4691</v>
      </c>
    </row>
    <row r="798" spans="1:18" s="205" customFormat="1" x14ac:dyDescent="0.2">
      <c r="A798" s="205" t="s">
        <v>419</v>
      </c>
      <c r="B798" s="205" t="s">
        <v>740</v>
      </c>
      <c r="C798" s="200">
        <v>45463</v>
      </c>
      <c r="D798" s="205" t="s">
        <v>152</v>
      </c>
      <c r="E798" s="206">
        <v>416789</v>
      </c>
      <c r="F798" s="206"/>
      <c r="G798" s="206"/>
      <c r="H798" s="202">
        <f t="shared" si="12"/>
        <v>416789</v>
      </c>
      <c r="I798" s="205" t="s">
        <v>25</v>
      </c>
      <c r="J798" s="205" t="s">
        <v>214</v>
      </c>
      <c r="K798" s="209" t="s">
        <v>1042</v>
      </c>
      <c r="L798" s="205" t="s">
        <v>5922</v>
      </c>
      <c r="M798" s="209" t="s">
        <v>1030</v>
      </c>
      <c r="N798" s="205" t="s">
        <v>652</v>
      </c>
      <c r="O798" s="205" t="s">
        <v>652</v>
      </c>
      <c r="P798" s="208" t="s">
        <v>651</v>
      </c>
      <c r="Q798" s="208" t="s">
        <v>673</v>
      </c>
      <c r="R798" s="208" t="s">
        <v>4691</v>
      </c>
    </row>
    <row r="799" spans="1:18" s="205" customFormat="1" x14ac:dyDescent="0.2">
      <c r="A799" s="205" t="s">
        <v>24</v>
      </c>
      <c r="B799" s="205" t="s">
        <v>622</v>
      </c>
      <c r="C799" s="200">
        <v>45463</v>
      </c>
      <c r="D799" s="205" t="s">
        <v>152</v>
      </c>
      <c r="E799" s="206">
        <v>21004</v>
      </c>
      <c r="F799" s="206"/>
      <c r="G799" s="206"/>
      <c r="H799" s="202">
        <f t="shared" si="12"/>
        <v>21004</v>
      </c>
      <c r="I799" s="205" t="s">
        <v>25</v>
      </c>
      <c r="J799" s="205" t="s">
        <v>214</v>
      </c>
      <c r="K799" s="209" t="s">
        <v>1042</v>
      </c>
      <c r="L799" s="205" t="s">
        <v>5923</v>
      </c>
      <c r="M799" s="201" t="s">
        <v>1030</v>
      </c>
      <c r="N799" s="205" t="s">
        <v>652</v>
      </c>
      <c r="O799" s="205" t="s">
        <v>652</v>
      </c>
      <c r="P799" s="208" t="s">
        <v>653</v>
      </c>
      <c r="Q799" s="208" t="s">
        <v>654</v>
      </c>
      <c r="R799" s="208" t="s">
        <v>4691</v>
      </c>
    </row>
    <row r="800" spans="1:18" s="205" customFormat="1" x14ac:dyDescent="0.2">
      <c r="A800" s="205" t="s">
        <v>256</v>
      </c>
      <c r="B800" s="205" t="s">
        <v>1296</v>
      </c>
      <c r="C800" s="200">
        <v>45463</v>
      </c>
      <c r="D800" s="205" t="s">
        <v>152</v>
      </c>
      <c r="E800" s="206">
        <v>5044</v>
      </c>
      <c r="F800" s="206"/>
      <c r="G800" s="206"/>
      <c r="H800" s="202">
        <f t="shared" si="12"/>
        <v>5044</v>
      </c>
      <c r="I800" s="205" t="s">
        <v>25</v>
      </c>
      <c r="J800" s="205" t="s">
        <v>214</v>
      </c>
      <c r="K800" s="209" t="s">
        <v>1151</v>
      </c>
      <c r="L800" s="205" t="s">
        <v>5924</v>
      </c>
      <c r="M800" s="201" t="s">
        <v>1030</v>
      </c>
      <c r="N800" s="205" t="s">
        <v>652</v>
      </c>
      <c r="O800" s="205" t="s">
        <v>652</v>
      </c>
      <c r="P800" s="208" t="s">
        <v>663</v>
      </c>
      <c r="Q800" s="208" t="s">
        <v>723</v>
      </c>
      <c r="R800" s="208" t="s">
        <v>4691</v>
      </c>
    </row>
    <row r="801" spans="1:18" s="205" customFormat="1" x14ac:dyDescent="0.2">
      <c r="A801" s="205" t="s">
        <v>998</v>
      </c>
      <c r="B801" s="205" t="s">
        <v>5925</v>
      </c>
      <c r="C801" s="200">
        <v>45463</v>
      </c>
      <c r="D801" s="205" t="s">
        <v>152</v>
      </c>
      <c r="E801" s="206">
        <v>16603</v>
      </c>
      <c r="F801" s="206"/>
      <c r="G801" s="206"/>
      <c r="H801" s="202">
        <f t="shared" si="12"/>
        <v>16603</v>
      </c>
      <c r="I801" s="205" t="s">
        <v>25</v>
      </c>
      <c r="J801" s="205" t="s">
        <v>214</v>
      </c>
      <c r="K801" s="209" t="s">
        <v>1042</v>
      </c>
      <c r="L801" s="205" t="s">
        <v>5926</v>
      </c>
      <c r="M801" s="201" t="s">
        <v>1484</v>
      </c>
      <c r="N801" s="205" t="s">
        <v>1190</v>
      </c>
      <c r="O801" s="205" t="s">
        <v>1191</v>
      </c>
      <c r="P801" s="208" t="s">
        <v>688</v>
      </c>
      <c r="Q801" s="208" t="s">
        <v>689</v>
      </c>
      <c r="R801" s="208" t="s">
        <v>4691</v>
      </c>
    </row>
    <row r="802" spans="1:18" s="205" customFormat="1" x14ac:dyDescent="0.2">
      <c r="A802" s="205" t="s">
        <v>257</v>
      </c>
      <c r="B802" s="205" t="s">
        <v>1673</v>
      </c>
      <c r="C802" s="200">
        <v>45463</v>
      </c>
      <c r="D802" s="205" t="s">
        <v>152</v>
      </c>
      <c r="E802" s="206">
        <v>151360</v>
      </c>
      <c r="F802" s="206"/>
      <c r="G802" s="206"/>
      <c r="H802" s="202">
        <f t="shared" si="12"/>
        <v>151360</v>
      </c>
      <c r="I802" s="205" t="s">
        <v>25</v>
      </c>
      <c r="J802" s="205" t="s">
        <v>214</v>
      </c>
      <c r="K802" s="209" t="s">
        <v>1151</v>
      </c>
      <c r="L802" s="205" t="s">
        <v>5927</v>
      </c>
      <c r="M802" s="201" t="s">
        <v>1030</v>
      </c>
      <c r="N802" s="205" t="s">
        <v>652</v>
      </c>
      <c r="O802" s="205" t="s">
        <v>652</v>
      </c>
      <c r="P802" s="208" t="s">
        <v>663</v>
      </c>
      <c r="Q802" s="208" t="s">
        <v>723</v>
      </c>
      <c r="R802" s="208" t="s">
        <v>4691</v>
      </c>
    </row>
    <row r="803" spans="1:18" s="205" customFormat="1" x14ac:dyDescent="0.2">
      <c r="A803" s="205" t="s">
        <v>148</v>
      </c>
      <c r="B803" s="205" t="s">
        <v>2804</v>
      </c>
      <c r="C803" s="200">
        <v>45463</v>
      </c>
      <c r="D803" s="205" t="s">
        <v>152</v>
      </c>
      <c r="E803" s="206">
        <v>732874</v>
      </c>
      <c r="F803" s="206"/>
      <c r="G803" s="206"/>
      <c r="H803" s="202">
        <f t="shared" si="12"/>
        <v>732874</v>
      </c>
      <c r="I803" s="205" t="s">
        <v>25</v>
      </c>
      <c r="J803" s="205" t="s">
        <v>214</v>
      </c>
      <c r="K803" s="209" t="s">
        <v>1042</v>
      </c>
      <c r="L803" s="205" t="s">
        <v>5928</v>
      </c>
      <c r="M803" s="201" t="s">
        <v>652</v>
      </c>
      <c r="N803" s="205" t="s">
        <v>652</v>
      </c>
      <c r="O803" s="205" t="s">
        <v>652</v>
      </c>
      <c r="P803" s="208" t="s">
        <v>2191</v>
      </c>
      <c r="Q803" s="208" t="s">
        <v>2192</v>
      </c>
      <c r="R803" s="208" t="s">
        <v>4691</v>
      </c>
    </row>
    <row r="804" spans="1:18" s="205" customFormat="1" x14ac:dyDescent="0.2">
      <c r="A804" s="205" t="s">
        <v>148</v>
      </c>
      <c r="B804" s="205" t="s">
        <v>2804</v>
      </c>
      <c r="C804" s="200">
        <v>45464</v>
      </c>
      <c r="D804" s="205" t="s">
        <v>152</v>
      </c>
      <c r="E804" s="206">
        <v>63859</v>
      </c>
      <c r="F804" s="206"/>
      <c r="G804" s="206"/>
      <c r="H804" s="202">
        <f t="shared" si="12"/>
        <v>63859</v>
      </c>
      <c r="I804" s="205" t="s">
        <v>25</v>
      </c>
      <c r="J804" s="205" t="s">
        <v>214</v>
      </c>
      <c r="K804" s="209" t="s">
        <v>1042</v>
      </c>
      <c r="L804" s="205" t="s">
        <v>5929</v>
      </c>
      <c r="M804" s="201" t="s">
        <v>652</v>
      </c>
      <c r="N804" s="205" t="s">
        <v>652</v>
      </c>
      <c r="O804" s="205" t="s">
        <v>652</v>
      </c>
      <c r="P804" s="208" t="s">
        <v>2191</v>
      </c>
      <c r="Q804" s="208" t="s">
        <v>2192</v>
      </c>
      <c r="R804" s="208" t="s">
        <v>4716</v>
      </c>
    </row>
    <row r="805" spans="1:18" s="205" customFormat="1" x14ac:dyDescent="0.2">
      <c r="A805" s="205" t="s">
        <v>5930</v>
      </c>
      <c r="B805" s="205" t="s">
        <v>5931</v>
      </c>
      <c r="C805" s="200">
        <v>45464</v>
      </c>
      <c r="D805" s="205" t="s">
        <v>152</v>
      </c>
      <c r="E805" s="206">
        <v>29327</v>
      </c>
      <c r="F805" s="206"/>
      <c r="G805" s="206"/>
      <c r="H805" s="202">
        <f t="shared" si="12"/>
        <v>29327</v>
      </c>
      <c r="I805" s="205" t="s">
        <v>25</v>
      </c>
      <c r="J805" s="205" t="s">
        <v>214</v>
      </c>
      <c r="K805" s="209" t="s">
        <v>1058</v>
      </c>
      <c r="L805" s="205" t="s">
        <v>5932</v>
      </c>
      <c r="M805" s="201" t="s">
        <v>2041</v>
      </c>
      <c r="N805" s="205" t="s">
        <v>652</v>
      </c>
      <c r="O805" s="205" t="s">
        <v>652</v>
      </c>
      <c r="P805" s="208" t="s">
        <v>4691</v>
      </c>
      <c r="Q805" s="208" t="s">
        <v>4840</v>
      </c>
      <c r="R805" s="208" t="s">
        <v>4716</v>
      </c>
    </row>
    <row r="806" spans="1:18" s="205" customFormat="1" x14ac:dyDescent="0.2">
      <c r="A806" s="205" t="s">
        <v>5930</v>
      </c>
      <c r="B806" s="205" t="s">
        <v>5931</v>
      </c>
      <c r="C806" s="200">
        <v>45464</v>
      </c>
      <c r="D806" s="205" t="s">
        <v>152</v>
      </c>
      <c r="E806" s="206">
        <v>29327</v>
      </c>
      <c r="F806" s="206"/>
      <c r="G806" s="206"/>
      <c r="H806" s="202">
        <f t="shared" si="12"/>
        <v>29327</v>
      </c>
      <c r="I806" s="205" t="s">
        <v>25</v>
      </c>
      <c r="J806" s="205" t="s">
        <v>214</v>
      </c>
      <c r="K806" s="209" t="s">
        <v>1058</v>
      </c>
      <c r="L806" s="205" t="s">
        <v>5932</v>
      </c>
      <c r="M806" s="201" t="s">
        <v>2041</v>
      </c>
      <c r="N806" s="205" t="s">
        <v>652</v>
      </c>
      <c r="O806" s="205" t="s">
        <v>652</v>
      </c>
      <c r="P806" s="208" t="s">
        <v>4691</v>
      </c>
      <c r="Q806" s="208" t="s">
        <v>4840</v>
      </c>
      <c r="R806" s="208" t="s">
        <v>4716</v>
      </c>
    </row>
    <row r="807" spans="1:18" s="205" customFormat="1" x14ac:dyDescent="0.2">
      <c r="A807" s="205" t="s">
        <v>155</v>
      </c>
      <c r="B807" s="205" t="s">
        <v>547</v>
      </c>
      <c r="C807" s="200">
        <v>45465</v>
      </c>
      <c r="D807" s="205" t="s">
        <v>152</v>
      </c>
      <c r="E807" s="206">
        <v>40402</v>
      </c>
      <c r="F807" s="206"/>
      <c r="G807" s="206"/>
      <c r="H807" s="202">
        <f t="shared" si="12"/>
        <v>40402</v>
      </c>
      <c r="I807" s="205" t="s">
        <v>25</v>
      </c>
      <c r="J807" s="205" t="s">
        <v>214</v>
      </c>
      <c r="K807" s="209" t="s">
        <v>1151</v>
      </c>
      <c r="L807" s="205" t="s">
        <v>5933</v>
      </c>
      <c r="M807" s="201" t="s">
        <v>1030</v>
      </c>
      <c r="N807" s="205" t="s">
        <v>652</v>
      </c>
      <c r="O807" s="205" t="s">
        <v>652</v>
      </c>
      <c r="P807" s="208" t="s">
        <v>801</v>
      </c>
      <c r="Q807" s="208" t="s">
        <v>802</v>
      </c>
      <c r="R807" s="208" t="s">
        <v>845</v>
      </c>
    </row>
    <row r="808" spans="1:18" s="205" customFormat="1" x14ac:dyDescent="0.2">
      <c r="A808" s="205" t="s">
        <v>256</v>
      </c>
      <c r="B808" s="205" t="s">
        <v>1296</v>
      </c>
      <c r="C808" s="200">
        <v>45465</v>
      </c>
      <c r="D808" s="205" t="s">
        <v>152</v>
      </c>
      <c r="E808" s="206">
        <v>3604</v>
      </c>
      <c r="F808" s="206"/>
      <c r="G808" s="206"/>
      <c r="H808" s="202">
        <f t="shared" si="12"/>
        <v>3604</v>
      </c>
      <c r="I808" s="205" t="s">
        <v>25</v>
      </c>
      <c r="J808" s="205" t="s">
        <v>214</v>
      </c>
      <c r="K808" s="209" t="s">
        <v>1141</v>
      </c>
      <c r="L808" s="205" t="s">
        <v>5934</v>
      </c>
      <c r="M808" s="201" t="s">
        <v>1030</v>
      </c>
      <c r="N808" s="205" t="s">
        <v>652</v>
      </c>
      <c r="O808" s="205" t="s">
        <v>652</v>
      </c>
      <c r="P808" s="208" t="s">
        <v>663</v>
      </c>
      <c r="Q808" s="208" t="s">
        <v>723</v>
      </c>
      <c r="R808" s="208" t="s">
        <v>845</v>
      </c>
    </row>
    <row r="809" spans="1:18" s="205" customFormat="1" x14ac:dyDescent="0.2">
      <c r="A809" s="205" t="s">
        <v>148</v>
      </c>
      <c r="B809" s="205" t="s">
        <v>2804</v>
      </c>
      <c r="C809" s="200">
        <v>45467</v>
      </c>
      <c r="D809" s="205" t="s">
        <v>152</v>
      </c>
      <c r="E809" s="206">
        <v>184794</v>
      </c>
      <c r="F809" s="206"/>
      <c r="G809" s="206"/>
      <c r="H809" s="202">
        <f t="shared" si="12"/>
        <v>184794</v>
      </c>
      <c r="I809" s="205" t="s">
        <v>25</v>
      </c>
      <c r="J809" s="205" t="s">
        <v>214</v>
      </c>
      <c r="K809" s="209" t="s">
        <v>1151</v>
      </c>
      <c r="L809" s="205" t="s">
        <v>5935</v>
      </c>
      <c r="M809" s="201" t="s">
        <v>652</v>
      </c>
      <c r="N809" s="205" t="s">
        <v>652</v>
      </c>
      <c r="O809" s="205" t="s">
        <v>652</v>
      </c>
      <c r="P809" s="208" t="s">
        <v>2191</v>
      </c>
      <c r="Q809" s="208" t="s">
        <v>2192</v>
      </c>
      <c r="R809" s="208" t="s">
        <v>886</v>
      </c>
    </row>
    <row r="810" spans="1:18" s="205" customFormat="1" x14ac:dyDescent="0.2">
      <c r="A810" s="205" t="s">
        <v>315</v>
      </c>
      <c r="B810" s="205" t="s">
        <v>316</v>
      </c>
      <c r="C810" s="200">
        <v>45467</v>
      </c>
      <c r="D810" s="205" t="s">
        <v>152</v>
      </c>
      <c r="E810" s="206">
        <v>3941</v>
      </c>
      <c r="F810" s="206"/>
      <c r="G810" s="206"/>
      <c r="H810" s="202">
        <f t="shared" si="12"/>
        <v>3941</v>
      </c>
      <c r="I810" s="205" t="s">
        <v>25</v>
      </c>
      <c r="J810" s="205" t="s">
        <v>214</v>
      </c>
      <c r="K810" s="209" t="s">
        <v>1042</v>
      </c>
      <c r="L810" s="205" t="s">
        <v>5936</v>
      </c>
      <c r="M810" s="201" t="s">
        <v>1973</v>
      </c>
      <c r="N810" s="205" t="s">
        <v>1295</v>
      </c>
      <c r="O810" s="205" t="s">
        <v>1061</v>
      </c>
      <c r="P810" s="208" t="s">
        <v>696</v>
      </c>
      <c r="Q810" s="208" t="s">
        <v>697</v>
      </c>
      <c r="R810" s="208" t="s">
        <v>886</v>
      </c>
    </row>
    <row r="811" spans="1:18" s="205" customFormat="1" x14ac:dyDescent="0.2">
      <c r="A811" s="205" t="s">
        <v>154</v>
      </c>
      <c r="B811" s="205" t="s">
        <v>542</v>
      </c>
      <c r="C811" s="200">
        <v>45468</v>
      </c>
      <c r="D811" s="205" t="s">
        <v>152</v>
      </c>
      <c r="E811" s="206">
        <v>16396</v>
      </c>
      <c r="F811" s="206"/>
      <c r="G811" s="206"/>
      <c r="H811" s="202">
        <f t="shared" si="12"/>
        <v>16396</v>
      </c>
      <c r="I811" s="205" t="s">
        <v>25</v>
      </c>
      <c r="J811" s="205" t="s">
        <v>214</v>
      </c>
      <c r="K811" s="209" t="s">
        <v>1042</v>
      </c>
      <c r="L811" s="205" t="s">
        <v>5937</v>
      </c>
      <c r="M811" s="201" t="s">
        <v>1030</v>
      </c>
      <c r="N811" s="205" t="s">
        <v>652</v>
      </c>
      <c r="O811" s="205" t="s">
        <v>652</v>
      </c>
      <c r="P811" s="208" t="s">
        <v>688</v>
      </c>
      <c r="Q811" s="208" t="s">
        <v>689</v>
      </c>
      <c r="R811" s="208" t="s">
        <v>4764</v>
      </c>
    </row>
    <row r="812" spans="1:18" s="205" customFormat="1" x14ac:dyDescent="0.2">
      <c r="A812" s="205" t="s">
        <v>399</v>
      </c>
      <c r="B812" s="205" t="s">
        <v>614</v>
      </c>
      <c r="C812" s="200">
        <v>45468</v>
      </c>
      <c r="D812" s="205" t="s">
        <v>152</v>
      </c>
      <c r="E812" s="206">
        <v>32711</v>
      </c>
      <c r="F812" s="206"/>
      <c r="G812" s="206"/>
      <c r="H812" s="202">
        <f t="shared" si="12"/>
        <v>32711</v>
      </c>
      <c r="I812" s="205" t="s">
        <v>25</v>
      </c>
      <c r="J812" s="205" t="s">
        <v>214</v>
      </c>
      <c r="K812" s="209" t="s">
        <v>1151</v>
      </c>
      <c r="L812" s="205" t="s">
        <v>5938</v>
      </c>
      <c r="M812" s="201" t="s">
        <v>1030</v>
      </c>
      <c r="N812" s="205" t="s">
        <v>652</v>
      </c>
      <c r="O812" s="205" t="s">
        <v>652</v>
      </c>
      <c r="P812" s="208" t="s">
        <v>653</v>
      </c>
      <c r="Q812" s="208" t="s">
        <v>654</v>
      </c>
      <c r="R812" s="208" t="s">
        <v>4764</v>
      </c>
    </row>
    <row r="813" spans="1:18" s="205" customFormat="1" x14ac:dyDescent="0.2">
      <c r="A813" s="205" t="s">
        <v>157</v>
      </c>
      <c r="B813" s="205" t="s">
        <v>959</v>
      </c>
      <c r="C813" s="200">
        <v>45469</v>
      </c>
      <c r="D813" s="205" t="s">
        <v>152</v>
      </c>
      <c r="E813" s="206">
        <v>1051821</v>
      </c>
      <c r="F813" s="206"/>
      <c r="G813" s="206"/>
      <c r="H813" s="202">
        <f t="shared" si="12"/>
        <v>1051821</v>
      </c>
      <c r="I813" s="205" t="s">
        <v>25</v>
      </c>
      <c r="J813" s="205" t="s">
        <v>214</v>
      </c>
      <c r="K813" s="209" t="s">
        <v>1042</v>
      </c>
      <c r="L813" s="205" t="s">
        <v>5939</v>
      </c>
      <c r="M813" s="201" t="s">
        <v>1030</v>
      </c>
      <c r="N813" s="205" t="s">
        <v>1190</v>
      </c>
      <c r="O813" s="205" t="s">
        <v>1191</v>
      </c>
      <c r="P813" s="208" t="s">
        <v>691</v>
      </c>
      <c r="Q813" s="208" t="s">
        <v>960</v>
      </c>
      <c r="R813" s="208" t="s">
        <v>888</v>
      </c>
    </row>
    <row r="814" spans="1:18" s="205" customFormat="1" x14ac:dyDescent="0.2">
      <c r="A814" s="205" t="s">
        <v>34</v>
      </c>
      <c r="B814" s="205" t="s">
        <v>583</v>
      </c>
      <c r="C814" s="200">
        <v>45469</v>
      </c>
      <c r="D814" s="205" t="s">
        <v>152</v>
      </c>
      <c r="E814" s="206">
        <v>75620</v>
      </c>
      <c r="F814" s="206"/>
      <c r="G814" s="206"/>
      <c r="H814" s="202">
        <f t="shared" si="12"/>
        <v>75620</v>
      </c>
      <c r="I814" s="205" t="s">
        <v>25</v>
      </c>
      <c r="J814" s="205" t="s">
        <v>214</v>
      </c>
      <c r="K814" s="209" t="s">
        <v>1151</v>
      </c>
      <c r="L814" s="205" t="s">
        <v>5940</v>
      </c>
      <c r="M814" s="201" t="s">
        <v>1030</v>
      </c>
      <c r="N814" s="205" t="s">
        <v>652</v>
      </c>
      <c r="O814" s="205" t="s">
        <v>652</v>
      </c>
      <c r="P814" s="208" t="s">
        <v>653</v>
      </c>
      <c r="Q814" s="208" t="s">
        <v>654</v>
      </c>
      <c r="R814" s="208" t="s">
        <v>888</v>
      </c>
    </row>
    <row r="815" spans="1:18" s="205" customFormat="1" x14ac:dyDescent="0.2">
      <c r="A815" s="205" t="s">
        <v>148</v>
      </c>
      <c r="B815" s="205" t="s">
        <v>2804</v>
      </c>
      <c r="C815" s="200">
        <v>45469</v>
      </c>
      <c r="D815" s="205" t="s">
        <v>152</v>
      </c>
      <c r="E815" s="206">
        <v>1017248</v>
      </c>
      <c r="F815" s="206"/>
      <c r="G815" s="206"/>
      <c r="H815" s="202">
        <f t="shared" si="12"/>
        <v>1017248</v>
      </c>
      <c r="I815" s="205" t="s">
        <v>25</v>
      </c>
      <c r="J815" s="205" t="s">
        <v>214</v>
      </c>
      <c r="K815" s="209" t="s">
        <v>1042</v>
      </c>
      <c r="L815" s="205" t="s">
        <v>5941</v>
      </c>
      <c r="M815" s="201" t="s">
        <v>652</v>
      </c>
      <c r="N815" s="205" t="s">
        <v>652</v>
      </c>
      <c r="O815" s="205" t="s">
        <v>652</v>
      </c>
      <c r="P815" s="208" t="s">
        <v>2191</v>
      </c>
      <c r="Q815" s="208" t="s">
        <v>2192</v>
      </c>
      <c r="R815" s="208" t="s">
        <v>888</v>
      </c>
    </row>
    <row r="816" spans="1:18" s="205" customFormat="1" x14ac:dyDescent="0.2">
      <c r="A816" s="205" t="s">
        <v>24</v>
      </c>
      <c r="B816" s="205" t="s">
        <v>622</v>
      </c>
      <c r="C816" s="200">
        <v>45470</v>
      </c>
      <c r="D816" s="205" t="s">
        <v>152</v>
      </c>
      <c r="E816" s="206">
        <v>25291</v>
      </c>
      <c r="F816" s="206"/>
      <c r="G816" s="206"/>
      <c r="H816" s="202">
        <f t="shared" si="12"/>
        <v>25291</v>
      </c>
      <c r="I816" s="205" t="s">
        <v>25</v>
      </c>
      <c r="J816" s="205" t="s">
        <v>214</v>
      </c>
      <c r="K816" s="209" t="s">
        <v>1042</v>
      </c>
      <c r="L816" s="205" t="s">
        <v>5942</v>
      </c>
      <c r="M816" s="201" t="s">
        <v>1030</v>
      </c>
      <c r="N816" s="205" t="s">
        <v>652</v>
      </c>
      <c r="O816" s="205" t="s">
        <v>652</v>
      </c>
      <c r="P816" s="208" t="s">
        <v>653</v>
      </c>
      <c r="Q816" s="208" t="s">
        <v>654</v>
      </c>
      <c r="R816" s="208" t="s">
        <v>4779</v>
      </c>
    </row>
    <row r="817" spans="1:18" s="205" customFormat="1" x14ac:dyDescent="0.2">
      <c r="A817" s="205" t="s">
        <v>398</v>
      </c>
      <c r="B817" s="205" t="s">
        <v>615</v>
      </c>
      <c r="C817" s="200">
        <v>45470</v>
      </c>
      <c r="D817" s="205" t="s">
        <v>152</v>
      </c>
      <c r="E817" s="206">
        <v>2326</v>
      </c>
      <c r="F817" s="206"/>
      <c r="G817" s="206"/>
      <c r="H817" s="202">
        <f t="shared" si="12"/>
        <v>2326</v>
      </c>
      <c r="I817" s="205" t="s">
        <v>25</v>
      </c>
      <c r="J817" s="205" t="s">
        <v>214</v>
      </c>
      <c r="K817" s="209" t="s">
        <v>1151</v>
      </c>
      <c r="L817" s="205" t="s">
        <v>5943</v>
      </c>
      <c r="M817" s="209" t="s">
        <v>1030</v>
      </c>
      <c r="N817" s="205" t="s">
        <v>652</v>
      </c>
      <c r="O817" s="205" t="s">
        <v>652</v>
      </c>
      <c r="P817" s="208" t="s">
        <v>653</v>
      </c>
      <c r="Q817" s="208" t="s">
        <v>654</v>
      </c>
      <c r="R817" s="208" t="s">
        <v>4779</v>
      </c>
    </row>
    <row r="818" spans="1:18" s="205" customFormat="1" x14ac:dyDescent="0.2">
      <c r="A818" s="205" t="s">
        <v>148</v>
      </c>
      <c r="B818" s="205" t="s">
        <v>2804</v>
      </c>
      <c r="C818" s="200">
        <v>45470</v>
      </c>
      <c r="D818" s="205" t="s">
        <v>152</v>
      </c>
      <c r="E818" s="206">
        <v>8298</v>
      </c>
      <c r="F818" s="206"/>
      <c r="G818" s="206"/>
      <c r="H818" s="202">
        <f t="shared" si="12"/>
        <v>8298</v>
      </c>
      <c r="I818" s="205" t="s">
        <v>25</v>
      </c>
      <c r="J818" s="205" t="s">
        <v>214</v>
      </c>
      <c r="K818" s="209" t="s">
        <v>1151</v>
      </c>
      <c r="L818" s="205" t="s">
        <v>5944</v>
      </c>
      <c r="M818" s="209" t="s">
        <v>652</v>
      </c>
      <c r="N818" s="205" t="s">
        <v>652</v>
      </c>
      <c r="O818" s="205" t="s">
        <v>652</v>
      </c>
      <c r="P818" s="208" t="s">
        <v>2191</v>
      </c>
      <c r="Q818" s="208" t="s">
        <v>2192</v>
      </c>
      <c r="R818" s="208" t="s">
        <v>4779</v>
      </c>
    </row>
    <row r="819" spans="1:18" s="205" customFormat="1" x14ac:dyDescent="0.2">
      <c r="A819" s="205" t="s">
        <v>321</v>
      </c>
      <c r="B819" s="205" t="s">
        <v>322</v>
      </c>
      <c r="C819" s="200">
        <v>45471</v>
      </c>
      <c r="D819" s="205" t="s">
        <v>152</v>
      </c>
      <c r="E819" s="206">
        <v>13425</v>
      </c>
      <c r="F819" s="206"/>
      <c r="G819" s="206"/>
      <c r="H819" s="202">
        <f t="shared" si="12"/>
        <v>13425</v>
      </c>
      <c r="I819" s="205" t="s">
        <v>25</v>
      </c>
      <c r="J819" s="205" t="s">
        <v>214</v>
      </c>
      <c r="K819" s="209" t="s">
        <v>1042</v>
      </c>
      <c r="L819" s="205" t="s">
        <v>5945</v>
      </c>
      <c r="M819" s="209" t="s">
        <v>1030</v>
      </c>
      <c r="N819" s="205" t="s">
        <v>1302</v>
      </c>
      <c r="O819" s="205" t="s">
        <v>1066</v>
      </c>
      <c r="P819" s="208" t="s">
        <v>781</v>
      </c>
      <c r="Q819" s="208" t="s">
        <v>782</v>
      </c>
      <c r="R819" s="208" t="s">
        <v>4782</v>
      </c>
    </row>
    <row r="820" spans="1:18" s="205" customFormat="1" x14ac:dyDescent="0.2">
      <c r="A820" s="205" t="s">
        <v>366</v>
      </c>
      <c r="B820" s="205" t="s">
        <v>365</v>
      </c>
      <c r="C820" s="200">
        <v>45472</v>
      </c>
      <c r="D820" s="205" t="s">
        <v>152</v>
      </c>
      <c r="E820" s="206">
        <v>5077</v>
      </c>
      <c r="F820" s="206"/>
      <c r="G820" s="206"/>
      <c r="H820" s="202">
        <f t="shared" si="12"/>
        <v>5077</v>
      </c>
      <c r="I820" s="205" t="s">
        <v>25</v>
      </c>
      <c r="J820" s="205" t="s">
        <v>214</v>
      </c>
      <c r="K820" s="209" t="s">
        <v>1042</v>
      </c>
      <c r="L820" s="205" t="s">
        <v>5946</v>
      </c>
      <c r="M820" s="209" t="s">
        <v>1030</v>
      </c>
      <c r="N820" s="205" t="s">
        <v>1190</v>
      </c>
      <c r="O820" s="205" t="s">
        <v>1191</v>
      </c>
      <c r="P820" s="208" t="s">
        <v>494</v>
      </c>
      <c r="Q820" s="208" t="s">
        <v>780</v>
      </c>
      <c r="R820" s="208" t="s">
        <v>4801</v>
      </c>
    </row>
    <row r="821" spans="1:18" s="205" customFormat="1" x14ac:dyDescent="0.2">
      <c r="A821" s="205" t="s">
        <v>309</v>
      </c>
      <c r="B821" s="205" t="s">
        <v>3182</v>
      </c>
      <c r="C821" s="200">
        <v>45472</v>
      </c>
      <c r="D821" s="205" t="s">
        <v>152</v>
      </c>
      <c r="E821" s="206">
        <v>37346</v>
      </c>
      <c r="F821" s="206"/>
      <c r="G821" s="206"/>
      <c r="H821" s="202">
        <f t="shared" si="12"/>
        <v>37346</v>
      </c>
      <c r="I821" s="205" t="s">
        <v>25</v>
      </c>
      <c r="J821" s="205" t="s">
        <v>214</v>
      </c>
      <c r="K821" s="209" t="s">
        <v>1042</v>
      </c>
      <c r="L821" s="205" t="s">
        <v>5947</v>
      </c>
      <c r="M821" s="209" t="s">
        <v>1030</v>
      </c>
      <c r="N821" s="205" t="s">
        <v>1295</v>
      </c>
      <c r="O821" s="205" t="s">
        <v>1061</v>
      </c>
      <c r="P821" s="208" t="s">
        <v>846</v>
      </c>
      <c r="Q821" s="208" t="s">
        <v>2922</v>
      </c>
      <c r="R821" s="208" t="s">
        <v>4801</v>
      </c>
    </row>
    <row r="822" spans="1:18" s="205" customFormat="1" x14ac:dyDescent="0.2">
      <c r="A822" s="205" t="s">
        <v>60</v>
      </c>
      <c r="B822" s="205" t="s">
        <v>541</v>
      </c>
      <c r="C822" s="200">
        <v>45472</v>
      </c>
      <c r="D822" s="205" t="s">
        <v>152</v>
      </c>
      <c r="E822" s="206">
        <v>5104</v>
      </c>
      <c r="F822" s="206"/>
      <c r="G822" s="206"/>
      <c r="H822" s="202">
        <f t="shared" si="12"/>
        <v>5104</v>
      </c>
      <c r="I822" s="205" t="s">
        <v>25</v>
      </c>
      <c r="J822" s="205" t="s">
        <v>214</v>
      </c>
      <c r="K822" s="209" t="s">
        <v>1042</v>
      </c>
      <c r="L822" s="205" t="s">
        <v>5948</v>
      </c>
      <c r="M822" s="201" t="s">
        <v>1030</v>
      </c>
      <c r="N822" s="205" t="s">
        <v>652</v>
      </c>
      <c r="O822" s="205" t="s">
        <v>652</v>
      </c>
      <c r="P822" s="208" t="s">
        <v>688</v>
      </c>
      <c r="Q822" s="208" t="s">
        <v>689</v>
      </c>
      <c r="R822" s="208" t="s">
        <v>4801</v>
      </c>
    </row>
    <row r="823" spans="1:18" s="205" customFormat="1" x14ac:dyDescent="0.2">
      <c r="A823" s="205" t="s">
        <v>367</v>
      </c>
      <c r="B823" s="205" t="s">
        <v>5949</v>
      </c>
      <c r="C823" s="200">
        <v>45472</v>
      </c>
      <c r="D823" s="205" t="s">
        <v>152</v>
      </c>
      <c r="E823" s="206">
        <v>102386</v>
      </c>
      <c r="F823" s="206"/>
      <c r="G823" s="206"/>
      <c r="H823" s="202">
        <f t="shared" si="12"/>
        <v>102386</v>
      </c>
      <c r="I823" s="205" t="s">
        <v>25</v>
      </c>
      <c r="J823" s="205" t="s">
        <v>214</v>
      </c>
      <c r="K823" s="209" t="s">
        <v>1042</v>
      </c>
      <c r="L823" s="205" t="s">
        <v>5950</v>
      </c>
      <c r="M823" s="201" t="s">
        <v>1030</v>
      </c>
      <c r="N823" s="205" t="s">
        <v>1110</v>
      </c>
      <c r="O823" s="205" t="s">
        <v>1111</v>
      </c>
      <c r="P823" s="208" t="s">
        <v>501</v>
      </c>
      <c r="Q823" s="208" t="s">
        <v>698</v>
      </c>
      <c r="R823" s="208" t="s">
        <v>4801</v>
      </c>
    </row>
    <row r="824" spans="1:18" s="205" customFormat="1" x14ac:dyDescent="0.2">
      <c r="A824" s="205" t="s">
        <v>5951</v>
      </c>
      <c r="B824" s="205" t="s">
        <v>5952</v>
      </c>
      <c r="C824" s="200">
        <v>45472</v>
      </c>
      <c r="D824" s="205" t="s">
        <v>152</v>
      </c>
      <c r="E824" s="206">
        <v>38660</v>
      </c>
      <c r="F824" s="206"/>
      <c r="G824" s="206"/>
      <c r="H824" s="202">
        <f t="shared" si="12"/>
        <v>38660</v>
      </c>
      <c r="I824" s="205" t="s">
        <v>25</v>
      </c>
      <c r="J824" s="205" t="s">
        <v>214</v>
      </c>
      <c r="K824" s="209" t="s">
        <v>1058</v>
      </c>
      <c r="L824" s="205" t="s">
        <v>5953</v>
      </c>
      <c r="M824" s="201" t="s">
        <v>1030</v>
      </c>
      <c r="N824" s="205" t="s">
        <v>652</v>
      </c>
      <c r="O824" s="205" t="s">
        <v>652</v>
      </c>
      <c r="P824" s="208" t="s">
        <v>824</v>
      </c>
      <c r="Q824" s="208" t="s">
        <v>2913</v>
      </c>
      <c r="R824" s="208" t="s">
        <v>4801</v>
      </c>
    </row>
    <row r="825" spans="1:18" s="205" customFormat="1" x14ac:dyDescent="0.2">
      <c r="A825" s="205" t="s">
        <v>5954</v>
      </c>
      <c r="B825" s="205" t="s">
        <v>5955</v>
      </c>
      <c r="C825" s="200">
        <v>45473</v>
      </c>
      <c r="D825" s="205" t="s">
        <v>152</v>
      </c>
      <c r="E825" s="206">
        <v>11000</v>
      </c>
      <c r="F825" s="206"/>
      <c r="G825" s="206"/>
      <c r="H825" s="202">
        <f t="shared" si="12"/>
        <v>11000</v>
      </c>
      <c r="I825" s="205" t="s">
        <v>25</v>
      </c>
      <c r="J825" s="205" t="s">
        <v>214</v>
      </c>
      <c r="K825" s="209" t="s">
        <v>1028</v>
      </c>
      <c r="L825" s="205" t="s">
        <v>5956</v>
      </c>
      <c r="M825" s="201" t="s">
        <v>1030</v>
      </c>
      <c r="N825" s="205" t="s">
        <v>652</v>
      </c>
      <c r="O825" s="205" t="s">
        <v>652</v>
      </c>
      <c r="P825" s="208" t="s">
        <v>4456</v>
      </c>
      <c r="Q825" s="208" t="s">
        <v>5086</v>
      </c>
      <c r="R825" s="208" t="s">
        <v>697</v>
      </c>
    </row>
    <row r="826" spans="1:18" s="205" customFormat="1" x14ac:dyDescent="0.2">
      <c r="A826" s="205" t="s">
        <v>463</v>
      </c>
      <c r="B826" s="205" t="s">
        <v>5957</v>
      </c>
      <c r="C826" s="200">
        <v>45473</v>
      </c>
      <c r="D826" s="205" t="s">
        <v>152</v>
      </c>
      <c r="E826" s="206">
        <v>90244</v>
      </c>
      <c r="F826" s="206"/>
      <c r="G826" s="206"/>
      <c r="H826" s="202">
        <f t="shared" si="12"/>
        <v>90244</v>
      </c>
      <c r="I826" s="205" t="s">
        <v>25</v>
      </c>
      <c r="J826" s="205" t="s">
        <v>214</v>
      </c>
      <c r="K826" s="209" t="s">
        <v>1028</v>
      </c>
      <c r="L826" s="205" t="s">
        <v>5958</v>
      </c>
      <c r="M826" s="201" t="s">
        <v>1030</v>
      </c>
      <c r="N826" s="205" t="s">
        <v>652</v>
      </c>
      <c r="O826" s="205" t="s">
        <v>652</v>
      </c>
      <c r="P826" s="208" t="s">
        <v>1534</v>
      </c>
      <c r="Q826" s="208" t="s">
        <v>3748</v>
      </c>
      <c r="R826" s="208" t="s">
        <v>697</v>
      </c>
    </row>
    <row r="827" spans="1:18" s="205" customFormat="1" x14ac:dyDescent="0.2">
      <c r="A827" s="205" t="s">
        <v>5959</v>
      </c>
      <c r="B827" s="205" t="s">
        <v>5960</v>
      </c>
      <c r="C827" s="200">
        <v>45473</v>
      </c>
      <c r="D827" s="205" t="s">
        <v>152</v>
      </c>
      <c r="E827" s="206">
        <v>44892</v>
      </c>
      <c r="F827" s="206"/>
      <c r="G827" s="206"/>
      <c r="H827" s="202">
        <f t="shared" si="12"/>
        <v>44892</v>
      </c>
      <c r="I827" s="205" t="s">
        <v>25</v>
      </c>
      <c r="J827" s="205" t="s">
        <v>214</v>
      </c>
      <c r="K827" s="209" t="s">
        <v>1058</v>
      </c>
      <c r="L827" s="205" t="s">
        <v>5961</v>
      </c>
      <c r="M827" s="201" t="s">
        <v>4325</v>
      </c>
      <c r="N827" s="205" t="s">
        <v>652</v>
      </c>
      <c r="O827" s="205" t="s">
        <v>652</v>
      </c>
      <c r="P827" s="208" t="s">
        <v>888</v>
      </c>
      <c r="Q827" s="208" t="s">
        <v>5962</v>
      </c>
      <c r="R827" s="208" t="s">
        <v>697</v>
      </c>
    </row>
    <row r="828" spans="1:18" s="205" customFormat="1" x14ac:dyDescent="0.2">
      <c r="A828" s="205" t="s">
        <v>5959</v>
      </c>
      <c r="B828" s="205" t="s">
        <v>5960</v>
      </c>
      <c r="C828" s="200">
        <v>45473</v>
      </c>
      <c r="D828" s="205" t="s">
        <v>152</v>
      </c>
      <c r="E828" s="206">
        <v>44892</v>
      </c>
      <c r="F828" s="206"/>
      <c r="G828" s="206"/>
      <c r="H828" s="202">
        <f t="shared" si="12"/>
        <v>44892</v>
      </c>
      <c r="I828" s="205" t="s">
        <v>25</v>
      </c>
      <c r="J828" s="205" t="s">
        <v>214</v>
      </c>
      <c r="K828" s="209" t="s">
        <v>1058</v>
      </c>
      <c r="L828" s="205" t="s">
        <v>5961</v>
      </c>
      <c r="M828" s="201" t="s">
        <v>4325</v>
      </c>
      <c r="N828" s="205" t="s">
        <v>652</v>
      </c>
      <c r="O828" s="205" t="s">
        <v>652</v>
      </c>
      <c r="P828" s="208" t="s">
        <v>888</v>
      </c>
      <c r="Q828" s="208" t="s">
        <v>5962</v>
      </c>
      <c r="R828" s="208" t="s">
        <v>697</v>
      </c>
    </row>
    <row r="829" spans="1:18" s="205" customFormat="1" x14ac:dyDescent="0.2">
      <c r="A829" s="205" t="s">
        <v>5963</v>
      </c>
      <c r="B829" s="205" t="s">
        <v>484</v>
      </c>
      <c r="C829" s="200">
        <v>45473</v>
      </c>
      <c r="D829" s="205" t="s">
        <v>152</v>
      </c>
      <c r="E829" s="206">
        <v>6272</v>
      </c>
      <c r="F829" s="206"/>
      <c r="G829" s="206"/>
      <c r="H829" s="202">
        <f t="shared" si="12"/>
        <v>6272</v>
      </c>
      <c r="I829" s="205" t="s">
        <v>25</v>
      </c>
      <c r="J829" s="205" t="s">
        <v>214</v>
      </c>
      <c r="K829" s="209"/>
      <c r="L829" s="205" t="s">
        <v>5964</v>
      </c>
      <c r="M829" s="201"/>
      <c r="P829" s="214" t="s">
        <v>491</v>
      </c>
      <c r="Q829" s="214">
        <v>45462</v>
      </c>
      <c r="R829" s="214" t="s">
        <v>697</v>
      </c>
    </row>
    <row r="830" spans="1:18" s="205" customFormat="1" x14ac:dyDescent="0.2">
      <c r="A830" s="205" t="s">
        <v>5965</v>
      </c>
      <c r="B830" s="205" t="s">
        <v>5966</v>
      </c>
      <c r="C830" s="200">
        <v>45473</v>
      </c>
      <c r="D830" s="205" t="s">
        <v>152</v>
      </c>
      <c r="E830" s="206">
        <v>21752</v>
      </c>
      <c r="F830" s="206"/>
      <c r="G830" s="206"/>
      <c r="H830" s="202">
        <f t="shared" si="12"/>
        <v>21752</v>
      </c>
      <c r="I830" s="205" t="s">
        <v>25</v>
      </c>
      <c r="J830" s="205" t="s">
        <v>214</v>
      </c>
      <c r="K830" s="209"/>
      <c r="L830" s="205" t="s">
        <v>5967</v>
      </c>
      <c r="M830" s="209"/>
      <c r="P830" s="214" t="s">
        <v>491</v>
      </c>
      <c r="Q830" s="214">
        <v>45462</v>
      </c>
      <c r="R830" s="214" t="s">
        <v>697</v>
      </c>
    </row>
    <row r="831" spans="1:18" s="205" customFormat="1" x14ac:dyDescent="0.2">
      <c r="A831" s="205" t="s">
        <v>5968</v>
      </c>
      <c r="B831" s="205" t="s">
        <v>478</v>
      </c>
      <c r="C831" s="200">
        <v>45473</v>
      </c>
      <c r="D831" s="209" t="s">
        <v>166</v>
      </c>
      <c r="E831" s="206">
        <v>-3978</v>
      </c>
      <c r="F831" s="206"/>
      <c r="G831" s="206"/>
      <c r="H831" s="202">
        <f t="shared" si="12"/>
        <v>-3978</v>
      </c>
      <c r="I831" s="205" t="s">
        <v>25</v>
      </c>
      <c r="J831" s="205" t="s">
        <v>214</v>
      </c>
      <c r="K831" s="209"/>
      <c r="L831" s="205" t="s">
        <v>5969</v>
      </c>
      <c r="M831" s="201"/>
      <c r="P831" s="214" t="s">
        <v>491</v>
      </c>
      <c r="Q831" s="214">
        <v>45462</v>
      </c>
      <c r="R831" s="214" t="s">
        <v>697</v>
      </c>
    </row>
    <row r="832" spans="1:18" s="205" customFormat="1" x14ac:dyDescent="0.2">
      <c r="A832" s="205" t="s">
        <v>398</v>
      </c>
      <c r="B832" s="205" t="s">
        <v>615</v>
      </c>
      <c r="C832" s="200">
        <v>45468</v>
      </c>
      <c r="D832" s="209" t="s">
        <v>166</v>
      </c>
      <c r="E832" s="206">
        <v>-6056</v>
      </c>
      <c r="F832" s="206"/>
      <c r="G832" s="206"/>
      <c r="H832" s="202">
        <f t="shared" si="12"/>
        <v>-6056</v>
      </c>
      <c r="I832" s="205" t="s">
        <v>25</v>
      </c>
      <c r="J832" s="205" t="s">
        <v>214</v>
      </c>
      <c r="K832" s="209" t="s">
        <v>1151</v>
      </c>
      <c r="L832" s="205" t="s">
        <v>5970</v>
      </c>
      <c r="M832" s="201" t="s">
        <v>1030</v>
      </c>
      <c r="N832" s="205" t="s">
        <v>652</v>
      </c>
      <c r="O832" s="205" t="s">
        <v>652</v>
      </c>
      <c r="P832" s="216" t="s">
        <v>653</v>
      </c>
      <c r="Q832" s="216" t="s">
        <v>654</v>
      </c>
      <c r="R832" s="218" t="s">
        <v>4764</v>
      </c>
    </row>
    <row r="833" spans="1:18" s="205" customFormat="1" x14ac:dyDescent="0.2">
      <c r="A833" s="205" t="s">
        <v>398</v>
      </c>
      <c r="B833" s="205" t="s">
        <v>615</v>
      </c>
      <c r="C833" s="200">
        <v>45467</v>
      </c>
      <c r="D833" s="209" t="s">
        <v>166</v>
      </c>
      <c r="E833" s="206">
        <v>-7639</v>
      </c>
      <c r="F833" s="206"/>
      <c r="G833" s="206"/>
      <c r="H833" s="202">
        <f t="shared" si="12"/>
        <v>-7639</v>
      </c>
      <c r="I833" s="205" t="s">
        <v>25</v>
      </c>
      <c r="J833" s="205" t="s">
        <v>214</v>
      </c>
      <c r="K833" s="209" t="s">
        <v>1151</v>
      </c>
      <c r="L833" s="205" t="s">
        <v>5971</v>
      </c>
      <c r="M833" s="201" t="s">
        <v>1030</v>
      </c>
      <c r="N833" s="205" t="s">
        <v>652</v>
      </c>
      <c r="O833" s="205" t="s">
        <v>652</v>
      </c>
      <c r="P833" s="208" t="s">
        <v>653</v>
      </c>
      <c r="Q833" s="208" t="s">
        <v>654</v>
      </c>
      <c r="R833" s="208" t="s">
        <v>886</v>
      </c>
    </row>
    <row r="834" spans="1:18" s="205" customFormat="1" x14ac:dyDescent="0.2">
      <c r="A834" s="205" t="s">
        <v>398</v>
      </c>
      <c r="B834" s="205" t="s">
        <v>615</v>
      </c>
      <c r="C834" s="200">
        <v>45468</v>
      </c>
      <c r="D834" s="209" t="s">
        <v>166</v>
      </c>
      <c r="E834" s="206">
        <v>-8039</v>
      </c>
      <c r="F834" s="206"/>
      <c r="G834" s="206"/>
      <c r="H834" s="202">
        <f t="shared" ref="H834:H849" si="13">E834+G834-F834</f>
        <v>-8039</v>
      </c>
      <c r="I834" s="205" t="s">
        <v>25</v>
      </c>
      <c r="J834" s="205" t="s">
        <v>214</v>
      </c>
      <c r="K834" s="209" t="s">
        <v>1151</v>
      </c>
      <c r="L834" s="205" t="s">
        <v>5972</v>
      </c>
      <c r="M834" s="201" t="s">
        <v>1030</v>
      </c>
      <c r="N834" s="205" t="s">
        <v>652</v>
      </c>
      <c r="O834" s="205" t="s">
        <v>652</v>
      </c>
      <c r="P834" s="208" t="s">
        <v>653</v>
      </c>
      <c r="Q834" s="208" t="s">
        <v>654</v>
      </c>
      <c r="R834" s="208" t="s">
        <v>4764</v>
      </c>
    </row>
    <row r="835" spans="1:18" s="205" customFormat="1" x14ac:dyDescent="0.2">
      <c r="A835" s="205" t="s">
        <v>398</v>
      </c>
      <c r="B835" s="205" t="s">
        <v>615</v>
      </c>
      <c r="C835" s="200">
        <v>45469</v>
      </c>
      <c r="D835" s="209" t="s">
        <v>166</v>
      </c>
      <c r="E835" s="206">
        <v>-11113</v>
      </c>
      <c r="F835" s="206"/>
      <c r="G835" s="206"/>
      <c r="H835" s="202">
        <f t="shared" si="13"/>
        <v>-11113</v>
      </c>
      <c r="I835" s="205" t="s">
        <v>25</v>
      </c>
      <c r="J835" s="205" t="s">
        <v>214</v>
      </c>
      <c r="K835" s="209" t="s">
        <v>1151</v>
      </c>
      <c r="L835" s="205" t="s">
        <v>5973</v>
      </c>
      <c r="M835" s="201" t="s">
        <v>1030</v>
      </c>
      <c r="N835" s="205" t="s">
        <v>652</v>
      </c>
      <c r="O835" s="205" t="s">
        <v>652</v>
      </c>
      <c r="P835" s="208" t="s">
        <v>653</v>
      </c>
      <c r="Q835" s="208" t="s">
        <v>654</v>
      </c>
      <c r="R835" s="208" t="s">
        <v>888</v>
      </c>
    </row>
    <row r="836" spans="1:18" s="205" customFormat="1" x14ac:dyDescent="0.2">
      <c r="A836" s="205" t="s">
        <v>398</v>
      </c>
      <c r="B836" s="205" t="s">
        <v>615</v>
      </c>
      <c r="C836" s="200">
        <v>45467</v>
      </c>
      <c r="D836" s="209" t="s">
        <v>166</v>
      </c>
      <c r="E836" s="206">
        <v>-13833</v>
      </c>
      <c r="F836" s="206"/>
      <c r="G836" s="206"/>
      <c r="H836" s="202">
        <f t="shared" si="13"/>
        <v>-13833</v>
      </c>
      <c r="I836" s="205" t="s">
        <v>25</v>
      </c>
      <c r="J836" s="205" t="s">
        <v>214</v>
      </c>
      <c r="K836" s="209" t="s">
        <v>1151</v>
      </c>
      <c r="L836" s="205" t="s">
        <v>5974</v>
      </c>
      <c r="M836" s="201" t="s">
        <v>1030</v>
      </c>
      <c r="N836" s="205" t="s">
        <v>652</v>
      </c>
      <c r="O836" s="205" t="s">
        <v>652</v>
      </c>
      <c r="P836" s="208" t="s">
        <v>653</v>
      </c>
      <c r="Q836" s="208" t="s">
        <v>654</v>
      </c>
      <c r="R836" s="208" t="s">
        <v>886</v>
      </c>
    </row>
    <row r="837" spans="1:18" s="205" customFormat="1" x14ac:dyDescent="0.2">
      <c r="A837" s="205" t="s">
        <v>399</v>
      </c>
      <c r="B837" s="205" t="s">
        <v>614</v>
      </c>
      <c r="C837" s="200">
        <v>45469</v>
      </c>
      <c r="D837" s="209" t="s">
        <v>166</v>
      </c>
      <c r="E837" s="206">
        <v>-14997</v>
      </c>
      <c r="F837" s="206"/>
      <c r="G837" s="206"/>
      <c r="H837" s="202">
        <f t="shared" si="13"/>
        <v>-14997</v>
      </c>
      <c r="I837" s="205" t="s">
        <v>25</v>
      </c>
      <c r="J837" s="205" t="s">
        <v>214</v>
      </c>
      <c r="K837" s="209" t="s">
        <v>1151</v>
      </c>
      <c r="L837" s="205" t="s">
        <v>5975</v>
      </c>
      <c r="M837" s="201" t="s">
        <v>1030</v>
      </c>
      <c r="N837" s="205" t="s">
        <v>652</v>
      </c>
      <c r="O837" s="205" t="s">
        <v>652</v>
      </c>
      <c r="P837" s="208" t="s">
        <v>653</v>
      </c>
      <c r="Q837" s="208" t="s">
        <v>654</v>
      </c>
      <c r="R837" s="208" t="s">
        <v>888</v>
      </c>
    </row>
    <row r="838" spans="1:18" s="205" customFormat="1" x14ac:dyDescent="0.2">
      <c r="A838" s="205" t="s">
        <v>5930</v>
      </c>
      <c r="B838" s="205" t="s">
        <v>5931</v>
      </c>
      <c r="C838" s="200">
        <v>45464</v>
      </c>
      <c r="D838" s="209" t="s">
        <v>166</v>
      </c>
      <c r="E838" s="206">
        <v>-29327</v>
      </c>
      <c r="F838" s="206"/>
      <c r="G838" s="206"/>
      <c r="H838" s="202">
        <f t="shared" si="13"/>
        <v>-29327</v>
      </c>
      <c r="I838" s="205" t="s">
        <v>25</v>
      </c>
      <c r="J838" s="205" t="s">
        <v>214</v>
      </c>
      <c r="K838" s="209" t="s">
        <v>1058</v>
      </c>
      <c r="L838" s="205" t="s">
        <v>5932</v>
      </c>
      <c r="M838" s="201" t="s">
        <v>2041</v>
      </c>
      <c r="N838" s="205" t="s">
        <v>652</v>
      </c>
      <c r="O838" s="205" t="s">
        <v>652</v>
      </c>
      <c r="P838" s="208" t="s">
        <v>4691</v>
      </c>
      <c r="Q838" s="208" t="s">
        <v>4840</v>
      </c>
      <c r="R838" s="208" t="s">
        <v>4716</v>
      </c>
    </row>
    <row r="839" spans="1:18" s="205" customFormat="1" x14ac:dyDescent="0.2">
      <c r="A839" s="205" t="s">
        <v>309</v>
      </c>
      <c r="B839" s="205" t="s">
        <v>3182</v>
      </c>
      <c r="C839" s="200">
        <v>45449</v>
      </c>
      <c r="D839" s="209" t="s">
        <v>166</v>
      </c>
      <c r="E839" s="206">
        <v>-42463</v>
      </c>
      <c r="F839" s="206"/>
      <c r="G839" s="206"/>
      <c r="H839" s="202">
        <f t="shared" si="13"/>
        <v>-42463</v>
      </c>
      <c r="I839" s="205" t="s">
        <v>25</v>
      </c>
      <c r="J839" s="205" t="s">
        <v>214</v>
      </c>
      <c r="K839" s="205" t="s">
        <v>1068</v>
      </c>
      <c r="L839" s="205" t="s">
        <v>5976</v>
      </c>
      <c r="M839" s="201" t="s">
        <v>1030</v>
      </c>
      <c r="N839" s="205" t="s">
        <v>1295</v>
      </c>
      <c r="O839" s="205" t="s">
        <v>1061</v>
      </c>
      <c r="P839" s="208" t="s">
        <v>846</v>
      </c>
      <c r="Q839" s="208" t="s">
        <v>2922</v>
      </c>
      <c r="R839" s="208" t="s">
        <v>4456</v>
      </c>
    </row>
    <row r="840" spans="1:18" s="205" customFormat="1" x14ac:dyDescent="0.2">
      <c r="A840" s="209" t="s">
        <v>5959</v>
      </c>
      <c r="B840" s="209" t="s">
        <v>5960</v>
      </c>
      <c r="C840" s="210">
        <v>45473</v>
      </c>
      <c r="D840" s="209" t="s">
        <v>166</v>
      </c>
      <c r="E840" s="211">
        <v>-44892</v>
      </c>
      <c r="F840" s="206"/>
      <c r="G840" s="206"/>
      <c r="H840" s="202">
        <f t="shared" si="13"/>
        <v>-44892</v>
      </c>
      <c r="I840" s="209" t="s">
        <v>25</v>
      </c>
      <c r="J840" s="209" t="s">
        <v>214</v>
      </c>
      <c r="K840" s="209" t="s">
        <v>1058</v>
      </c>
      <c r="L840" s="209" t="s">
        <v>5961</v>
      </c>
      <c r="M840" s="201" t="s">
        <v>4325</v>
      </c>
      <c r="N840" s="209" t="s">
        <v>652</v>
      </c>
      <c r="O840" s="209" t="s">
        <v>652</v>
      </c>
      <c r="P840" s="213" t="s">
        <v>888</v>
      </c>
      <c r="Q840" s="213" t="s">
        <v>5962</v>
      </c>
      <c r="R840" s="213" t="s">
        <v>697</v>
      </c>
    </row>
    <row r="841" spans="1:18" s="205" customFormat="1" x14ac:dyDescent="0.2">
      <c r="A841" s="209" t="s">
        <v>225</v>
      </c>
      <c r="B841" s="209" t="s">
        <v>287</v>
      </c>
      <c r="C841" s="210">
        <v>45446</v>
      </c>
      <c r="D841" s="209" t="s">
        <v>166</v>
      </c>
      <c r="E841" s="211">
        <v>-69605</v>
      </c>
      <c r="F841" s="211"/>
      <c r="G841" s="211"/>
      <c r="H841" s="202">
        <f t="shared" si="13"/>
        <v>-69605</v>
      </c>
      <c r="I841" s="209" t="s">
        <v>25</v>
      </c>
      <c r="J841" s="209" t="s">
        <v>214</v>
      </c>
      <c r="K841" s="209" t="s">
        <v>1068</v>
      </c>
      <c r="L841" s="209" t="s">
        <v>5977</v>
      </c>
      <c r="M841" s="201" t="s">
        <v>1030</v>
      </c>
      <c r="N841" s="209" t="s">
        <v>652</v>
      </c>
      <c r="O841" s="209" t="s">
        <v>652</v>
      </c>
      <c r="P841" s="213" t="s">
        <v>724</v>
      </c>
      <c r="Q841" s="213" t="s">
        <v>725</v>
      </c>
      <c r="R841" s="213" t="s">
        <v>4413</v>
      </c>
    </row>
    <row r="842" spans="1:18" s="205" customFormat="1" x14ac:dyDescent="0.2">
      <c r="A842" s="205" t="s">
        <v>225</v>
      </c>
      <c r="B842" s="205" t="s">
        <v>5849</v>
      </c>
      <c r="C842" s="200">
        <v>45469</v>
      </c>
      <c r="D842" s="209" t="s">
        <v>166</v>
      </c>
      <c r="E842" s="206">
        <v>-94032</v>
      </c>
      <c r="F842" s="206"/>
      <c r="G842" s="206"/>
      <c r="H842" s="202">
        <f t="shared" si="13"/>
        <v>-94032</v>
      </c>
      <c r="I842" s="205" t="s">
        <v>25</v>
      </c>
      <c r="J842" s="205" t="s">
        <v>214</v>
      </c>
      <c r="K842" s="209" t="s">
        <v>1068</v>
      </c>
      <c r="L842" s="205" t="s">
        <v>5978</v>
      </c>
      <c r="M842" s="201" t="s">
        <v>1030</v>
      </c>
      <c r="N842" s="205" t="s">
        <v>652</v>
      </c>
      <c r="O842" s="205" t="s">
        <v>652</v>
      </c>
      <c r="P842" s="208" t="s">
        <v>1534</v>
      </c>
      <c r="Q842" s="208" t="s">
        <v>3748</v>
      </c>
      <c r="R842" s="208" t="s">
        <v>888</v>
      </c>
    </row>
    <row r="843" spans="1:18" s="205" customFormat="1" x14ac:dyDescent="0.2">
      <c r="A843" s="205" t="s">
        <v>5979</v>
      </c>
      <c r="B843" s="205" t="s">
        <v>5980</v>
      </c>
      <c r="C843" s="200">
        <v>45473</v>
      </c>
      <c r="D843" s="209" t="s">
        <v>166</v>
      </c>
      <c r="E843" s="206">
        <v>-108923</v>
      </c>
      <c r="F843" s="206"/>
      <c r="G843" s="206"/>
      <c r="H843" s="202">
        <f t="shared" si="13"/>
        <v>-108923</v>
      </c>
      <c r="I843" s="205" t="s">
        <v>25</v>
      </c>
      <c r="J843" s="205" t="s">
        <v>214</v>
      </c>
      <c r="K843" s="209"/>
      <c r="L843" s="205" t="s">
        <v>5981</v>
      </c>
      <c r="M843" s="201"/>
      <c r="P843" s="253" t="s">
        <v>5982</v>
      </c>
      <c r="Q843" s="253" t="s">
        <v>876</v>
      </c>
      <c r="R843" s="214">
        <v>45473</v>
      </c>
    </row>
    <row r="844" spans="1:18" s="205" customFormat="1" x14ac:dyDescent="0.2">
      <c r="A844" s="205" t="s">
        <v>148</v>
      </c>
      <c r="B844" s="205" t="s">
        <v>2804</v>
      </c>
      <c r="C844" s="200">
        <v>45472</v>
      </c>
      <c r="D844" s="209" t="s">
        <v>166</v>
      </c>
      <c r="E844" s="206">
        <v>-131476</v>
      </c>
      <c r="F844" s="206"/>
      <c r="G844" s="206"/>
      <c r="H844" s="202">
        <f t="shared" si="13"/>
        <v>-131476</v>
      </c>
      <c r="I844" s="205" t="s">
        <v>25</v>
      </c>
      <c r="J844" s="205" t="s">
        <v>214</v>
      </c>
      <c r="K844" s="209" t="s">
        <v>1068</v>
      </c>
      <c r="L844" s="205" t="s">
        <v>5983</v>
      </c>
      <c r="M844" s="201" t="s">
        <v>652</v>
      </c>
      <c r="N844" s="205" t="s">
        <v>652</v>
      </c>
      <c r="O844" s="205" t="s">
        <v>652</v>
      </c>
      <c r="P844" s="208" t="s">
        <v>2191</v>
      </c>
      <c r="Q844" s="208" t="s">
        <v>2192</v>
      </c>
      <c r="R844" s="208" t="s">
        <v>4801</v>
      </c>
    </row>
    <row r="845" spans="1:18" s="205" customFormat="1" x14ac:dyDescent="0.2">
      <c r="A845" s="205" t="s">
        <v>60</v>
      </c>
      <c r="B845" s="205" t="s">
        <v>541</v>
      </c>
      <c r="C845" s="200">
        <v>45455</v>
      </c>
      <c r="D845" s="209" t="s">
        <v>166</v>
      </c>
      <c r="E845" s="206">
        <v>-151700</v>
      </c>
      <c r="F845" s="206"/>
      <c r="G845" s="206"/>
      <c r="H845" s="202">
        <f t="shared" si="13"/>
        <v>-151700</v>
      </c>
      <c r="I845" s="205" t="s">
        <v>25</v>
      </c>
      <c r="J845" s="205" t="s">
        <v>214</v>
      </c>
      <c r="K845" s="209" t="s">
        <v>1068</v>
      </c>
      <c r="L845" s="205" t="s">
        <v>5984</v>
      </c>
      <c r="M845" s="201" t="s">
        <v>1030</v>
      </c>
      <c r="N845" s="205" t="s">
        <v>652</v>
      </c>
      <c r="O845" s="205" t="s">
        <v>652</v>
      </c>
      <c r="P845" s="208" t="s">
        <v>688</v>
      </c>
      <c r="Q845" s="208" t="s">
        <v>689</v>
      </c>
      <c r="R845" s="208" t="s">
        <v>4516</v>
      </c>
    </row>
    <row r="846" spans="1:18" s="205" customFormat="1" x14ac:dyDescent="0.2">
      <c r="A846" s="205" t="s">
        <v>5985</v>
      </c>
      <c r="B846" s="205" t="s">
        <v>299</v>
      </c>
      <c r="C846" s="200">
        <v>45473</v>
      </c>
      <c r="D846" s="209" t="s">
        <v>166</v>
      </c>
      <c r="E846" s="206">
        <v>-159880</v>
      </c>
      <c r="F846" s="206"/>
      <c r="G846" s="206"/>
      <c r="H846" s="202">
        <f t="shared" si="13"/>
        <v>-159880</v>
      </c>
      <c r="I846" s="205" t="s">
        <v>25</v>
      </c>
      <c r="J846" s="205" t="s">
        <v>214</v>
      </c>
      <c r="K846" s="209"/>
      <c r="L846" s="205" t="s">
        <v>5986</v>
      </c>
      <c r="M846" s="201"/>
      <c r="P846" s="214" t="s">
        <v>491</v>
      </c>
      <c r="Q846" s="214">
        <v>45462</v>
      </c>
      <c r="R846" s="214" t="s">
        <v>697</v>
      </c>
    </row>
    <row r="847" spans="1:18" s="205" customFormat="1" x14ac:dyDescent="0.2">
      <c r="A847" s="205" t="s">
        <v>68</v>
      </c>
      <c r="B847" s="205" t="s">
        <v>600</v>
      </c>
      <c r="C847" s="200">
        <v>45447</v>
      </c>
      <c r="D847" s="209" t="s">
        <v>166</v>
      </c>
      <c r="E847" s="206">
        <v>-845420</v>
      </c>
      <c r="F847" s="206"/>
      <c r="G847" s="206"/>
      <c r="H847" s="202">
        <f t="shared" si="13"/>
        <v>-845420</v>
      </c>
      <c r="I847" s="205" t="s">
        <v>25</v>
      </c>
      <c r="J847" s="205" t="s">
        <v>214</v>
      </c>
      <c r="K847" s="209" t="s">
        <v>1068</v>
      </c>
      <c r="L847" s="205" t="s">
        <v>5987</v>
      </c>
      <c r="M847" s="209" t="s">
        <v>1030</v>
      </c>
      <c r="N847" s="205" t="s">
        <v>652</v>
      </c>
      <c r="O847" s="205" t="s">
        <v>652</v>
      </c>
      <c r="P847" s="208" t="s">
        <v>653</v>
      </c>
      <c r="Q847" s="208" t="s">
        <v>654</v>
      </c>
      <c r="R847" s="208" t="s">
        <v>4422</v>
      </c>
    </row>
    <row r="848" spans="1:18" s="205" customFormat="1" x14ac:dyDescent="0.2">
      <c r="A848" s="205" t="s">
        <v>5988</v>
      </c>
      <c r="B848" s="205" t="s">
        <v>5919</v>
      </c>
      <c r="C848" s="200">
        <v>45473</v>
      </c>
      <c r="D848" s="209" t="s">
        <v>166</v>
      </c>
      <c r="E848" s="206">
        <v>-1806573</v>
      </c>
      <c r="F848" s="206"/>
      <c r="G848" s="206"/>
      <c r="H848" s="202">
        <f t="shared" si="13"/>
        <v>-1806573</v>
      </c>
      <c r="I848" s="205" t="s">
        <v>25</v>
      </c>
      <c r="J848" s="205" t="s">
        <v>214</v>
      </c>
      <c r="L848" s="205" t="s">
        <v>5989</v>
      </c>
      <c r="M848" s="201"/>
      <c r="P848" s="253" t="s">
        <v>491</v>
      </c>
      <c r="Q848" s="214">
        <v>45462</v>
      </c>
      <c r="R848" s="253" t="s">
        <v>697</v>
      </c>
    </row>
    <row r="849" spans="1:18" s="205" customFormat="1" x14ac:dyDescent="0.2">
      <c r="A849" s="205" t="s">
        <v>5990</v>
      </c>
      <c r="B849" s="205" t="s">
        <v>301</v>
      </c>
      <c r="C849" s="200">
        <v>45473</v>
      </c>
      <c r="D849" s="209" t="s">
        <v>166</v>
      </c>
      <c r="E849" s="206">
        <v>-2027985</v>
      </c>
      <c r="F849" s="206"/>
      <c r="G849" s="206"/>
      <c r="H849" s="202">
        <f t="shared" si="13"/>
        <v>-2027985</v>
      </c>
      <c r="I849" s="205" t="s">
        <v>25</v>
      </c>
      <c r="J849" s="205" t="s">
        <v>214</v>
      </c>
      <c r="L849" s="205" t="s">
        <v>5991</v>
      </c>
      <c r="M849" s="201"/>
      <c r="P849" s="253" t="s">
        <v>491</v>
      </c>
      <c r="Q849" s="214">
        <v>45462</v>
      </c>
      <c r="R849" s="253" t="s">
        <v>697</v>
      </c>
    </row>
    <row r="850" spans="1:18" s="222" customFormat="1" ht="12.75" thickBot="1" x14ac:dyDescent="0.25">
      <c r="C850" s="254"/>
      <c r="E850" s="245"/>
      <c r="F850" s="245"/>
      <c r="G850" s="245"/>
      <c r="H850" s="245"/>
      <c r="P850" s="244"/>
      <c r="Q850" s="244"/>
      <c r="R850" s="244"/>
    </row>
    <row r="851" spans="1:18" s="227" customFormat="1" ht="12.75" thickBot="1" x14ac:dyDescent="0.25">
      <c r="C851" s="255"/>
      <c r="D851" s="227" t="s">
        <v>4406</v>
      </c>
      <c r="E851" s="247">
        <f>SUM(E2:E850)</f>
        <v>352676336</v>
      </c>
      <c r="F851" s="247">
        <f>SUM(F2:F850)</f>
        <v>23132647</v>
      </c>
      <c r="G851" s="247">
        <f>SUM(G2:G850)</f>
        <v>1612455</v>
      </c>
      <c r="H851" s="247">
        <f>SUM(H2:H850)</f>
        <v>331156144</v>
      </c>
      <c r="P851" s="246"/>
      <c r="Q851" s="246"/>
      <c r="R851" s="246"/>
    </row>
    <row r="852" spans="1:18" x14ac:dyDescent="0.2">
      <c r="E852" s="211">
        <v>352676336</v>
      </c>
    </row>
    <row r="857" spans="1:18" x14ac:dyDescent="0.2">
      <c r="M857" s="209" t="s">
        <v>4407</v>
      </c>
      <c r="N857" s="209" t="s">
        <v>5992</v>
      </c>
      <c r="O857" s="209" t="s">
        <v>5993</v>
      </c>
      <c r="P857" s="213" t="s">
        <v>5994</v>
      </c>
    </row>
    <row r="858" spans="1:18" x14ac:dyDescent="0.2">
      <c r="K858" s="209">
        <v>2022</v>
      </c>
      <c r="L858" s="248">
        <v>-411775</v>
      </c>
      <c r="M858" s="249">
        <f>65%*L858</f>
        <v>-267653.75</v>
      </c>
      <c r="N858" s="231">
        <f>1%*M858</f>
        <v>-2676.5374999999999</v>
      </c>
      <c r="O858" s="231">
        <f>21%*M858</f>
        <v>-56207.287499999999</v>
      </c>
      <c r="P858" s="256">
        <f>M858-N858-O858</f>
        <v>-208769.92500000002</v>
      </c>
      <c r="Q858" s="257">
        <v>-208769.92500000002</v>
      </c>
    </row>
    <row r="859" spans="1:18" x14ac:dyDescent="0.2">
      <c r="K859" s="209">
        <v>2023</v>
      </c>
      <c r="L859" s="248">
        <v>3284288</v>
      </c>
      <c r="M859" s="249">
        <f>65%*L859</f>
        <v>2134787.2000000002</v>
      </c>
      <c r="N859" s="231">
        <f>1%*M859</f>
        <v>21347.872000000003</v>
      </c>
      <c r="O859" s="231">
        <f>21%*M859</f>
        <v>448305.31200000003</v>
      </c>
      <c r="P859" s="256">
        <f>M859-N859-O859</f>
        <v>1665134.0160000003</v>
      </c>
      <c r="Q859" s="257">
        <v>1665134.0160000003</v>
      </c>
    </row>
    <row r="860" spans="1:18" x14ac:dyDescent="0.2">
      <c r="K860" s="209">
        <v>2024</v>
      </c>
      <c r="L860" s="248">
        <v>349803823</v>
      </c>
      <c r="M860" s="249">
        <f>65%*L860</f>
        <v>227372484.95000002</v>
      </c>
      <c r="N860" s="231">
        <f>1%*M860</f>
        <v>2273724.8495</v>
      </c>
      <c r="O860" s="231">
        <f>21%*M860</f>
        <v>47748221.839500003</v>
      </c>
      <c r="P860" s="256">
        <f>M860-N860-O860</f>
        <v>177350538.26100001</v>
      </c>
      <c r="Q860" s="257">
        <v>177350538.26100001</v>
      </c>
    </row>
    <row r="861" spans="1:18" x14ac:dyDescent="0.2">
      <c r="L861" s="248">
        <f>SUM(L858:L860)</f>
        <v>352676336</v>
      </c>
      <c r="Q861" s="257">
        <f>SUM(Q858:Q860)</f>
        <v>178806902.352</v>
      </c>
    </row>
    <row r="864" spans="1:18" x14ac:dyDescent="0.2">
      <c r="K864" s="213"/>
      <c r="L864" s="209" t="s">
        <v>2373</v>
      </c>
      <c r="M864" s="211" t="s">
        <v>2374</v>
      </c>
      <c r="N864" s="211"/>
      <c r="O864" s="211" t="s">
        <v>2375</v>
      </c>
      <c r="P864" s="211" t="s">
        <v>2376</v>
      </c>
      <c r="Q864" s="211" t="s">
        <v>2377</v>
      </c>
    </row>
    <row r="865" spans="9:18" x14ac:dyDescent="0.2">
      <c r="K865" s="213">
        <v>2022</v>
      </c>
      <c r="L865" s="231">
        <f>30%*Q858</f>
        <v>-62630.977500000001</v>
      </c>
      <c r="M865" s="211">
        <f>25%*Q858</f>
        <v>-52192.481250000004</v>
      </c>
      <c r="N865" s="211"/>
      <c r="O865" s="211">
        <f>25%*Q858</f>
        <v>-52192.481250000004</v>
      </c>
      <c r="P865" s="211">
        <f>15%*Q858</f>
        <v>-31315.48875</v>
      </c>
      <c r="Q865" s="211">
        <f>5%*Q858</f>
        <v>-10438.496250000002</v>
      </c>
    </row>
    <row r="866" spans="9:18" x14ac:dyDescent="0.2">
      <c r="K866" s="213">
        <v>2023</v>
      </c>
      <c r="L866" s="231">
        <f>35%*Q859</f>
        <v>582796.90560000006</v>
      </c>
      <c r="M866" s="211">
        <f>25%*Q859</f>
        <v>416283.50400000007</v>
      </c>
      <c r="N866" s="211"/>
      <c r="O866" s="211">
        <f>25%*Q859</f>
        <v>416283.50400000007</v>
      </c>
      <c r="P866" s="211">
        <f>10%*Q859</f>
        <v>166513.40160000004</v>
      </c>
      <c r="Q866" s="211">
        <f>5%*Q859</f>
        <v>83256.700800000021</v>
      </c>
    </row>
    <row r="867" spans="9:18" x14ac:dyDescent="0.2">
      <c r="K867" s="213">
        <v>2024</v>
      </c>
      <c r="L867" s="231">
        <f>36%*Q860</f>
        <v>63846193.773960002</v>
      </c>
      <c r="M867" s="211">
        <f>25%*Q860</f>
        <v>44337634.565250002</v>
      </c>
      <c r="N867" s="211"/>
      <c r="O867" s="211">
        <f>25%*Q860</f>
        <v>44337634.565250002</v>
      </c>
      <c r="P867" s="211">
        <f>9%*Q860</f>
        <v>15961548.44349</v>
      </c>
      <c r="Q867" s="211">
        <f>5%*Q860</f>
        <v>8867526.9130500015</v>
      </c>
    </row>
    <row r="868" spans="9:18" x14ac:dyDescent="0.2">
      <c r="K868" s="213">
        <v>2025</v>
      </c>
      <c r="L868" s="231">
        <f>36%*Q857</f>
        <v>0</v>
      </c>
      <c r="M868" s="211">
        <f>25%*Q857</f>
        <v>0</v>
      </c>
      <c r="N868" s="211"/>
      <c r="O868" s="211">
        <f>25%*Q857</f>
        <v>0</v>
      </c>
      <c r="P868" s="211">
        <f>9%*Q857</f>
        <v>0</v>
      </c>
      <c r="Q868" s="211">
        <f>5%*Q857</f>
        <v>0</v>
      </c>
    </row>
    <row r="869" spans="9:18" x14ac:dyDescent="0.2">
      <c r="K869" s="213"/>
      <c r="L869" s="250">
        <f>SUM(L865:L868)</f>
        <v>64366359.702059999</v>
      </c>
      <c r="M869" s="250">
        <f>SUM(M865:M868)</f>
        <v>44701725.588</v>
      </c>
      <c r="N869" s="250"/>
      <c r="O869" s="250">
        <f>SUM(O865:O868)</f>
        <v>44701725.588</v>
      </c>
      <c r="P869" s="250">
        <f>SUM(P865:P868)</f>
        <v>16096746.35634</v>
      </c>
      <c r="Q869" s="250">
        <f>SUM(Q865:Q868)</f>
        <v>8940345.1176000014</v>
      </c>
    </row>
    <row r="874" spans="9:18" x14ac:dyDescent="0.2">
      <c r="I874" s="251"/>
    </row>
    <row r="875" spans="9:18" x14ac:dyDescent="0.2">
      <c r="P875" s="233"/>
      <c r="Q875" s="233"/>
      <c r="R875" s="233"/>
    </row>
    <row r="876" spans="9:18" x14ac:dyDescent="0.2">
      <c r="P876" s="233"/>
      <c r="Q876" s="233"/>
      <c r="R876" s="233"/>
    </row>
  </sheetData>
  <autoFilter ref="A1:R849" xr:uid="{840F564A-17E9-4809-8CE1-02A33AE1120A}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76FE676EE9A740A4F45FD33D6D471E" ma:contentTypeVersion="17" ma:contentTypeDescription="Create a new document." ma:contentTypeScope="" ma:versionID="4c68ef3dd37f82996173646a5c9397bb">
  <xsd:schema xmlns:xsd="http://www.w3.org/2001/XMLSchema" xmlns:xs="http://www.w3.org/2001/XMLSchema" xmlns:p="http://schemas.microsoft.com/office/2006/metadata/properties" xmlns:ns2="84d97c92-bcc3-4424-ae48-5747cc6a5d0a" xmlns:ns3="ba33fc16-07e1-452e-9476-6708131a694c" targetNamespace="http://schemas.microsoft.com/office/2006/metadata/properties" ma:root="true" ma:fieldsID="f7f77180f4ae10813b986c8f9db527eb" ns2:_="" ns3:_="">
    <xsd:import namespace="84d97c92-bcc3-4424-ae48-5747cc6a5d0a"/>
    <xsd:import namespace="ba33fc16-07e1-452e-9476-6708131a69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7c92-bcc3-4424-ae48-5747cc6a5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1b0f43e-11b8-4e30-8276-8d8991b8dc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3fc16-07e1-452e-9476-6708131a69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1acc23a-b75a-4329-bbf5-ef882061525d}" ma:internalName="TaxCatchAll" ma:showField="CatchAllData" ma:web="ba33fc16-07e1-452e-9476-6708131a69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d97c92-bcc3-4424-ae48-5747cc6a5d0a">
      <Terms xmlns="http://schemas.microsoft.com/office/infopath/2007/PartnerControls"/>
    </lcf76f155ced4ddcb4097134ff3c332f>
    <TaxCatchAll xmlns="ba33fc16-07e1-452e-9476-6708131a694c" xsi:nil="true"/>
  </documentManagement>
</p:properties>
</file>

<file path=customXml/itemProps1.xml><?xml version="1.0" encoding="utf-8"?>
<ds:datastoreItem xmlns:ds="http://schemas.openxmlformats.org/officeDocument/2006/customXml" ds:itemID="{AFB5A648-8B28-45C2-BE18-ACA2833C8D43}"/>
</file>

<file path=customXml/itemProps2.xml><?xml version="1.0" encoding="utf-8"?>
<ds:datastoreItem xmlns:ds="http://schemas.openxmlformats.org/officeDocument/2006/customXml" ds:itemID="{72A7239D-8941-4900-A140-A6EC94269993}"/>
</file>

<file path=customXml/itemProps3.xml><?xml version="1.0" encoding="utf-8"?>
<ds:datastoreItem xmlns:ds="http://schemas.openxmlformats.org/officeDocument/2006/customXml" ds:itemID="{B4260E8E-D17E-4990-AFE3-59FC593E5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STATEMENT QTR 2 2024</vt:lpstr>
      <vt:lpstr>APRIL PRM </vt:lpstr>
      <vt:lpstr>MAY PRM </vt:lpstr>
      <vt:lpstr>JUNE PRM </vt:lpstr>
      <vt:lpstr>'JUNE PRM '!Print_Area</vt:lpstr>
      <vt:lpstr>'STATEMENT QTR 2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Austine Ochola</dc:creator>
  <cp:lastModifiedBy>Austine Ochola</cp:lastModifiedBy>
  <cp:lastPrinted>2023-03-01T09:16:13Z</cp:lastPrinted>
  <dcterms:created xsi:type="dcterms:W3CDTF">2022-05-30T13:41:49Z</dcterms:created>
  <dcterms:modified xsi:type="dcterms:W3CDTF">2024-08-15T05:39:11Z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0x010100E476FE676EE9A740A4F45FD33D6D471E</vt:lpwstr>
  </property>
</Properties>
</file>